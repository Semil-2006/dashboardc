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esbdfgovbr.sharepoint.com/sites/PRGC2/Documentos Partilhados/Variaveis de Integridade/"/>
    </mc:Choice>
  </mc:AlternateContent>
  <xr:revisionPtr revIDLastSave="46" documentId="8_{8E966350-CFDB-4B86-9E66-E2DCA3CDE8D8}" xr6:coauthVersionLast="47" xr6:coauthVersionMax="47" xr10:uidLastSave="{B38F8BB8-557B-45D9-B0F6-44A9018EBCC5}"/>
  <bookViews>
    <workbookView xWindow="28680" yWindow="-120" windowWidth="29040" windowHeight="15720" activeTab="1" xr2:uid="{F84ABEFD-CAA8-40AF-BAC6-EBFDABA9A073}"/>
  </bookViews>
  <sheets>
    <sheet name="Catalogo de Variaveis" sheetId="3" r:id="rId1"/>
    <sheet name="V01" sheetId="4" r:id="rId2"/>
    <sheet name="V02" sheetId="15" r:id="rId3"/>
    <sheet name="V03" sheetId="16" r:id="rId4"/>
    <sheet name="V04" sheetId="17" r:id="rId5"/>
    <sheet name="V07" sheetId="6" r:id="rId6"/>
    <sheet name="V08" sheetId="7" r:id="rId7"/>
    <sheet name="V09" sheetId="8" r:id="rId8"/>
    <sheet name="V10" sheetId="9" r:id="rId9"/>
    <sheet name="V11" sheetId="18" r:id="rId10"/>
    <sheet name="V12" sheetId="19" r:id="rId11"/>
    <sheet name="V13" sheetId="20" r:id="rId12"/>
    <sheet name="V14" sheetId="21" r:id="rId13"/>
    <sheet name="V15" sheetId="22" r:id="rId14"/>
    <sheet name="I05" sheetId="11" r:id="rId15"/>
    <sheet name="I06" sheetId="12" r:id="rId16"/>
    <sheet name="PainelDeVariaveis" sheetId="5" r:id="rId17"/>
    <sheet name="Planilha1" sheetId="24" r:id="rId18"/>
    <sheet name="PainelDeIndicadores" sheetId="14" r:id="rId19"/>
  </sheets>
  <definedNames>
    <definedName name="LME">PainelDeVariaveis!$K$3</definedName>
    <definedName name="VME">PainelDeVariaveis!$K$4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2" l="1"/>
  <c r="B29" i="4"/>
  <c r="B555" i="5"/>
  <c r="B518" i="5"/>
  <c r="B444" i="5"/>
  <c r="B481" i="5"/>
  <c r="B554" i="5"/>
  <c r="B517" i="5"/>
  <c r="B480" i="5"/>
  <c r="B443" i="5"/>
  <c r="B407" i="5"/>
  <c r="B259" i="5"/>
  <c r="B258" i="5" s="1"/>
  <c r="B257" i="5" s="1"/>
  <c r="B256" i="5" s="1"/>
  <c r="B255" i="5" s="1"/>
  <c r="B254" i="5" s="1"/>
  <c r="B253" i="5" s="1"/>
  <c r="B252" i="5" s="1"/>
  <c r="B251" i="5" s="1"/>
  <c r="B250" i="5" s="1"/>
  <c r="B249" i="5" s="1"/>
  <c r="B248" i="5" s="1"/>
  <c r="B247" i="5" s="1"/>
  <c r="B246" i="5" s="1"/>
  <c r="B245" i="5" s="1"/>
  <c r="B244" i="5" s="1"/>
  <c r="B243" i="5" s="1"/>
  <c r="B242" i="5" s="1"/>
  <c r="B241" i="5" s="1"/>
  <c r="B240" i="5" s="1"/>
  <c r="B239" i="5" s="1"/>
  <c r="B238" i="5" s="1"/>
  <c r="B237" i="5" s="1"/>
  <c r="B236" i="5" s="1"/>
  <c r="B235" i="5" s="1"/>
  <c r="B234" i="5" s="1"/>
  <c r="B233" i="5" s="1"/>
  <c r="B232" i="5" s="1"/>
  <c r="B231" i="5" s="1"/>
  <c r="B10" i="22"/>
  <c r="C10" i="22" s="1"/>
  <c r="B11" i="22"/>
  <c r="C11" i="22" s="1"/>
  <c r="B12" i="22"/>
  <c r="C12" i="22" s="1"/>
  <c r="B13" i="22"/>
  <c r="B14" i="22"/>
  <c r="C14" i="22" s="1"/>
  <c r="B15" i="22"/>
  <c r="B16" i="22"/>
  <c r="B17" i="22"/>
  <c r="B18" i="22"/>
  <c r="B19" i="22"/>
  <c r="C19" i="22" s="1"/>
  <c r="B20" i="22"/>
  <c r="C20" i="22" s="1"/>
  <c r="B21" i="22"/>
  <c r="C21" i="22" s="1"/>
  <c r="B22" i="22"/>
  <c r="C22" i="22" s="1"/>
  <c r="B23" i="22"/>
  <c r="B24" i="22"/>
  <c r="B25" i="22"/>
  <c r="B26" i="22"/>
  <c r="C26" i="22" s="1"/>
  <c r="B27" i="22"/>
  <c r="B28" i="22"/>
  <c r="B29" i="22"/>
  <c r="B30" i="22"/>
  <c r="B31" i="22"/>
  <c r="C31" i="22" s="1"/>
  <c r="B32" i="22"/>
  <c r="B33" i="22"/>
  <c r="B34" i="22"/>
  <c r="C34" i="22" s="1"/>
  <c r="B35" i="22"/>
  <c r="C35" i="22" s="1"/>
  <c r="B36" i="22"/>
  <c r="C36" i="22" s="1"/>
  <c r="B37" i="22"/>
  <c r="B38" i="22"/>
  <c r="B39" i="22"/>
  <c r="B40" i="22"/>
  <c r="B41" i="22"/>
  <c r="B42" i="22"/>
  <c r="B43" i="22"/>
  <c r="C43" i="22" s="1"/>
  <c r="B44" i="22"/>
  <c r="C44" i="22" s="1"/>
  <c r="B45" i="22"/>
  <c r="C45" i="22" s="1"/>
  <c r="B46" i="22"/>
  <c r="C555" i="5" s="1"/>
  <c r="B47" i="22"/>
  <c r="C47" i="22" s="1"/>
  <c r="B48" i="22"/>
  <c r="C48" i="22" s="1"/>
  <c r="B49" i="22"/>
  <c r="C49" i="22" s="1"/>
  <c r="B50" i="22"/>
  <c r="B51" i="22"/>
  <c r="B52" i="22"/>
  <c r="B53" i="22"/>
  <c r="B54" i="22"/>
  <c r="B55" i="22"/>
  <c r="C55" i="22" s="1"/>
  <c r="B56" i="22"/>
  <c r="I56" i="22" s="1"/>
  <c r="B57" i="22"/>
  <c r="Q57" i="22" s="1"/>
  <c r="B58" i="22"/>
  <c r="B59" i="22"/>
  <c r="B60" i="22"/>
  <c r="B61" i="22"/>
  <c r="B62" i="22"/>
  <c r="B63" i="22"/>
  <c r="B64" i="22"/>
  <c r="B65" i="22"/>
  <c r="B66" i="22"/>
  <c r="B67" i="22"/>
  <c r="C67" i="22" s="1"/>
  <c r="B68" i="22"/>
  <c r="C68" i="22" s="1"/>
  <c r="B69" i="22"/>
  <c r="F69" i="22" s="1"/>
  <c r="B70" i="22"/>
  <c r="B71" i="22"/>
  <c r="B72" i="22"/>
  <c r="B73" i="22"/>
  <c r="B74" i="22"/>
  <c r="B75" i="22"/>
  <c r="B76" i="22"/>
  <c r="B77" i="22"/>
  <c r="M77" i="22" s="1"/>
  <c r="B78" i="22"/>
  <c r="B79" i="22"/>
  <c r="C79" i="22" s="1"/>
  <c r="B80" i="22"/>
  <c r="C80" i="22" s="1"/>
  <c r="B81" i="22"/>
  <c r="J81" i="22" s="1"/>
  <c r="B82" i="22"/>
  <c r="B83" i="22"/>
  <c r="B84" i="22"/>
  <c r="B85" i="22"/>
  <c r="B86" i="22"/>
  <c r="B87" i="22"/>
  <c r="B88" i="22"/>
  <c r="B89" i="22"/>
  <c r="B90" i="22"/>
  <c r="J90" i="22" s="1"/>
  <c r="B91" i="22"/>
  <c r="C91" i="22" s="1"/>
  <c r="B92" i="22"/>
  <c r="C92" i="22" s="1"/>
  <c r="B93" i="22"/>
  <c r="O93" i="22" s="1"/>
  <c r="B94" i="22"/>
  <c r="B95" i="22"/>
  <c r="B96" i="22"/>
  <c r="H96" i="22" s="1"/>
  <c r="C13" i="22"/>
  <c r="C15" i="22"/>
  <c r="C16" i="22"/>
  <c r="C17" i="22"/>
  <c r="C18" i="22"/>
  <c r="C23" i="22"/>
  <c r="C24" i="22"/>
  <c r="C25" i="22"/>
  <c r="C27" i="22"/>
  <c r="C28" i="22"/>
  <c r="C29" i="22"/>
  <c r="C30" i="22"/>
  <c r="C37" i="22"/>
  <c r="C39" i="22"/>
  <c r="C40" i="22"/>
  <c r="C41" i="22"/>
  <c r="C42" i="22"/>
  <c r="C46" i="22"/>
  <c r="C50" i="22"/>
  <c r="C51" i="22"/>
  <c r="C52" i="22"/>
  <c r="C53" i="22"/>
  <c r="C54" i="22"/>
  <c r="C58" i="22"/>
  <c r="C59" i="22"/>
  <c r="C60" i="22"/>
  <c r="C61" i="22"/>
  <c r="C62" i="22"/>
  <c r="C63" i="22"/>
  <c r="C64" i="22"/>
  <c r="C65" i="22"/>
  <c r="C66" i="22"/>
  <c r="C70" i="22"/>
  <c r="C71" i="22"/>
  <c r="C72" i="22"/>
  <c r="C73" i="22"/>
  <c r="C74" i="22"/>
  <c r="C75" i="22"/>
  <c r="C76" i="22"/>
  <c r="C77" i="22"/>
  <c r="C78" i="22"/>
  <c r="C82" i="22"/>
  <c r="C83" i="22"/>
  <c r="C84" i="22"/>
  <c r="C85" i="22"/>
  <c r="C86" i="22"/>
  <c r="C87" i="22"/>
  <c r="C88" i="22"/>
  <c r="C89" i="22"/>
  <c r="C90" i="22"/>
  <c r="C94" i="22"/>
  <c r="C95" i="22"/>
  <c r="C96" i="22"/>
  <c r="B9" i="22"/>
  <c r="C9" i="22" s="1"/>
  <c r="Q96" i="22"/>
  <c r="P96" i="22"/>
  <c r="J96" i="22"/>
  <c r="I96" i="22"/>
  <c r="F96" i="22"/>
  <c r="E96" i="22"/>
  <c r="O96" i="22"/>
  <c r="N95" i="22"/>
  <c r="M95" i="22"/>
  <c r="K95" i="22"/>
  <c r="J95" i="22"/>
  <c r="I95" i="22"/>
  <c r="M94" i="22"/>
  <c r="F94" i="22"/>
  <c r="E94" i="22"/>
  <c r="Q94" i="22"/>
  <c r="D93" i="22"/>
  <c r="N91" i="22"/>
  <c r="L91" i="22"/>
  <c r="F91" i="22"/>
  <c r="E91" i="22"/>
  <c r="Q90" i="22"/>
  <c r="P90" i="22"/>
  <c r="H90" i="22"/>
  <c r="G90" i="22"/>
  <c r="E90" i="22"/>
  <c r="O90" i="22"/>
  <c r="Q88" i="22"/>
  <c r="O88" i="22"/>
  <c r="N88" i="22"/>
  <c r="M88" i="22"/>
  <c r="L88" i="22"/>
  <c r="F88" i="22"/>
  <c r="Q87" i="22"/>
  <c r="P87" i="22"/>
  <c r="J87" i="22"/>
  <c r="I87" i="22"/>
  <c r="H87" i="22"/>
  <c r="G87" i="22"/>
  <c r="F87" i="22"/>
  <c r="E87" i="22"/>
  <c r="D87" i="22"/>
  <c r="O87" i="22"/>
  <c r="J86" i="22"/>
  <c r="Q85" i="22"/>
  <c r="M85" i="22"/>
  <c r="Q84" i="22"/>
  <c r="P84" i="22"/>
  <c r="J84" i="22"/>
  <c r="I84" i="22"/>
  <c r="H84" i="22"/>
  <c r="G84" i="22"/>
  <c r="F84" i="22"/>
  <c r="E84" i="22"/>
  <c r="D84" i="22"/>
  <c r="O84" i="22"/>
  <c r="M83" i="22"/>
  <c r="K83" i="22"/>
  <c r="I83" i="22"/>
  <c r="H83" i="22"/>
  <c r="N83" i="22"/>
  <c r="Q82" i="22"/>
  <c r="O82" i="22"/>
  <c r="F82" i="22"/>
  <c r="E82" i="22"/>
  <c r="P81" i="22"/>
  <c r="M80" i="22"/>
  <c r="Q78" i="22"/>
  <c r="P78" i="22"/>
  <c r="J78" i="22"/>
  <c r="I78" i="22"/>
  <c r="H78" i="22"/>
  <c r="G78" i="22"/>
  <c r="F78" i="22"/>
  <c r="E78" i="22"/>
  <c r="D78" i="22"/>
  <c r="O78" i="22"/>
  <c r="N77" i="22"/>
  <c r="J77" i="22"/>
  <c r="I77" i="22"/>
  <c r="M76" i="22"/>
  <c r="F76" i="22"/>
  <c r="E76" i="22"/>
  <c r="Q76" i="22"/>
  <c r="Q75" i="22"/>
  <c r="P75" i="22"/>
  <c r="J75" i="22"/>
  <c r="I75" i="22"/>
  <c r="H75" i="22"/>
  <c r="G75" i="22"/>
  <c r="F75" i="22"/>
  <c r="E75" i="22"/>
  <c r="D75" i="22"/>
  <c r="O75" i="22"/>
  <c r="M74" i="22"/>
  <c r="K74" i="22"/>
  <c r="Q73" i="22"/>
  <c r="O73" i="22"/>
  <c r="N73" i="22"/>
  <c r="M73" i="22"/>
  <c r="L73" i="22"/>
  <c r="F73" i="22"/>
  <c r="E73" i="22"/>
  <c r="Q72" i="22"/>
  <c r="P72" i="22"/>
  <c r="J72" i="22"/>
  <c r="I72" i="22"/>
  <c r="H72" i="22"/>
  <c r="G72" i="22"/>
  <c r="F72" i="22"/>
  <c r="E72" i="22"/>
  <c r="D72" i="22"/>
  <c r="O72" i="22"/>
  <c r="O70" i="22"/>
  <c r="N70" i="22"/>
  <c r="L70" i="22"/>
  <c r="F70" i="22"/>
  <c r="Q70" i="22"/>
  <c r="G69" i="22"/>
  <c r="N67" i="22"/>
  <c r="Q66" i="22"/>
  <c r="P66" i="22"/>
  <c r="J66" i="22"/>
  <c r="I66" i="22"/>
  <c r="H66" i="22"/>
  <c r="G66" i="22"/>
  <c r="F66" i="22"/>
  <c r="E66" i="22"/>
  <c r="D66" i="22"/>
  <c r="O66" i="22"/>
  <c r="N65" i="22"/>
  <c r="M65" i="22"/>
  <c r="L65" i="22"/>
  <c r="K65" i="22"/>
  <c r="J65" i="22"/>
  <c r="Q64" i="22"/>
  <c r="P64" i="22"/>
  <c r="O64" i="22"/>
  <c r="N64" i="22"/>
  <c r="M64" i="22"/>
  <c r="L64" i="22"/>
  <c r="F64" i="22"/>
  <c r="E64" i="22"/>
  <c r="D64" i="22"/>
  <c r="Q63" i="22"/>
  <c r="P63" i="22"/>
  <c r="J63" i="22"/>
  <c r="I63" i="22"/>
  <c r="H63" i="22"/>
  <c r="G63" i="22"/>
  <c r="F63" i="22"/>
  <c r="E63" i="22"/>
  <c r="D63" i="22"/>
  <c r="O63" i="22"/>
  <c r="I62" i="22"/>
  <c r="Q61" i="22"/>
  <c r="P61" i="22"/>
  <c r="O61" i="22"/>
  <c r="N61" i="22"/>
  <c r="E61" i="22"/>
  <c r="D61" i="22"/>
  <c r="Q60" i="22"/>
  <c r="P60" i="22"/>
  <c r="J60" i="22"/>
  <c r="I60" i="22"/>
  <c r="H60" i="22"/>
  <c r="G60" i="22"/>
  <c r="F60" i="22"/>
  <c r="E60" i="22"/>
  <c r="D60" i="22"/>
  <c r="O60" i="22"/>
  <c r="N59" i="22"/>
  <c r="M59" i="22"/>
  <c r="L59" i="22"/>
  <c r="K59" i="22"/>
  <c r="J59" i="22"/>
  <c r="I59" i="22"/>
  <c r="H59" i="22"/>
  <c r="M58" i="22"/>
  <c r="F58" i="22"/>
  <c r="E58" i="22"/>
  <c r="Q58" i="22"/>
  <c r="N56" i="22"/>
  <c r="M56" i="22"/>
  <c r="Q55" i="22"/>
  <c r="P55" i="22"/>
  <c r="O55" i="22"/>
  <c r="N55" i="22"/>
  <c r="M55" i="22"/>
  <c r="E55" i="22"/>
  <c r="D55" i="22"/>
  <c r="Q54" i="22"/>
  <c r="P54" i="22"/>
  <c r="N53" i="22"/>
  <c r="M53" i="22"/>
  <c r="L53" i="22"/>
  <c r="K53" i="22"/>
  <c r="J53" i="22"/>
  <c r="I53" i="22"/>
  <c r="Q52" i="22"/>
  <c r="P52" i="22"/>
  <c r="O52" i="22"/>
  <c r="N52" i="22"/>
  <c r="M52" i="22"/>
  <c r="L52" i="22"/>
  <c r="J52" i="22"/>
  <c r="F52" i="22"/>
  <c r="E52" i="22"/>
  <c r="Q51" i="22"/>
  <c r="P51" i="22"/>
  <c r="N51" i="22"/>
  <c r="J51" i="22"/>
  <c r="I51" i="22"/>
  <c r="H51" i="22"/>
  <c r="G51" i="22"/>
  <c r="F51" i="22"/>
  <c r="E51" i="22"/>
  <c r="K50" i="22"/>
  <c r="I50" i="22"/>
  <c r="H50" i="22"/>
  <c r="N50" i="22"/>
  <c r="Q49" i="22"/>
  <c r="J49" i="22"/>
  <c r="E49" i="22"/>
  <c r="D49" i="22"/>
  <c r="P49" i="22"/>
  <c r="Q48" i="22"/>
  <c r="H48" i="22"/>
  <c r="G48" i="22"/>
  <c r="E48" i="22"/>
  <c r="D48" i="22"/>
  <c r="P48" i="22"/>
  <c r="N47" i="22"/>
  <c r="M47" i="22"/>
  <c r="I47" i="22"/>
  <c r="H47" i="22"/>
  <c r="F47" i="22"/>
  <c r="J2" i="22"/>
  <c r="J1" i="22"/>
  <c r="B10" i="21"/>
  <c r="C10" i="21" s="1"/>
  <c r="B11" i="21"/>
  <c r="C11" i="21" s="1"/>
  <c r="B12" i="21"/>
  <c r="C12" i="21" s="1"/>
  <c r="B13" i="21"/>
  <c r="C13" i="21" s="1"/>
  <c r="B14" i="21"/>
  <c r="C14" i="21" s="1"/>
  <c r="B15" i="21"/>
  <c r="C15" i="21" s="1"/>
  <c r="B16" i="21"/>
  <c r="C16" i="21" s="1"/>
  <c r="B17" i="21"/>
  <c r="C17" i="21" s="1"/>
  <c r="B18" i="21"/>
  <c r="C18" i="21" s="1"/>
  <c r="B19" i="21"/>
  <c r="C19" i="21" s="1"/>
  <c r="B20" i="21"/>
  <c r="C20" i="21" s="1"/>
  <c r="B21" i="21"/>
  <c r="C21" i="21" s="1"/>
  <c r="B22" i="21"/>
  <c r="C22" i="21" s="1"/>
  <c r="B23" i="21"/>
  <c r="C23" i="21" s="1"/>
  <c r="B24" i="21"/>
  <c r="C24" i="21" s="1"/>
  <c r="B25" i="21"/>
  <c r="C25" i="21" s="1"/>
  <c r="B26" i="21"/>
  <c r="C26" i="21" s="1"/>
  <c r="B27" i="21"/>
  <c r="C27" i="21" s="1"/>
  <c r="B28" i="21"/>
  <c r="C28" i="21" s="1"/>
  <c r="B29" i="21"/>
  <c r="C29" i="21" s="1"/>
  <c r="B30" i="21"/>
  <c r="B31" i="21"/>
  <c r="C31" i="21" s="1"/>
  <c r="B32" i="21"/>
  <c r="C32" i="21" s="1"/>
  <c r="B33" i="21"/>
  <c r="C33" i="21" s="1"/>
  <c r="B34" i="21"/>
  <c r="C34" i="21" s="1"/>
  <c r="B35" i="21"/>
  <c r="C35" i="21" s="1"/>
  <c r="B36" i="21"/>
  <c r="C36" i="21" s="1"/>
  <c r="B37" i="21"/>
  <c r="C37" i="21" s="1"/>
  <c r="B38" i="21"/>
  <c r="C38" i="21" s="1"/>
  <c r="B39" i="21"/>
  <c r="C39" i="21" s="1"/>
  <c r="B40" i="21"/>
  <c r="C40" i="21" s="1"/>
  <c r="B41" i="21"/>
  <c r="C41" i="21" s="1"/>
  <c r="B42" i="21"/>
  <c r="B43" i="21"/>
  <c r="C43" i="21" s="1"/>
  <c r="B44" i="21"/>
  <c r="C44" i="21" s="1"/>
  <c r="B45" i="21"/>
  <c r="B46" i="21"/>
  <c r="C46" i="21" s="1"/>
  <c r="B47" i="21"/>
  <c r="C47" i="21" s="1"/>
  <c r="B48" i="21"/>
  <c r="C48" i="21" s="1"/>
  <c r="B49" i="21"/>
  <c r="C49" i="21" s="1"/>
  <c r="B50" i="21"/>
  <c r="C50" i="21" s="1"/>
  <c r="B51" i="21"/>
  <c r="C51" i="21" s="1"/>
  <c r="B52" i="21"/>
  <c r="C52" i="21" s="1"/>
  <c r="B53" i="21"/>
  <c r="C53" i="21" s="1"/>
  <c r="B54" i="21"/>
  <c r="C54" i="21" s="1"/>
  <c r="B55" i="21"/>
  <c r="C55" i="21" s="1"/>
  <c r="B56" i="21"/>
  <c r="C56" i="21" s="1"/>
  <c r="B57" i="21"/>
  <c r="B58" i="21"/>
  <c r="C58" i="21" s="1"/>
  <c r="B59" i="21"/>
  <c r="C59" i="21" s="1"/>
  <c r="B60" i="21"/>
  <c r="C60" i="21" s="1"/>
  <c r="B61" i="21"/>
  <c r="C61" i="21" s="1"/>
  <c r="B62" i="21"/>
  <c r="C62" i="21" s="1"/>
  <c r="B63" i="21"/>
  <c r="C63" i="21" s="1"/>
  <c r="B64" i="21"/>
  <c r="C64" i="21" s="1"/>
  <c r="B65" i="21"/>
  <c r="C65" i="21" s="1"/>
  <c r="B66" i="21"/>
  <c r="C66" i="21" s="1"/>
  <c r="B67" i="21"/>
  <c r="C67" i="21" s="1"/>
  <c r="B68" i="21"/>
  <c r="B69" i="21"/>
  <c r="B70" i="21"/>
  <c r="C70" i="21" s="1"/>
  <c r="B71" i="21"/>
  <c r="C71" i="21" s="1"/>
  <c r="B72" i="21"/>
  <c r="C72" i="21" s="1"/>
  <c r="B73" i="21"/>
  <c r="C73" i="21" s="1"/>
  <c r="B74" i="21"/>
  <c r="C74" i="21" s="1"/>
  <c r="B75" i="21"/>
  <c r="C75" i="21" s="1"/>
  <c r="B76" i="21"/>
  <c r="C76" i="21" s="1"/>
  <c r="B77" i="21"/>
  <c r="C77" i="21" s="1"/>
  <c r="B78" i="21"/>
  <c r="C78" i="21" s="1"/>
  <c r="B79" i="21"/>
  <c r="C79" i="21" s="1"/>
  <c r="B80" i="21"/>
  <c r="B81" i="21"/>
  <c r="B82" i="21"/>
  <c r="B83" i="21"/>
  <c r="B84" i="21"/>
  <c r="B85" i="21"/>
  <c r="C85" i="21" s="1"/>
  <c r="B86" i="21"/>
  <c r="B87" i="21"/>
  <c r="C87" i="21" s="1"/>
  <c r="B88" i="21"/>
  <c r="C88" i="21" s="1"/>
  <c r="B89" i="21"/>
  <c r="B90" i="21"/>
  <c r="C90" i="21" s="1"/>
  <c r="B91" i="21"/>
  <c r="C91" i="21" s="1"/>
  <c r="B92" i="21"/>
  <c r="B93" i="21"/>
  <c r="B94" i="21"/>
  <c r="C94" i="21" s="1"/>
  <c r="B95" i="21"/>
  <c r="B96" i="21"/>
  <c r="B9" i="21"/>
  <c r="C9" i="21" s="1"/>
  <c r="M96" i="21"/>
  <c r="G96" i="21"/>
  <c r="F96" i="21"/>
  <c r="E96" i="21"/>
  <c r="D96" i="21"/>
  <c r="G95" i="21"/>
  <c r="Q93" i="21"/>
  <c r="Q92" i="21"/>
  <c r="Q90" i="21"/>
  <c r="P90" i="21"/>
  <c r="O90" i="21"/>
  <c r="M90" i="21"/>
  <c r="J90" i="21"/>
  <c r="I90" i="21"/>
  <c r="G90" i="21"/>
  <c r="F90" i="21"/>
  <c r="E90" i="21"/>
  <c r="D90" i="21"/>
  <c r="N90" i="21"/>
  <c r="J89" i="21"/>
  <c r="I89" i="21"/>
  <c r="O88" i="21"/>
  <c r="N88" i="21"/>
  <c r="Q87" i="21"/>
  <c r="P87" i="21"/>
  <c r="O87" i="21"/>
  <c r="M87" i="21"/>
  <c r="J87" i="21"/>
  <c r="I87" i="21"/>
  <c r="G87" i="21"/>
  <c r="F87" i="21"/>
  <c r="E87" i="21"/>
  <c r="D87" i="21"/>
  <c r="N87" i="21"/>
  <c r="Q86" i="21"/>
  <c r="K86" i="21"/>
  <c r="G86" i="21"/>
  <c r="Q84" i="21"/>
  <c r="P84" i="21"/>
  <c r="M84" i="21"/>
  <c r="J84" i="21"/>
  <c r="I84" i="21"/>
  <c r="G84" i="21"/>
  <c r="F84" i="21"/>
  <c r="D84" i="21"/>
  <c r="Q83" i="21"/>
  <c r="K83" i="21"/>
  <c r="G83" i="21"/>
  <c r="E83" i="21"/>
  <c r="I83" i="21"/>
  <c r="E81" i="21"/>
  <c r="Q78" i="21"/>
  <c r="P78" i="21"/>
  <c r="O78" i="21"/>
  <c r="M78" i="21"/>
  <c r="J78" i="21"/>
  <c r="I78" i="21"/>
  <c r="G78" i="21"/>
  <c r="F78" i="21"/>
  <c r="E78" i="21"/>
  <c r="D78" i="21"/>
  <c r="N78" i="21"/>
  <c r="Q77" i="21"/>
  <c r="K77" i="21"/>
  <c r="J77" i="21"/>
  <c r="G77" i="21"/>
  <c r="E77" i="21"/>
  <c r="I77" i="21"/>
  <c r="I76" i="21"/>
  <c r="Q75" i="21"/>
  <c r="P75" i="21"/>
  <c r="O75" i="21"/>
  <c r="M75" i="21"/>
  <c r="J75" i="21"/>
  <c r="I75" i="21"/>
  <c r="G75" i="21"/>
  <c r="F75" i="21"/>
  <c r="E75" i="21"/>
  <c r="D75" i="21"/>
  <c r="N75" i="21"/>
  <c r="Q74" i="21"/>
  <c r="K74" i="21"/>
  <c r="J74" i="21"/>
  <c r="G74" i="21"/>
  <c r="E74" i="21"/>
  <c r="I74" i="21"/>
  <c r="Q72" i="21"/>
  <c r="P72" i="21"/>
  <c r="O72" i="21"/>
  <c r="M72" i="21"/>
  <c r="J72" i="21"/>
  <c r="I72" i="21"/>
  <c r="G72" i="21"/>
  <c r="F72" i="21"/>
  <c r="E72" i="21"/>
  <c r="D72" i="21"/>
  <c r="N72" i="21"/>
  <c r="Q71" i="21"/>
  <c r="K71" i="21"/>
  <c r="J71" i="21"/>
  <c r="G71" i="21"/>
  <c r="E71" i="21"/>
  <c r="I71" i="21"/>
  <c r="F69" i="21"/>
  <c r="Q66" i="21"/>
  <c r="P66" i="21"/>
  <c r="O66" i="21"/>
  <c r="M66" i="21"/>
  <c r="J66" i="21"/>
  <c r="I66" i="21"/>
  <c r="G66" i="21"/>
  <c r="F66" i="21"/>
  <c r="E66" i="21"/>
  <c r="D66" i="21"/>
  <c r="N66" i="21"/>
  <c r="N65" i="21"/>
  <c r="K65" i="21"/>
  <c r="J65" i="21"/>
  <c r="N64" i="21"/>
  <c r="K64" i="21"/>
  <c r="O64" i="21"/>
  <c r="Q63" i="21"/>
  <c r="P63" i="21"/>
  <c r="O63" i="21"/>
  <c r="M63" i="21"/>
  <c r="J63" i="21"/>
  <c r="I63" i="21"/>
  <c r="G63" i="21"/>
  <c r="F63" i="21"/>
  <c r="E63" i="21"/>
  <c r="D63" i="21"/>
  <c r="N63" i="21"/>
  <c r="N61" i="21"/>
  <c r="M61" i="21"/>
  <c r="K61" i="21"/>
  <c r="Q60" i="21"/>
  <c r="P60" i="21"/>
  <c r="O60" i="21"/>
  <c r="M60" i="21"/>
  <c r="J60" i="21"/>
  <c r="I60" i="21"/>
  <c r="G60" i="21"/>
  <c r="F60" i="21"/>
  <c r="E60" i="21"/>
  <c r="D60" i="21"/>
  <c r="N60" i="21"/>
  <c r="N59" i="21"/>
  <c r="J59" i="21"/>
  <c r="Q59" i="21"/>
  <c r="P57" i="21"/>
  <c r="N56" i="21"/>
  <c r="O55" i="21"/>
  <c r="M55" i="21"/>
  <c r="L55" i="21"/>
  <c r="K55" i="21"/>
  <c r="Q55" i="21"/>
  <c r="Q54" i="21"/>
  <c r="P54" i="21"/>
  <c r="O54" i="21"/>
  <c r="M54" i="21"/>
  <c r="J54" i="21"/>
  <c r="I54" i="21"/>
  <c r="G54" i="21"/>
  <c r="F54" i="21"/>
  <c r="E54" i="21"/>
  <c r="D54" i="21"/>
  <c r="N54" i="21"/>
  <c r="Q53" i="21"/>
  <c r="M53" i="21"/>
  <c r="K53" i="21"/>
  <c r="J53" i="21"/>
  <c r="I53" i="21"/>
  <c r="H53" i="21"/>
  <c r="N53" i="21"/>
  <c r="Q52" i="21"/>
  <c r="O52" i="21"/>
  <c r="N52" i="21"/>
  <c r="M52" i="21"/>
  <c r="L52" i="21"/>
  <c r="K52" i="21"/>
  <c r="I52" i="21"/>
  <c r="F52" i="21"/>
  <c r="E52" i="21"/>
  <c r="Q51" i="21"/>
  <c r="P51" i="21"/>
  <c r="O51" i="21"/>
  <c r="M51" i="21"/>
  <c r="J51" i="21"/>
  <c r="I51" i="21"/>
  <c r="G51" i="21"/>
  <c r="F51" i="21"/>
  <c r="E51" i="21"/>
  <c r="D51" i="21"/>
  <c r="N51" i="21"/>
  <c r="K50" i="21"/>
  <c r="I50" i="21"/>
  <c r="Q50" i="21"/>
  <c r="K49" i="21"/>
  <c r="F49" i="21"/>
  <c r="Q49" i="21"/>
  <c r="Q48" i="21"/>
  <c r="P48" i="21"/>
  <c r="O48" i="21"/>
  <c r="M48" i="21"/>
  <c r="J48" i="21"/>
  <c r="I48" i="21"/>
  <c r="G48" i="21"/>
  <c r="F48" i="21"/>
  <c r="E48" i="21"/>
  <c r="D48" i="21"/>
  <c r="N48" i="21"/>
  <c r="Q47" i="21"/>
  <c r="J47" i="21"/>
  <c r="I47" i="21"/>
  <c r="H47" i="21"/>
  <c r="E47" i="21"/>
  <c r="N47" i="21"/>
  <c r="J2" i="21"/>
  <c r="J1" i="21"/>
  <c r="B10" i="20"/>
  <c r="C10" i="20" s="1"/>
  <c r="B11" i="20"/>
  <c r="C11" i="20" s="1"/>
  <c r="B12" i="20"/>
  <c r="C12" i="20" s="1"/>
  <c r="B13" i="20"/>
  <c r="C13" i="20" s="1"/>
  <c r="B14" i="20"/>
  <c r="C14" i="20" s="1"/>
  <c r="B15" i="20"/>
  <c r="C15" i="20" s="1"/>
  <c r="B16" i="20"/>
  <c r="C16" i="20" s="1"/>
  <c r="B17" i="20"/>
  <c r="C17" i="20" s="1"/>
  <c r="B18" i="20"/>
  <c r="C18" i="20" s="1"/>
  <c r="B19" i="20"/>
  <c r="C19" i="20" s="1"/>
  <c r="B20" i="20"/>
  <c r="C20" i="20" s="1"/>
  <c r="B21" i="20"/>
  <c r="C21" i="20" s="1"/>
  <c r="B22" i="20"/>
  <c r="C22" i="20" s="1"/>
  <c r="B23" i="20"/>
  <c r="C23" i="20" s="1"/>
  <c r="B24" i="20"/>
  <c r="C24" i="20" s="1"/>
  <c r="B25" i="20"/>
  <c r="C25" i="20" s="1"/>
  <c r="B26" i="20"/>
  <c r="C26" i="20" s="1"/>
  <c r="B27" i="20"/>
  <c r="C27" i="20" s="1"/>
  <c r="B28" i="20"/>
  <c r="B29" i="20"/>
  <c r="C29" i="20" s="1"/>
  <c r="B30" i="20"/>
  <c r="C30" i="20" s="1"/>
  <c r="B31" i="20"/>
  <c r="C31" i="20" s="1"/>
  <c r="B32" i="20"/>
  <c r="C32" i="20" s="1"/>
  <c r="B33" i="20"/>
  <c r="C33" i="20" s="1"/>
  <c r="B34" i="20"/>
  <c r="C34" i="20" s="1"/>
  <c r="B35" i="20"/>
  <c r="C35" i="20" s="1"/>
  <c r="B36" i="20"/>
  <c r="C36" i="20" s="1"/>
  <c r="B37" i="20"/>
  <c r="C37" i="20" s="1"/>
  <c r="B38" i="20"/>
  <c r="C38" i="20" s="1"/>
  <c r="B39" i="20"/>
  <c r="C39" i="20" s="1"/>
  <c r="B40" i="20"/>
  <c r="C40" i="20" s="1"/>
  <c r="B41" i="20"/>
  <c r="C41" i="20" s="1"/>
  <c r="B42" i="20"/>
  <c r="B43" i="20"/>
  <c r="C43" i="20" s="1"/>
  <c r="B44" i="20"/>
  <c r="C44" i="20" s="1"/>
  <c r="B45" i="20"/>
  <c r="C45" i="20" s="1"/>
  <c r="B46" i="20"/>
  <c r="B47" i="20"/>
  <c r="C47" i="20" s="1"/>
  <c r="B48" i="20"/>
  <c r="C48" i="20" s="1"/>
  <c r="B49" i="20"/>
  <c r="C49" i="20" s="1"/>
  <c r="B50" i="20"/>
  <c r="C50" i="20" s="1"/>
  <c r="B51" i="20"/>
  <c r="C51" i="20" s="1"/>
  <c r="B52" i="20"/>
  <c r="C52" i="20" s="1"/>
  <c r="B53" i="20"/>
  <c r="C53" i="20" s="1"/>
  <c r="B54" i="20"/>
  <c r="C54" i="20" s="1"/>
  <c r="B55" i="20"/>
  <c r="B56" i="20"/>
  <c r="C56" i="20" s="1"/>
  <c r="B57" i="20"/>
  <c r="C57" i="20" s="1"/>
  <c r="B58" i="20"/>
  <c r="C58" i="20" s="1"/>
  <c r="B59" i="20"/>
  <c r="C59" i="20" s="1"/>
  <c r="B60" i="20"/>
  <c r="C60" i="20" s="1"/>
  <c r="B61" i="20"/>
  <c r="C61" i="20" s="1"/>
  <c r="B62" i="20"/>
  <c r="C62" i="20" s="1"/>
  <c r="B63" i="20"/>
  <c r="C63" i="20" s="1"/>
  <c r="B64" i="20"/>
  <c r="C64" i="20" s="1"/>
  <c r="B65" i="20"/>
  <c r="C65" i="20" s="1"/>
  <c r="B66" i="20"/>
  <c r="C66" i="20" s="1"/>
  <c r="B67" i="20"/>
  <c r="B68" i="20"/>
  <c r="C68" i="20" s="1"/>
  <c r="B69" i="20"/>
  <c r="B70" i="20"/>
  <c r="C70" i="20" s="1"/>
  <c r="B71" i="20"/>
  <c r="C71" i="20" s="1"/>
  <c r="B72" i="20"/>
  <c r="C72" i="20" s="1"/>
  <c r="B73" i="20"/>
  <c r="C73" i="20" s="1"/>
  <c r="B74" i="20"/>
  <c r="C74" i="20" s="1"/>
  <c r="B75" i="20"/>
  <c r="C75" i="20" s="1"/>
  <c r="B76" i="20"/>
  <c r="C76" i="20" s="1"/>
  <c r="B77" i="20"/>
  <c r="C77" i="20" s="1"/>
  <c r="B78" i="20"/>
  <c r="B79" i="20"/>
  <c r="B80" i="20"/>
  <c r="C80" i="20" s="1"/>
  <c r="B81" i="20"/>
  <c r="B82" i="20"/>
  <c r="C82" i="20" s="1"/>
  <c r="B83" i="20"/>
  <c r="C83" i="20" s="1"/>
  <c r="B84" i="20"/>
  <c r="C84" i="20" s="1"/>
  <c r="B85" i="20"/>
  <c r="C85" i="20" s="1"/>
  <c r="B86" i="20"/>
  <c r="C86" i="20" s="1"/>
  <c r="B87" i="20"/>
  <c r="C87" i="20" s="1"/>
  <c r="B88" i="20"/>
  <c r="C88" i="20" s="1"/>
  <c r="B89" i="20"/>
  <c r="B90" i="20"/>
  <c r="B91" i="20"/>
  <c r="C91" i="20" s="1"/>
  <c r="B92" i="20"/>
  <c r="B93" i="20"/>
  <c r="B94" i="20"/>
  <c r="C94" i="20" s="1"/>
  <c r="B95" i="20"/>
  <c r="C95" i="20" s="1"/>
  <c r="B96" i="20"/>
  <c r="C96" i="20" s="1"/>
  <c r="B9" i="20"/>
  <c r="C9" i="20" s="1"/>
  <c r="Q96" i="20"/>
  <c r="O96" i="20"/>
  <c r="M96" i="20"/>
  <c r="K96" i="20"/>
  <c r="J96" i="20"/>
  <c r="H96" i="20"/>
  <c r="G96" i="20"/>
  <c r="F96" i="20"/>
  <c r="E96" i="20"/>
  <c r="D96" i="20"/>
  <c r="P96" i="20"/>
  <c r="Q95" i="20"/>
  <c r="K95" i="20"/>
  <c r="J95" i="20"/>
  <c r="G95" i="20"/>
  <c r="E95" i="20"/>
  <c r="I95" i="20"/>
  <c r="O94" i="20"/>
  <c r="Q93" i="20"/>
  <c r="N93" i="20"/>
  <c r="P90" i="20"/>
  <c r="O90" i="20"/>
  <c r="M90" i="20"/>
  <c r="J90" i="20"/>
  <c r="Q89" i="20"/>
  <c r="K89" i="20"/>
  <c r="J89" i="20"/>
  <c r="E89" i="20"/>
  <c r="Q87" i="20"/>
  <c r="P87" i="20"/>
  <c r="O87" i="20"/>
  <c r="M87" i="20"/>
  <c r="K87" i="20"/>
  <c r="J87" i="20"/>
  <c r="H87" i="20"/>
  <c r="G87" i="20"/>
  <c r="F87" i="20"/>
  <c r="E87" i="20"/>
  <c r="D87" i="20"/>
  <c r="N87" i="20"/>
  <c r="Q86" i="20"/>
  <c r="K86" i="20"/>
  <c r="J86" i="20"/>
  <c r="G86" i="20"/>
  <c r="E86" i="20"/>
  <c r="I86" i="20"/>
  <c r="O85" i="20"/>
  <c r="Q84" i="20"/>
  <c r="P84" i="20"/>
  <c r="O84" i="20"/>
  <c r="M84" i="20"/>
  <c r="K84" i="20"/>
  <c r="J84" i="20"/>
  <c r="H84" i="20"/>
  <c r="G84" i="20"/>
  <c r="F84" i="20"/>
  <c r="E84" i="20"/>
  <c r="D84" i="20"/>
  <c r="N84" i="20"/>
  <c r="Q83" i="20"/>
  <c r="K83" i="20"/>
  <c r="J83" i="20"/>
  <c r="G83" i="20"/>
  <c r="E83" i="20"/>
  <c r="I83" i="20"/>
  <c r="O82" i="20"/>
  <c r="N82" i="20"/>
  <c r="K81" i="20"/>
  <c r="Q80" i="20"/>
  <c r="K80" i="20"/>
  <c r="J80" i="20"/>
  <c r="G80" i="20"/>
  <c r="E80" i="20"/>
  <c r="I80" i="20"/>
  <c r="P78" i="20"/>
  <c r="O78" i="20"/>
  <c r="M78" i="20"/>
  <c r="K78" i="20"/>
  <c r="J78" i="20"/>
  <c r="H78" i="20"/>
  <c r="Q77" i="20"/>
  <c r="K77" i="20"/>
  <c r="J77" i="20"/>
  <c r="G77" i="20"/>
  <c r="E77" i="20"/>
  <c r="I77" i="20"/>
  <c r="O76" i="20"/>
  <c r="N76" i="20"/>
  <c r="K76" i="20"/>
  <c r="Q75" i="20"/>
  <c r="P75" i="20"/>
  <c r="O75" i="20"/>
  <c r="M75" i="20"/>
  <c r="K75" i="20"/>
  <c r="J75" i="20"/>
  <c r="H75" i="20"/>
  <c r="G75" i="20"/>
  <c r="F75" i="20"/>
  <c r="E75" i="20"/>
  <c r="D75" i="20"/>
  <c r="N75" i="20"/>
  <c r="Q74" i="20"/>
  <c r="K74" i="20"/>
  <c r="J74" i="20"/>
  <c r="G74" i="20"/>
  <c r="E74" i="20"/>
  <c r="I74" i="20"/>
  <c r="O73" i="20"/>
  <c r="N73" i="20"/>
  <c r="I73" i="20"/>
  <c r="Q72" i="20"/>
  <c r="P72" i="20"/>
  <c r="O72" i="20"/>
  <c r="M72" i="20"/>
  <c r="K72" i="20"/>
  <c r="J72" i="20"/>
  <c r="H72" i="20"/>
  <c r="G72" i="20"/>
  <c r="F72" i="20"/>
  <c r="E72" i="20"/>
  <c r="D72" i="20"/>
  <c r="N72" i="20"/>
  <c r="Q71" i="20"/>
  <c r="K71" i="20"/>
  <c r="J71" i="20"/>
  <c r="G71" i="20"/>
  <c r="E71" i="20"/>
  <c r="I71" i="20"/>
  <c r="O70" i="20"/>
  <c r="P69" i="20"/>
  <c r="Q68" i="20"/>
  <c r="K68" i="20"/>
  <c r="J68" i="20"/>
  <c r="G68" i="20"/>
  <c r="E68" i="20"/>
  <c r="I68" i="20"/>
  <c r="Q66" i="20"/>
  <c r="P66" i="20"/>
  <c r="O66" i="20"/>
  <c r="M66" i="20"/>
  <c r="K66" i="20"/>
  <c r="J66" i="20"/>
  <c r="H66" i="20"/>
  <c r="G66" i="20"/>
  <c r="F66" i="20"/>
  <c r="E66" i="20"/>
  <c r="D66" i="20"/>
  <c r="N66" i="20"/>
  <c r="Q65" i="20"/>
  <c r="N65" i="20"/>
  <c r="K65" i="20"/>
  <c r="J65" i="20"/>
  <c r="G65" i="20"/>
  <c r="O64" i="20"/>
  <c r="K64" i="20"/>
  <c r="I64" i="20"/>
  <c r="N64" i="20"/>
  <c r="Q63" i="20"/>
  <c r="P63" i="20"/>
  <c r="O63" i="20"/>
  <c r="M63" i="20"/>
  <c r="K63" i="20"/>
  <c r="J63" i="20"/>
  <c r="H63" i="20"/>
  <c r="G63" i="20"/>
  <c r="F63" i="20"/>
  <c r="E63" i="20"/>
  <c r="D63" i="20"/>
  <c r="N63" i="20"/>
  <c r="N62" i="20"/>
  <c r="O61" i="20"/>
  <c r="K61" i="20"/>
  <c r="N61" i="20"/>
  <c r="Q60" i="20"/>
  <c r="P60" i="20"/>
  <c r="O60" i="20"/>
  <c r="M60" i="20"/>
  <c r="K60" i="20"/>
  <c r="J60" i="20"/>
  <c r="H60" i="20"/>
  <c r="G60" i="20"/>
  <c r="F60" i="20"/>
  <c r="E60" i="20"/>
  <c r="D60" i="20"/>
  <c r="N60" i="20"/>
  <c r="N58" i="20"/>
  <c r="K58" i="20"/>
  <c r="I58" i="20"/>
  <c r="F57" i="20"/>
  <c r="D57" i="20"/>
  <c r="K56" i="20"/>
  <c r="I56" i="20"/>
  <c r="Q56" i="20"/>
  <c r="F55" i="20"/>
  <c r="Q54" i="20"/>
  <c r="P54" i="20"/>
  <c r="O54" i="20"/>
  <c r="M54" i="20"/>
  <c r="K54" i="20"/>
  <c r="J54" i="20"/>
  <c r="G54" i="20"/>
  <c r="F54" i="20"/>
  <c r="E54" i="20"/>
  <c r="D54" i="20"/>
  <c r="N54" i="20"/>
  <c r="Q53" i="20"/>
  <c r="K53" i="20"/>
  <c r="J53" i="20"/>
  <c r="I53" i="20"/>
  <c r="O52" i="20"/>
  <c r="N52" i="20"/>
  <c r="M52" i="20"/>
  <c r="L52" i="20"/>
  <c r="K52" i="20"/>
  <c r="I52" i="20"/>
  <c r="G52" i="20"/>
  <c r="F52" i="20"/>
  <c r="Q51" i="20"/>
  <c r="P51" i="20"/>
  <c r="O51" i="20"/>
  <c r="M51" i="20"/>
  <c r="K51" i="20"/>
  <c r="J51" i="20"/>
  <c r="G51" i="20"/>
  <c r="F51" i="20"/>
  <c r="E51" i="20"/>
  <c r="D51" i="20"/>
  <c r="N51" i="20"/>
  <c r="J50" i="20"/>
  <c r="H50" i="20"/>
  <c r="Q50" i="20"/>
  <c r="I49" i="20"/>
  <c r="F49" i="20"/>
  <c r="O49" i="20"/>
  <c r="Q48" i="20"/>
  <c r="P48" i="20"/>
  <c r="O48" i="20"/>
  <c r="M48" i="20"/>
  <c r="K48" i="20"/>
  <c r="J48" i="20"/>
  <c r="G48" i="20"/>
  <c r="F48" i="20"/>
  <c r="E48" i="20"/>
  <c r="D48" i="20"/>
  <c r="N48" i="20"/>
  <c r="Q47" i="20"/>
  <c r="O47" i="20"/>
  <c r="J47" i="20"/>
  <c r="H47" i="20"/>
  <c r="G47" i="20"/>
  <c r="N47" i="20"/>
  <c r="J2" i="20"/>
  <c r="J1" i="20"/>
  <c r="B10" i="19"/>
  <c r="C10" i="19" s="1"/>
  <c r="B11" i="19"/>
  <c r="C11" i="19" s="1"/>
  <c r="B12" i="19"/>
  <c r="C12" i="19" s="1"/>
  <c r="B13" i="19"/>
  <c r="C13" i="19" s="1"/>
  <c r="B14" i="19"/>
  <c r="C14" i="19" s="1"/>
  <c r="B15" i="19"/>
  <c r="C15" i="19" s="1"/>
  <c r="B16" i="19"/>
  <c r="C16" i="19" s="1"/>
  <c r="B17" i="19"/>
  <c r="C17" i="19" s="1"/>
  <c r="B18" i="19"/>
  <c r="C18" i="19" s="1"/>
  <c r="B19" i="19"/>
  <c r="C19" i="19" s="1"/>
  <c r="B20" i="19"/>
  <c r="C20" i="19" s="1"/>
  <c r="B21" i="19"/>
  <c r="C21" i="19" s="1"/>
  <c r="B22" i="19"/>
  <c r="C22" i="19" s="1"/>
  <c r="B23" i="19"/>
  <c r="C23" i="19" s="1"/>
  <c r="B24" i="19"/>
  <c r="C24" i="19" s="1"/>
  <c r="B25" i="19"/>
  <c r="C25" i="19" s="1"/>
  <c r="B26" i="19"/>
  <c r="C26" i="19" s="1"/>
  <c r="B27" i="19"/>
  <c r="C27" i="19" s="1"/>
  <c r="B28" i="19"/>
  <c r="C28" i="19" s="1"/>
  <c r="B29" i="19"/>
  <c r="C29" i="19" s="1"/>
  <c r="B30" i="19"/>
  <c r="C30" i="19" s="1"/>
  <c r="B31" i="19"/>
  <c r="B32" i="19"/>
  <c r="C32" i="19" s="1"/>
  <c r="B33" i="19"/>
  <c r="C33" i="19" s="1"/>
  <c r="B34" i="19"/>
  <c r="C34" i="19" s="1"/>
  <c r="B35" i="19"/>
  <c r="C35" i="19" s="1"/>
  <c r="B36" i="19"/>
  <c r="C36" i="19" s="1"/>
  <c r="B37" i="19"/>
  <c r="C37" i="19" s="1"/>
  <c r="B38" i="19"/>
  <c r="C38" i="19" s="1"/>
  <c r="B39" i="19"/>
  <c r="C39" i="19" s="1"/>
  <c r="B40" i="19"/>
  <c r="C40" i="19" s="1"/>
  <c r="B41" i="19"/>
  <c r="C41" i="19" s="1"/>
  <c r="B42" i="19"/>
  <c r="C42" i="19" s="1"/>
  <c r="B43" i="19"/>
  <c r="C43" i="19" s="1"/>
  <c r="B44" i="19"/>
  <c r="C44" i="19" s="1"/>
  <c r="B45" i="19"/>
  <c r="C45" i="19" s="1"/>
  <c r="B46" i="19"/>
  <c r="C46" i="19" s="1"/>
  <c r="B47" i="19"/>
  <c r="C47" i="19" s="1"/>
  <c r="B48" i="19"/>
  <c r="C48" i="19" s="1"/>
  <c r="B49" i="19"/>
  <c r="C49" i="19" s="1"/>
  <c r="B50" i="19"/>
  <c r="C50" i="19" s="1"/>
  <c r="B51" i="19"/>
  <c r="C51" i="19" s="1"/>
  <c r="B52" i="19"/>
  <c r="C52" i="19" s="1"/>
  <c r="B53" i="19"/>
  <c r="C53" i="19" s="1"/>
  <c r="B54" i="19"/>
  <c r="B55" i="19"/>
  <c r="C55" i="19" s="1"/>
  <c r="B56" i="19"/>
  <c r="C56" i="19" s="1"/>
  <c r="B57" i="19"/>
  <c r="B58" i="19"/>
  <c r="C58" i="19" s="1"/>
  <c r="B59" i="19"/>
  <c r="C59" i="19" s="1"/>
  <c r="B60" i="19"/>
  <c r="B61" i="19"/>
  <c r="B62" i="19"/>
  <c r="C62" i="19" s="1"/>
  <c r="B63" i="19"/>
  <c r="C63" i="19" s="1"/>
  <c r="B64" i="19"/>
  <c r="C64" i="19" s="1"/>
  <c r="B65" i="19"/>
  <c r="C65" i="19" s="1"/>
  <c r="B66" i="19"/>
  <c r="B67" i="19"/>
  <c r="B68" i="19"/>
  <c r="C68" i="19" s="1"/>
  <c r="B69" i="19"/>
  <c r="B70" i="19"/>
  <c r="C70" i="19" s="1"/>
  <c r="B71" i="19"/>
  <c r="C71" i="19" s="1"/>
  <c r="B72" i="19"/>
  <c r="B73" i="19"/>
  <c r="B74" i="19"/>
  <c r="C74" i="19" s="1"/>
  <c r="B75" i="19"/>
  <c r="C75" i="19" s="1"/>
  <c r="B76" i="19"/>
  <c r="C76" i="19" s="1"/>
  <c r="B77" i="19"/>
  <c r="B78" i="19"/>
  <c r="B79" i="19"/>
  <c r="C79" i="19" s="1"/>
  <c r="B80" i="19"/>
  <c r="B81" i="19"/>
  <c r="B82" i="19"/>
  <c r="C82" i="19" s="1"/>
  <c r="B83" i="19"/>
  <c r="B84" i="19"/>
  <c r="B85" i="19"/>
  <c r="B86" i="19"/>
  <c r="C86" i="19" s="1"/>
  <c r="B87" i="19"/>
  <c r="B88" i="19"/>
  <c r="C88" i="19" s="1"/>
  <c r="B89" i="19"/>
  <c r="B90" i="19"/>
  <c r="B91" i="19"/>
  <c r="B92" i="19"/>
  <c r="B93" i="19"/>
  <c r="B94" i="19"/>
  <c r="C94" i="19" s="1"/>
  <c r="B95" i="19"/>
  <c r="B96" i="19"/>
  <c r="B9" i="19"/>
  <c r="C9" i="19" s="1"/>
  <c r="D96" i="19"/>
  <c r="Q95" i="19"/>
  <c r="K95" i="19"/>
  <c r="H95" i="19"/>
  <c r="F95" i="19"/>
  <c r="E95" i="19"/>
  <c r="N94" i="19"/>
  <c r="Q93" i="19"/>
  <c r="K92" i="19"/>
  <c r="J92" i="19"/>
  <c r="H92" i="19"/>
  <c r="G90" i="19"/>
  <c r="Q90" i="19"/>
  <c r="Q89" i="19"/>
  <c r="J89" i="19"/>
  <c r="F89" i="19"/>
  <c r="E89" i="19"/>
  <c r="I89" i="19"/>
  <c r="O88" i="19"/>
  <c r="M87" i="19"/>
  <c r="G87" i="19"/>
  <c r="F87" i="19"/>
  <c r="D87" i="19"/>
  <c r="Q87" i="19"/>
  <c r="Q86" i="19"/>
  <c r="K86" i="19"/>
  <c r="J86" i="19"/>
  <c r="H86" i="19"/>
  <c r="F86" i="19"/>
  <c r="E86" i="19"/>
  <c r="I86" i="19"/>
  <c r="N85" i="19"/>
  <c r="L85" i="19"/>
  <c r="G84" i="19"/>
  <c r="F84" i="19"/>
  <c r="Q84" i="19"/>
  <c r="K83" i="19"/>
  <c r="J83" i="19"/>
  <c r="H83" i="19"/>
  <c r="E83" i="19"/>
  <c r="O82" i="19"/>
  <c r="L82" i="19"/>
  <c r="I82" i="19"/>
  <c r="M81" i="19"/>
  <c r="K80" i="19"/>
  <c r="H80" i="19"/>
  <c r="F80" i="19"/>
  <c r="E80" i="19"/>
  <c r="I80" i="19"/>
  <c r="I79" i="19"/>
  <c r="G78" i="19"/>
  <c r="F78" i="19"/>
  <c r="K77" i="19"/>
  <c r="J77" i="19"/>
  <c r="H77" i="19"/>
  <c r="F77" i="19"/>
  <c r="E77" i="19"/>
  <c r="O76" i="19"/>
  <c r="N76" i="19"/>
  <c r="I76" i="19"/>
  <c r="P75" i="19"/>
  <c r="M75" i="19"/>
  <c r="G75" i="19"/>
  <c r="F75" i="19"/>
  <c r="D75" i="19"/>
  <c r="Q75" i="19"/>
  <c r="Q74" i="19"/>
  <c r="K74" i="19"/>
  <c r="J74" i="19"/>
  <c r="H74" i="19"/>
  <c r="F74" i="19"/>
  <c r="E74" i="19"/>
  <c r="I74" i="19"/>
  <c r="O73" i="19"/>
  <c r="P72" i="19"/>
  <c r="M72" i="19"/>
  <c r="F72" i="19"/>
  <c r="Q71" i="19"/>
  <c r="K71" i="19"/>
  <c r="J71" i="19"/>
  <c r="H71" i="19"/>
  <c r="F71" i="19"/>
  <c r="E71" i="19"/>
  <c r="I71" i="19"/>
  <c r="N70" i="19"/>
  <c r="P69" i="19"/>
  <c r="Q68" i="19"/>
  <c r="K68" i="19"/>
  <c r="J68" i="19"/>
  <c r="H68" i="19"/>
  <c r="F68" i="19"/>
  <c r="E68" i="19"/>
  <c r="I68" i="19"/>
  <c r="N67" i="19"/>
  <c r="L67" i="19"/>
  <c r="I67" i="19"/>
  <c r="G66" i="19"/>
  <c r="F66" i="19"/>
  <c r="D66" i="19"/>
  <c r="Q66" i="19"/>
  <c r="Q65" i="19"/>
  <c r="K65" i="19"/>
  <c r="J65" i="19"/>
  <c r="H65" i="19"/>
  <c r="F65" i="19"/>
  <c r="E65" i="19"/>
  <c r="I65" i="19"/>
  <c r="O64" i="19"/>
  <c r="P63" i="19"/>
  <c r="N63" i="19"/>
  <c r="M63" i="19"/>
  <c r="F63" i="19"/>
  <c r="Q62" i="19"/>
  <c r="K62" i="19"/>
  <c r="J62" i="19"/>
  <c r="H62" i="19"/>
  <c r="F62" i="19"/>
  <c r="E62" i="19"/>
  <c r="I62" i="19"/>
  <c r="L61" i="19"/>
  <c r="P60" i="19"/>
  <c r="N60" i="19"/>
  <c r="M60" i="19"/>
  <c r="F60" i="19"/>
  <c r="D60" i="19"/>
  <c r="Q59" i="19"/>
  <c r="K59" i="19"/>
  <c r="J59" i="19"/>
  <c r="H59" i="19"/>
  <c r="F59" i="19"/>
  <c r="E59" i="19"/>
  <c r="I59" i="19"/>
  <c r="O58" i="19"/>
  <c r="N58" i="19"/>
  <c r="L58" i="19"/>
  <c r="J58" i="19"/>
  <c r="Q56" i="19"/>
  <c r="K56" i="19"/>
  <c r="J56" i="19"/>
  <c r="H56" i="19"/>
  <c r="F56" i="19"/>
  <c r="E56" i="19"/>
  <c r="I56" i="19"/>
  <c r="L55" i="19"/>
  <c r="J55" i="19"/>
  <c r="O55" i="19"/>
  <c r="N54" i="19"/>
  <c r="G54" i="19"/>
  <c r="F54" i="19"/>
  <c r="D54" i="19"/>
  <c r="Q53" i="19"/>
  <c r="K53" i="19"/>
  <c r="J53" i="19"/>
  <c r="H53" i="19"/>
  <c r="F53" i="19"/>
  <c r="E53" i="19"/>
  <c r="I53" i="19"/>
  <c r="L52" i="19"/>
  <c r="F52" i="19"/>
  <c r="O52" i="19"/>
  <c r="P51" i="19"/>
  <c r="N51" i="19"/>
  <c r="J51" i="19"/>
  <c r="D51" i="19"/>
  <c r="N50" i="19"/>
  <c r="K50" i="19"/>
  <c r="Q50" i="19"/>
  <c r="L49" i="19"/>
  <c r="F49" i="19"/>
  <c r="O49" i="19"/>
  <c r="P48" i="19"/>
  <c r="N48" i="19"/>
  <c r="J48" i="19"/>
  <c r="D48" i="19"/>
  <c r="N47" i="19"/>
  <c r="K47" i="19"/>
  <c r="Q47" i="19"/>
  <c r="J2" i="19"/>
  <c r="J1" i="19"/>
  <c r="B10" i="18"/>
  <c r="C10" i="18" s="1"/>
  <c r="B11" i="18"/>
  <c r="C11" i="18" s="1"/>
  <c r="B12" i="18"/>
  <c r="C12" i="18" s="1"/>
  <c r="B13" i="18"/>
  <c r="C13" i="18" s="1"/>
  <c r="B14" i="18"/>
  <c r="C14" i="18" s="1"/>
  <c r="B15" i="18"/>
  <c r="C15" i="18" s="1"/>
  <c r="B16" i="18"/>
  <c r="C16" i="18" s="1"/>
  <c r="B17" i="18"/>
  <c r="C17" i="18" s="1"/>
  <c r="B18" i="18"/>
  <c r="C18" i="18" s="1"/>
  <c r="B19" i="18"/>
  <c r="C19" i="18" s="1"/>
  <c r="B20" i="18"/>
  <c r="C20" i="18" s="1"/>
  <c r="B21" i="18"/>
  <c r="C21" i="18" s="1"/>
  <c r="B22" i="18"/>
  <c r="C22" i="18" s="1"/>
  <c r="B23" i="18"/>
  <c r="C23" i="18" s="1"/>
  <c r="B24" i="18"/>
  <c r="C24" i="18" s="1"/>
  <c r="B25" i="18"/>
  <c r="C25" i="18" s="1"/>
  <c r="B26" i="18"/>
  <c r="C26" i="18" s="1"/>
  <c r="B27" i="18"/>
  <c r="C27" i="18" s="1"/>
  <c r="B28" i="18"/>
  <c r="C28" i="18" s="1"/>
  <c r="B29" i="18"/>
  <c r="C407" i="5" s="1"/>
  <c r="B30" i="18"/>
  <c r="B31" i="18"/>
  <c r="B32" i="18"/>
  <c r="C32" i="18" s="1"/>
  <c r="B33" i="18"/>
  <c r="C33" i="18" s="1"/>
  <c r="B34" i="18"/>
  <c r="C34" i="18" s="1"/>
  <c r="B35" i="18"/>
  <c r="C35" i="18" s="1"/>
  <c r="B36" i="18"/>
  <c r="C36" i="18" s="1"/>
  <c r="B37" i="18"/>
  <c r="C37" i="18" s="1"/>
  <c r="B38" i="18"/>
  <c r="C38" i="18" s="1"/>
  <c r="B39" i="18"/>
  <c r="C39" i="18" s="1"/>
  <c r="B40" i="18"/>
  <c r="C40" i="18" s="1"/>
  <c r="B41" i="18"/>
  <c r="C41" i="18" s="1"/>
  <c r="B42" i="18"/>
  <c r="B43" i="18"/>
  <c r="B44" i="18"/>
  <c r="C44" i="18" s="1"/>
  <c r="B45" i="18"/>
  <c r="C45" i="18" s="1"/>
  <c r="B46" i="18"/>
  <c r="C46" i="18" s="1"/>
  <c r="B47" i="18"/>
  <c r="C47" i="18" s="1"/>
  <c r="B48" i="18"/>
  <c r="C48" i="18" s="1"/>
  <c r="B49" i="18"/>
  <c r="C49" i="18" s="1"/>
  <c r="B50" i="18"/>
  <c r="C50" i="18" s="1"/>
  <c r="B51" i="18"/>
  <c r="C51" i="18" s="1"/>
  <c r="B52" i="18"/>
  <c r="C52" i="18" s="1"/>
  <c r="B53" i="18"/>
  <c r="C53" i="18" s="1"/>
  <c r="B54" i="18"/>
  <c r="B55" i="18"/>
  <c r="C55" i="18" s="1"/>
  <c r="B56" i="18"/>
  <c r="C56" i="18" s="1"/>
  <c r="B57" i="18"/>
  <c r="B58" i="18"/>
  <c r="C58" i="18" s="1"/>
  <c r="B59" i="18"/>
  <c r="C59" i="18" s="1"/>
  <c r="B60" i="18"/>
  <c r="C60" i="18" s="1"/>
  <c r="B61" i="18"/>
  <c r="C61" i="18" s="1"/>
  <c r="B62" i="18"/>
  <c r="C62" i="18" s="1"/>
  <c r="B63" i="18"/>
  <c r="C63" i="18" s="1"/>
  <c r="B64" i="18"/>
  <c r="C64" i="18" s="1"/>
  <c r="B65" i="18"/>
  <c r="C65" i="18" s="1"/>
  <c r="B66" i="18"/>
  <c r="B67" i="18"/>
  <c r="C67" i="18" s="1"/>
  <c r="B68" i="18"/>
  <c r="C68" i="18" s="1"/>
  <c r="B69" i="18"/>
  <c r="C69" i="18" s="1"/>
  <c r="B70" i="18"/>
  <c r="C70" i="18" s="1"/>
  <c r="B71" i="18"/>
  <c r="C71" i="18" s="1"/>
  <c r="B72" i="18"/>
  <c r="C72" i="18" s="1"/>
  <c r="B73" i="18"/>
  <c r="C73" i="18" s="1"/>
  <c r="B74" i="18"/>
  <c r="C74" i="18" s="1"/>
  <c r="B75" i="18"/>
  <c r="C75" i="18" s="1"/>
  <c r="B76" i="18"/>
  <c r="C76" i="18" s="1"/>
  <c r="B77" i="18"/>
  <c r="C77" i="18" s="1"/>
  <c r="B78" i="18"/>
  <c r="B79" i="18"/>
  <c r="C79" i="18" s="1"/>
  <c r="B80" i="18"/>
  <c r="C80" i="18" s="1"/>
  <c r="B81" i="18"/>
  <c r="B82" i="18"/>
  <c r="C82" i="18" s="1"/>
  <c r="B83" i="18"/>
  <c r="C83" i="18" s="1"/>
  <c r="B84" i="18"/>
  <c r="B85" i="18"/>
  <c r="B86" i="18"/>
  <c r="B87" i="18"/>
  <c r="C87" i="18" s="1"/>
  <c r="B88" i="18"/>
  <c r="C88" i="18" s="1"/>
  <c r="B89" i="18"/>
  <c r="B90" i="18"/>
  <c r="C90" i="18" s="1"/>
  <c r="B91" i="18"/>
  <c r="C91" i="18" s="1"/>
  <c r="B92" i="18"/>
  <c r="C92" i="18" s="1"/>
  <c r="B93" i="18"/>
  <c r="B94" i="18"/>
  <c r="C94" i="18" s="1"/>
  <c r="B95" i="18"/>
  <c r="B96" i="18"/>
  <c r="C96" i="18" s="1"/>
  <c r="B9" i="18"/>
  <c r="C9" i="18" s="1"/>
  <c r="F95" i="18"/>
  <c r="E95" i="18"/>
  <c r="I94" i="18"/>
  <c r="H94" i="18"/>
  <c r="Q94" i="18"/>
  <c r="P92" i="18"/>
  <c r="M92" i="18"/>
  <c r="N91" i="18"/>
  <c r="L91" i="18"/>
  <c r="K91" i="18"/>
  <c r="I91" i="18"/>
  <c r="G91" i="18"/>
  <c r="O91" i="18"/>
  <c r="M90" i="18"/>
  <c r="D90" i="18"/>
  <c r="Q89" i="18"/>
  <c r="P89" i="18"/>
  <c r="O89" i="18"/>
  <c r="M89" i="18"/>
  <c r="O87" i="18"/>
  <c r="N87" i="18"/>
  <c r="M87" i="18"/>
  <c r="L87" i="18"/>
  <c r="J87" i="18"/>
  <c r="I87" i="18"/>
  <c r="G87" i="18"/>
  <c r="F87" i="18"/>
  <c r="D87" i="18"/>
  <c r="K87" i="18"/>
  <c r="O86" i="18"/>
  <c r="N86" i="18"/>
  <c r="H86" i="18"/>
  <c r="F86" i="18"/>
  <c r="E86" i="18"/>
  <c r="M86" i="18"/>
  <c r="I85" i="18"/>
  <c r="H85" i="18"/>
  <c r="M84" i="18"/>
  <c r="K84" i="18"/>
  <c r="J84" i="18"/>
  <c r="I84" i="18"/>
  <c r="F84" i="18"/>
  <c r="M83" i="18"/>
  <c r="J83" i="18"/>
  <c r="N82" i="18"/>
  <c r="L82" i="18"/>
  <c r="K82" i="18"/>
  <c r="I82" i="18"/>
  <c r="G82" i="18"/>
  <c r="O82" i="18"/>
  <c r="Q80" i="18"/>
  <c r="P80" i="18"/>
  <c r="M80" i="18"/>
  <c r="F80" i="18"/>
  <c r="Q79" i="18"/>
  <c r="N79" i="18"/>
  <c r="K79" i="18"/>
  <c r="H79" i="18"/>
  <c r="E79" i="18"/>
  <c r="M78" i="18"/>
  <c r="Q77" i="18"/>
  <c r="O77" i="18"/>
  <c r="N77" i="18"/>
  <c r="K77" i="18"/>
  <c r="J77" i="18"/>
  <c r="H77" i="18"/>
  <c r="G77" i="18"/>
  <c r="F77" i="18"/>
  <c r="E77" i="18"/>
  <c r="M77" i="18"/>
  <c r="Q76" i="18"/>
  <c r="I76" i="18"/>
  <c r="G76" i="18"/>
  <c r="N75" i="18"/>
  <c r="M75" i="18"/>
  <c r="L75" i="18"/>
  <c r="K75" i="18"/>
  <c r="J75" i="18"/>
  <c r="I75" i="18"/>
  <c r="F75" i="18"/>
  <c r="O75" i="18"/>
  <c r="N73" i="18"/>
  <c r="L73" i="18"/>
  <c r="K73" i="18"/>
  <c r="I73" i="18"/>
  <c r="G73" i="18"/>
  <c r="O73" i="18"/>
  <c r="O72" i="18"/>
  <c r="N72" i="18"/>
  <c r="M72" i="18"/>
  <c r="K72" i="18"/>
  <c r="I72" i="18"/>
  <c r="D72" i="18"/>
  <c r="Q71" i="18"/>
  <c r="O71" i="18"/>
  <c r="J71" i="18"/>
  <c r="F71" i="18"/>
  <c r="Q70" i="18"/>
  <c r="N70" i="18"/>
  <c r="D69" i="18"/>
  <c r="Q68" i="18"/>
  <c r="O68" i="18"/>
  <c r="N68" i="18"/>
  <c r="K68" i="18"/>
  <c r="J68" i="18"/>
  <c r="H68" i="18"/>
  <c r="G68" i="18"/>
  <c r="F68" i="18"/>
  <c r="E68" i="18"/>
  <c r="M68" i="18"/>
  <c r="L67" i="18"/>
  <c r="H67" i="18"/>
  <c r="G67" i="18"/>
  <c r="J66" i="18"/>
  <c r="P65" i="18"/>
  <c r="M65" i="18"/>
  <c r="K65" i="18"/>
  <c r="J65" i="18"/>
  <c r="G65" i="18"/>
  <c r="E65" i="18"/>
  <c r="N64" i="18"/>
  <c r="K64" i="18"/>
  <c r="G64" i="18"/>
  <c r="O63" i="18"/>
  <c r="N63" i="18"/>
  <c r="M63" i="18"/>
  <c r="K63" i="18"/>
  <c r="I63" i="18"/>
  <c r="D63" i="18"/>
  <c r="Q62" i="18"/>
  <c r="P62" i="18"/>
  <c r="O62" i="18"/>
  <c r="M62" i="18"/>
  <c r="J62" i="18"/>
  <c r="F62" i="18"/>
  <c r="E62" i="18"/>
  <c r="Q61" i="18"/>
  <c r="K61" i="18"/>
  <c r="G61" i="18"/>
  <c r="E61" i="18"/>
  <c r="O60" i="18"/>
  <c r="N60" i="18"/>
  <c r="M60" i="18"/>
  <c r="L60" i="18"/>
  <c r="J60" i="18"/>
  <c r="I60" i="18"/>
  <c r="G60" i="18"/>
  <c r="F60" i="18"/>
  <c r="D60" i="18"/>
  <c r="K60" i="18"/>
  <c r="Q59" i="18"/>
  <c r="O59" i="18"/>
  <c r="N59" i="18"/>
  <c r="K59" i="18"/>
  <c r="J59" i="18"/>
  <c r="H59" i="18"/>
  <c r="G59" i="18"/>
  <c r="F59" i="18"/>
  <c r="E59" i="18"/>
  <c r="M59" i="18"/>
  <c r="K58" i="18"/>
  <c r="J58" i="18"/>
  <c r="Q58" i="18"/>
  <c r="J57" i="18"/>
  <c r="Q55" i="18"/>
  <c r="N55" i="18"/>
  <c r="K55" i="18"/>
  <c r="G55" i="18"/>
  <c r="F55" i="18"/>
  <c r="K54" i="18"/>
  <c r="O53" i="18"/>
  <c r="M53" i="18"/>
  <c r="J53" i="18"/>
  <c r="F53" i="18"/>
  <c r="D53" i="18"/>
  <c r="Q53" i="18"/>
  <c r="J52" i="18"/>
  <c r="H52" i="18"/>
  <c r="Q52" i="18"/>
  <c r="O51" i="18"/>
  <c r="N51" i="18"/>
  <c r="M51" i="18"/>
  <c r="L51" i="18"/>
  <c r="J51" i="18"/>
  <c r="I51" i="18"/>
  <c r="G51" i="18"/>
  <c r="F51" i="18"/>
  <c r="D51" i="18"/>
  <c r="K51" i="18"/>
  <c r="Q50" i="18"/>
  <c r="O50" i="18"/>
  <c r="N50" i="18"/>
  <c r="K50" i="18"/>
  <c r="J50" i="18"/>
  <c r="H50" i="18"/>
  <c r="G50" i="18"/>
  <c r="F50" i="18"/>
  <c r="E50" i="18"/>
  <c r="M50" i="18"/>
  <c r="Q49" i="18"/>
  <c r="O49" i="18"/>
  <c r="L49" i="18"/>
  <c r="K49" i="18"/>
  <c r="J49" i="18"/>
  <c r="I49" i="18"/>
  <c r="H49" i="18"/>
  <c r="G49" i="18"/>
  <c r="E49" i="18"/>
  <c r="P48" i="18"/>
  <c r="M48" i="18"/>
  <c r="D48" i="18"/>
  <c r="N48" i="18"/>
  <c r="J2" i="18"/>
  <c r="J1" i="18"/>
  <c r="R259" i="5"/>
  <c r="Q259" i="5"/>
  <c r="P259" i="5"/>
  <c r="O259" i="5"/>
  <c r="N259" i="5"/>
  <c r="M259" i="5"/>
  <c r="L259" i="5"/>
  <c r="J259" i="5"/>
  <c r="I259" i="5"/>
  <c r="H259" i="5"/>
  <c r="G259" i="5"/>
  <c r="F259" i="5"/>
  <c r="E259" i="5"/>
  <c r="D259" i="5"/>
  <c r="B148" i="5"/>
  <c r="B111" i="5"/>
  <c r="B74" i="5"/>
  <c r="B10" i="17"/>
  <c r="B11" i="17"/>
  <c r="C11" i="17" s="1"/>
  <c r="B12" i="17"/>
  <c r="C12" i="17" s="1"/>
  <c r="B13" i="17"/>
  <c r="B14" i="17"/>
  <c r="C14" i="17" s="1"/>
  <c r="B15" i="17"/>
  <c r="C15" i="17" s="1"/>
  <c r="B16" i="17"/>
  <c r="C16" i="17" s="1"/>
  <c r="B17" i="17"/>
  <c r="C17" i="17" s="1"/>
  <c r="B18" i="17"/>
  <c r="C18" i="17" s="1"/>
  <c r="B19" i="17"/>
  <c r="B20" i="17"/>
  <c r="C20" i="17" s="1"/>
  <c r="B21" i="17"/>
  <c r="C21" i="17" s="1"/>
  <c r="B22" i="17"/>
  <c r="C22" i="17" s="1"/>
  <c r="B23" i="17"/>
  <c r="B24" i="17"/>
  <c r="B25" i="17"/>
  <c r="B26" i="17"/>
  <c r="C26" i="17" s="1"/>
  <c r="B27" i="17"/>
  <c r="C27" i="17" s="1"/>
  <c r="B28" i="17"/>
  <c r="C28" i="17" s="1"/>
  <c r="B29" i="17"/>
  <c r="C29" i="17" s="1"/>
  <c r="B30" i="17"/>
  <c r="C30" i="17" s="1"/>
  <c r="B31" i="17"/>
  <c r="C31" i="17" s="1"/>
  <c r="B32" i="17"/>
  <c r="C32" i="17" s="1"/>
  <c r="B33" i="17"/>
  <c r="C33" i="17" s="1"/>
  <c r="B34" i="17"/>
  <c r="C34" i="17" s="1"/>
  <c r="B35" i="17"/>
  <c r="C35" i="17" s="1"/>
  <c r="B36" i="17"/>
  <c r="B37" i="17"/>
  <c r="C37" i="17" s="1"/>
  <c r="B38" i="17"/>
  <c r="C38" i="17" s="1"/>
  <c r="B39" i="17"/>
  <c r="C39" i="17" s="1"/>
  <c r="B40" i="17"/>
  <c r="C40" i="17" s="1"/>
  <c r="B41" i="17"/>
  <c r="C41" i="17" s="1"/>
  <c r="B42" i="17"/>
  <c r="C42" i="17" s="1"/>
  <c r="B43" i="17"/>
  <c r="C43" i="17" s="1"/>
  <c r="B44" i="17"/>
  <c r="C44" i="17" s="1"/>
  <c r="B45" i="17"/>
  <c r="C45" i="17" s="1"/>
  <c r="B46" i="17"/>
  <c r="C46" i="17" s="1"/>
  <c r="B47" i="17"/>
  <c r="C47" i="17" s="1"/>
  <c r="B48" i="17"/>
  <c r="O48" i="17" s="1"/>
  <c r="B49" i="17"/>
  <c r="C49" i="17" s="1"/>
  <c r="B50" i="17"/>
  <c r="C50" i="17" s="1"/>
  <c r="B51" i="17"/>
  <c r="C51" i="17" s="1"/>
  <c r="B52" i="17"/>
  <c r="C52" i="17" s="1"/>
  <c r="B53" i="17"/>
  <c r="C53" i="17" s="1"/>
  <c r="B54" i="17"/>
  <c r="C54" i="17" s="1"/>
  <c r="B55" i="17"/>
  <c r="C55" i="17" s="1"/>
  <c r="B56" i="17"/>
  <c r="C56" i="17" s="1"/>
  <c r="B57" i="17"/>
  <c r="B58" i="17"/>
  <c r="C58" i="17" s="1"/>
  <c r="B59" i="17"/>
  <c r="C59" i="17" s="1"/>
  <c r="B60" i="17"/>
  <c r="C60" i="17" s="1"/>
  <c r="B61" i="17"/>
  <c r="C61" i="17" s="1"/>
  <c r="B62" i="17"/>
  <c r="C62" i="17" s="1"/>
  <c r="B63" i="17"/>
  <c r="C63" i="17" s="1"/>
  <c r="B64" i="17"/>
  <c r="C64" i="17" s="1"/>
  <c r="B65" i="17"/>
  <c r="B66" i="17"/>
  <c r="C66" i="17" s="1"/>
  <c r="B67" i="17"/>
  <c r="C67" i="17" s="1"/>
  <c r="B68" i="17"/>
  <c r="C68" i="17" s="1"/>
  <c r="B69" i="17"/>
  <c r="B70" i="17"/>
  <c r="C70" i="17" s="1"/>
  <c r="B71" i="17"/>
  <c r="C71" i="17" s="1"/>
  <c r="B72" i="17"/>
  <c r="B73" i="17"/>
  <c r="C73" i="17" s="1"/>
  <c r="B74" i="17"/>
  <c r="C74" i="17" s="1"/>
  <c r="B75" i="17"/>
  <c r="C75" i="17" s="1"/>
  <c r="B76" i="17"/>
  <c r="B77" i="17"/>
  <c r="C77" i="17" s="1"/>
  <c r="B78" i="17"/>
  <c r="B79" i="17"/>
  <c r="C79" i="17" s="1"/>
  <c r="B80" i="17"/>
  <c r="C80" i="17" s="1"/>
  <c r="B81" i="17"/>
  <c r="B82" i="17"/>
  <c r="B83" i="17"/>
  <c r="B84" i="17"/>
  <c r="B85" i="17"/>
  <c r="C85" i="17" s="1"/>
  <c r="B86" i="17"/>
  <c r="C86" i="17" s="1"/>
  <c r="B87" i="17"/>
  <c r="C87" i="17" s="1"/>
  <c r="B88" i="17"/>
  <c r="B89" i="17"/>
  <c r="C89" i="17" s="1"/>
  <c r="B90" i="17"/>
  <c r="B91" i="17"/>
  <c r="B92" i="17"/>
  <c r="C92" i="17" s="1"/>
  <c r="B93" i="17"/>
  <c r="B94" i="17"/>
  <c r="B95" i="17"/>
  <c r="B96" i="17"/>
  <c r="B9" i="17"/>
  <c r="C9" i="17" s="1"/>
  <c r="I96" i="17"/>
  <c r="Q96" i="17"/>
  <c r="P94" i="17"/>
  <c r="F94" i="17"/>
  <c r="N92" i="17"/>
  <c r="P91" i="17"/>
  <c r="K90" i="17"/>
  <c r="J90" i="17"/>
  <c r="G90" i="17"/>
  <c r="Q90" i="17"/>
  <c r="P88" i="17"/>
  <c r="L87" i="17"/>
  <c r="K87" i="17"/>
  <c r="J87" i="17"/>
  <c r="I87" i="17"/>
  <c r="H87" i="17"/>
  <c r="G87" i="17"/>
  <c r="F87" i="17"/>
  <c r="Q87" i="17"/>
  <c r="N86" i="17"/>
  <c r="P85" i="17"/>
  <c r="G85" i="17"/>
  <c r="F85" i="17"/>
  <c r="D85" i="17"/>
  <c r="M85" i="17"/>
  <c r="L84" i="17"/>
  <c r="I84" i="17"/>
  <c r="G84" i="17"/>
  <c r="F84" i="17"/>
  <c r="P82" i="17"/>
  <c r="G82" i="17"/>
  <c r="M82" i="17"/>
  <c r="N80" i="17"/>
  <c r="P79" i="17"/>
  <c r="N79" i="17"/>
  <c r="G79" i="17"/>
  <c r="F79" i="17"/>
  <c r="O78" i="17"/>
  <c r="L78" i="17"/>
  <c r="H78" i="17"/>
  <c r="G78" i="17"/>
  <c r="F78" i="17"/>
  <c r="P76" i="17"/>
  <c r="N76" i="17"/>
  <c r="K76" i="17"/>
  <c r="O75" i="17"/>
  <c r="L75" i="17"/>
  <c r="K75" i="17"/>
  <c r="J75" i="17"/>
  <c r="I75" i="17"/>
  <c r="H75" i="17"/>
  <c r="G75" i="17"/>
  <c r="F75" i="17"/>
  <c r="Q75" i="17"/>
  <c r="P73" i="17"/>
  <c r="N73" i="17"/>
  <c r="K73" i="17"/>
  <c r="G73" i="17"/>
  <c r="F73" i="17"/>
  <c r="K72" i="17"/>
  <c r="J72" i="17"/>
  <c r="I72" i="17"/>
  <c r="H72" i="17"/>
  <c r="Q72" i="17"/>
  <c r="P70" i="17"/>
  <c r="N70" i="17"/>
  <c r="K70" i="17"/>
  <c r="G70" i="17"/>
  <c r="F70" i="17"/>
  <c r="J68" i="17"/>
  <c r="P67" i="17"/>
  <c r="O67" i="17"/>
  <c r="N67" i="17"/>
  <c r="O66" i="17"/>
  <c r="L66" i="17"/>
  <c r="K66" i="17"/>
  <c r="J66" i="17"/>
  <c r="I66" i="17"/>
  <c r="H66" i="17"/>
  <c r="G66" i="17"/>
  <c r="F66" i="17"/>
  <c r="Q66" i="17"/>
  <c r="L65" i="17"/>
  <c r="K65" i="17"/>
  <c r="J65" i="17"/>
  <c r="G65" i="17"/>
  <c r="D65" i="17"/>
  <c r="P65" i="17"/>
  <c r="O63" i="17"/>
  <c r="L63" i="17"/>
  <c r="K63" i="17"/>
  <c r="J63" i="17"/>
  <c r="I63" i="17"/>
  <c r="H63" i="17"/>
  <c r="G63" i="17"/>
  <c r="F63" i="17"/>
  <c r="Q63" i="17"/>
  <c r="O62" i="17"/>
  <c r="O61" i="17"/>
  <c r="N61" i="17"/>
  <c r="K61" i="17"/>
  <c r="P61" i="17"/>
  <c r="O60" i="17"/>
  <c r="L60" i="17"/>
  <c r="K60" i="17"/>
  <c r="J60" i="17"/>
  <c r="H60" i="17"/>
  <c r="G60" i="17"/>
  <c r="F60" i="17"/>
  <c r="Q60" i="17"/>
  <c r="O59" i="17"/>
  <c r="N59" i="17"/>
  <c r="L59" i="17"/>
  <c r="K59" i="17"/>
  <c r="J59" i="17"/>
  <c r="G59" i="17"/>
  <c r="D59" i="17"/>
  <c r="P59" i="17"/>
  <c r="F58" i="17"/>
  <c r="O57" i="17"/>
  <c r="O56" i="17"/>
  <c r="N56" i="17"/>
  <c r="L56" i="17"/>
  <c r="P56" i="17"/>
  <c r="P55" i="17"/>
  <c r="O55" i="17"/>
  <c r="N55" i="17"/>
  <c r="K55" i="17"/>
  <c r="H55" i="17"/>
  <c r="G55" i="17"/>
  <c r="F55" i="17"/>
  <c r="D55" i="17"/>
  <c r="O54" i="17"/>
  <c r="L54" i="17"/>
  <c r="K54" i="17"/>
  <c r="J54" i="17"/>
  <c r="H54" i="17"/>
  <c r="G54" i="17"/>
  <c r="F54" i="17"/>
  <c r="Q54" i="17"/>
  <c r="L53" i="17"/>
  <c r="F52" i="17"/>
  <c r="O51" i="17"/>
  <c r="G51" i="17"/>
  <c r="P50" i="17"/>
  <c r="N50" i="17"/>
  <c r="O50" i="17"/>
  <c r="O49" i="17"/>
  <c r="K49" i="17"/>
  <c r="P47" i="17"/>
  <c r="O47" i="17"/>
  <c r="N47" i="17"/>
  <c r="M47" i="17"/>
  <c r="L47" i="17"/>
  <c r="J2" i="17"/>
  <c r="J1" i="17"/>
  <c r="B10" i="16"/>
  <c r="C10" i="16" s="1"/>
  <c r="B11" i="16"/>
  <c r="C11" i="16" s="1"/>
  <c r="B12" i="16"/>
  <c r="C12" i="16" s="1"/>
  <c r="B13" i="16"/>
  <c r="C13" i="16" s="1"/>
  <c r="B14" i="16"/>
  <c r="C14" i="16" s="1"/>
  <c r="B15" i="16"/>
  <c r="C15" i="16" s="1"/>
  <c r="B16" i="16"/>
  <c r="C16" i="16" s="1"/>
  <c r="B17" i="16"/>
  <c r="C17" i="16" s="1"/>
  <c r="B18" i="16"/>
  <c r="C18" i="16" s="1"/>
  <c r="B19" i="16"/>
  <c r="C19" i="16" s="1"/>
  <c r="B20" i="16"/>
  <c r="C20" i="16" s="1"/>
  <c r="B21" i="16"/>
  <c r="C21" i="16" s="1"/>
  <c r="B22" i="16"/>
  <c r="C22" i="16" s="1"/>
  <c r="B23" i="16"/>
  <c r="C23" i="16" s="1"/>
  <c r="B24" i="16"/>
  <c r="C24" i="16" s="1"/>
  <c r="B25" i="16"/>
  <c r="C25" i="16" s="1"/>
  <c r="B26" i="16"/>
  <c r="C26" i="16" s="1"/>
  <c r="B27" i="16"/>
  <c r="C27" i="16" s="1"/>
  <c r="B28" i="16"/>
  <c r="C28" i="16" s="1"/>
  <c r="B29" i="16"/>
  <c r="C29" i="16" s="1"/>
  <c r="B30" i="16"/>
  <c r="C30" i="16" s="1"/>
  <c r="B31" i="16"/>
  <c r="C31" i="16" s="1"/>
  <c r="B32" i="16"/>
  <c r="B33" i="16"/>
  <c r="B34" i="16"/>
  <c r="B35" i="16"/>
  <c r="C35" i="16" s="1"/>
  <c r="B36" i="16"/>
  <c r="C36" i="16" s="1"/>
  <c r="B37" i="16"/>
  <c r="C37" i="16" s="1"/>
  <c r="B38" i="16"/>
  <c r="C38" i="16" s="1"/>
  <c r="B39" i="16"/>
  <c r="C39" i="16" s="1"/>
  <c r="B40" i="16"/>
  <c r="C40" i="16" s="1"/>
  <c r="B41" i="16"/>
  <c r="C41" i="16" s="1"/>
  <c r="B42" i="16"/>
  <c r="C42" i="16" s="1"/>
  <c r="B43" i="16"/>
  <c r="C43" i="16" s="1"/>
  <c r="B44" i="16"/>
  <c r="B45" i="16"/>
  <c r="C45" i="16" s="1"/>
  <c r="B46" i="16"/>
  <c r="C46" i="16" s="1"/>
  <c r="B47" i="16"/>
  <c r="C47" i="16" s="1"/>
  <c r="B48" i="16"/>
  <c r="C48" i="16" s="1"/>
  <c r="B49" i="16"/>
  <c r="C49" i="16" s="1"/>
  <c r="B50" i="16"/>
  <c r="C50" i="16" s="1"/>
  <c r="B51" i="16"/>
  <c r="C51" i="16" s="1"/>
  <c r="B52" i="16"/>
  <c r="C52" i="16" s="1"/>
  <c r="B53" i="16"/>
  <c r="C53" i="16" s="1"/>
  <c r="B54" i="16"/>
  <c r="B55" i="16"/>
  <c r="C55" i="16" s="1"/>
  <c r="B56" i="16"/>
  <c r="C56" i="16" s="1"/>
  <c r="B57" i="16"/>
  <c r="B58" i="16"/>
  <c r="C58" i="16" s="1"/>
  <c r="B59" i="16"/>
  <c r="C59" i="16" s="1"/>
  <c r="B60" i="16"/>
  <c r="C60" i="16" s="1"/>
  <c r="B61" i="16"/>
  <c r="C61" i="16" s="1"/>
  <c r="B62" i="16"/>
  <c r="C62" i="16" s="1"/>
  <c r="B63" i="16"/>
  <c r="C63" i="16" s="1"/>
  <c r="B64" i="16"/>
  <c r="C64" i="16" s="1"/>
  <c r="B65" i="16"/>
  <c r="C65" i="16" s="1"/>
  <c r="B66" i="16"/>
  <c r="B67" i="16"/>
  <c r="C67" i="16" s="1"/>
  <c r="B68" i="16"/>
  <c r="B69" i="16"/>
  <c r="B70" i="16"/>
  <c r="C70" i="16" s="1"/>
  <c r="B71" i="16"/>
  <c r="C71" i="16" s="1"/>
  <c r="B72" i="16"/>
  <c r="C72" i="16" s="1"/>
  <c r="B73" i="16"/>
  <c r="C73" i="16" s="1"/>
  <c r="B74" i="16"/>
  <c r="C74" i="16" s="1"/>
  <c r="B75" i="16"/>
  <c r="B76" i="16"/>
  <c r="C76" i="16" s="1"/>
  <c r="B77" i="16"/>
  <c r="C77" i="16" s="1"/>
  <c r="B78" i="16"/>
  <c r="B79" i="16"/>
  <c r="B80" i="16"/>
  <c r="B81" i="16"/>
  <c r="B82" i="16"/>
  <c r="C82" i="16" s="1"/>
  <c r="B83" i="16"/>
  <c r="C83" i="16" s="1"/>
  <c r="B84" i="16"/>
  <c r="C84" i="16" s="1"/>
  <c r="B85" i="16"/>
  <c r="C85" i="16" s="1"/>
  <c r="B86" i="16"/>
  <c r="C86" i="16" s="1"/>
  <c r="B87" i="16"/>
  <c r="B88" i="16"/>
  <c r="C88" i="16" s="1"/>
  <c r="B89" i="16"/>
  <c r="C89" i="16" s="1"/>
  <c r="B90" i="16"/>
  <c r="B91" i="16"/>
  <c r="B92" i="16"/>
  <c r="B93" i="16"/>
  <c r="B94" i="16"/>
  <c r="C94" i="16" s="1"/>
  <c r="B95" i="16"/>
  <c r="C95" i="16" s="1"/>
  <c r="B96" i="16"/>
  <c r="C96" i="16" s="1"/>
  <c r="B9" i="16"/>
  <c r="C9" i="16" s="1"/>
  <c r="Q96" i="16"/>
  <c r="P96" i="16"/>
  <c r="J96" i="16"/>
  <c r="I96" i="16"/>
  <c r="H96" i="16"/>
  <c r="G96" i="16"/>
  <c r="F96" i="16"/>
  <c r="E96" i="16"/>
  <c r="D96" i="16"/>
  <c r="O96" i="16"/>
  <c r="N95" i="16"/>
  <c r="K95" i="16"/>
  <c r="J95" i="16"/>
  <c r="H95" i="16"/>
  <c r="G93" i="16"/>
  <c r="O91" i="16"/>
  <c r="P90" i="16"/>
  <c r="I90" i="16"/>
  <c r="H90" i="16"/>
  <c r="O88" i="16"/>
  <c r="N88" i="16"/>
  <c r="L88" i="16"/>
  <c r="F88" i="16"/>
  <c r="Q87" i="16"/>
  <c r="P87" i="16"/>
  <c r="E87" i="16"/>
  <c r="D87" i="16"/>
  <c r="O87" i="16"/>
  <c r="N86" i="16"/>
  <c r="O85" i="16"/>
  <c r="Q84" i="16"/>
  <c r="P84" i="16"/>
  <c r="J84" i="16"/>
  <c r="I84" i="16"/>
  <c r="H84" i="16"/>
  <c r="G84" i="16"/>
  <c r="F84" i="16"/>
  <c r="E84" i="16"/>
  <c r="D84" i="16"/>
  <c r="O84" i="16"/>
  <c r="N83" i="16"/>
  <c r="K83" i="16"/>
  <c r="J83" i="16"/>
  <c r="H83" i="16"/>
  <c r="O79" i="16"/>
  <c r="E78" i="16"/>
  <c r="O78" i="16"/>
  <c r="O76" i="16"/>
  <c r="N76" i="16"/>
  <c r="L76" i="16"/>
  <c r="F76" i="16"/>
  <c r="P75" i="16"/>
  <c r="J75" i="16"/>
  <c r="I75" i="16"/>
  <c r="H75" i="16"/>
  <c r="G75" i="16"/>
  <c r="F75" i="16"/>
  <c r="E75" i="16"/>
  <c r="D75" i="16"/>
  <c r="O75" i="16"/>
  <c r="N74" i="16"/>
  <c r="O73" i="16"/>
  <c r="Q72" i="16"/>
  <c r="P72" i="16"/>
  <c r="J72" i="16"/>
  <c r="I72" i="16"/>
  <c r="H72" i="16"/>
  <c r="G72" i="16"/>
  <c r="F72" i="16"/>
  <c r="E72" i="16"/>
  <c r="D72" i="16"/>
  <c r="O72" i="16"/>
  <c r="N71" i="16"/>
  <c r="K71" i="16"/>
  <c r="J71" i="16"/>
  <c r="I71" i="16"/>
  <c r="G69" i="16"/>
  <c r="L67" i="16"/>
  <c r="D67" i="16"/>
  <c r="P67" i="16"/>
  <c r="H66" i="16"/>
  <c r="E66" i="16"/>
  <c r="D66" i="16"/>
  <c r="O66" i="16"/>
  <c r="N65" i="16"/>
  <c r="L65" i="16"/>
  <c r="K65" i="16"/>
  <c r="P64" i="16"/>
  <c r="O64" i="16"/>
  <c r="N64" i="16"/>
  <c r="M64" i="16"/>
  <c r="L64" i="16"/>
  <c r="F64" i="16"/>
  <c r="D64" i="16"/>
  <c r="Q63" i="16"/>
  <c r="P63" i="16"/>
  <c r="J63" i="16"/>
  <c r="I63" i="16"/>
  <c r="H63" i="16"/>
  <c r="G63" i="16"/>
  <c r="F63" i="16"/>
  <c r="E63" i="16"/>
  <c r="D63" i="16"/>
  <c r="O63" i="16"/>
  <c r="N62" i="16"/>
  <c r="P61" i="16"/>
  <c r="O61" i="16"/>
  <c r="N61" i="16"/>
  <c r="M61" i="16"/>
  <c r="L61" i="16"/>
  <c r="F61" i="16"/>
  <c r="Q60" i="16"/>
  <c r="P60" i="16"/>
  <c r="J60" i="16"/>
  <c r="I60" i="16"/>
  <c r="H60" i="16"/>
  <c r="G60" i="16"/>
  <c r="F60" i="16"/>
  <c r="E60" i="16"/>
  <c r="D60" i="16"/>
  <c r="O60" i="16"/>
  <c r="K59" i="16"/>
  <c r="J59" i="16"/>
  <c r="I59" i="16"/>
  <c r="H59" i="16"/>
  <c r="P58" i="16"/>
  <c r="O58" i="16"/>
  <c r="N58" i="16"/>
  <c r="M58" i="16"/>
  <c r="P57" i="16"/>
  <c r="P55" i="16"/>
  <c r="O55" i="16"/>
  <c r="N55" i="16"/>
  <c r="Q54" i="16"/>
  <c r="P54" i="16"/>
  <c r="J54" i="16"/>
  <c r="D54" i="16"/>
  <c r="O54" i="16"/>
  <c r="J53" i="16"/>
  <c r="H53" i="16"/>
  <c r="F53" i="16"/>
  <c r="N53" i="16"/>
  <c r="Q51" i="16"/>
  <c r="N50" i="16"/>
  <c r="L50" i="16"/>
  <c r="K50" i="16"/>
  <c r="J50" i="16"/>
  <c r="I50" i="16"/>
  <c r="F50" i="16"/>
  <c r="P49" i="16"/>
  <c r="O49" i="16"/>
  <c r="N49" i="16"/>
  <c r="M49" i="16"/>
  <c r="L49" i="16"/>
  <c r="J49" i="16"/>
  <c r="F49" i="16"/>
  <c r="E49" i="16"/>
  <c r="D49" i="16"/>
  <c r="P48" i="16"/>
  <c r="N48" i="16"/>
  <c r="J48" i="16"/>
  <c r="I48" i="16"/>
  <c r="H48" i="16"/>
  <c r="G48" i="16"/>
  <c r="F48" i="16"/>
  <c r="E48" i="16"/>
  <c r="D48" i="16"/>
  <c r="Q48" i="16"/>
  <c r="H47" i="16"/>
  <c r="J2" i="16"/>
  <c r="J1" i="16"/>
  <c r="B10" i="15"/>
  <c r="C10" i="15" s="1"/>
  <c r="B11" i="15"/>
  <c r="C11" i="15" s="1"/>
  <c r="B12" i="15"/>
  <c r="C12" i="15" s="1"/>
  <c r="B13" i="15"/>
  <c r="C13" i="15" s="1"/>
  <c r="B14" i="15"/>
  <c r="C14" i="15" s="1"/>
  <c r="B15" i="15"/>
  <c r="C15" i="15" s="1"/>
  <c r="B16" i="15"/>
  <c r="C16" i="15" s="1"/>
  <c r="B17" i="15"/>
  <c r="C17" i="15" s="1"/>
  <c r="B18" i="15"/>
  <c r="C18" i="15" s="1"/>
  <c r="B19" i="15"/>
  <c r="C19" i="15" s="1"/>
  <c r="B20" i="15"/>
  <c r="C20" i="15" s="1"/>
  <c r="B21" i="15"/>
  <c r="C21" i="15" s="1"/>
  <c r="B22" i="15"/>
  <c r="C22" i="15" s="1"/>
  <c r="B23" i="15"/>
  <c r="C23" i="15" s="1"/>
  <c r="B24" i="15"/>
  <c r="C24" i="15" s="1"/>
  <c r="B25" i="15"/>
  <c r="C25" i="15" s="1"/>
  <c r="B26" i="15"/>
  <c r="C26" i="15" s="1"/>
  <c r="B27" i="15"/>
  <c r="C27" i="15" s="1"/>
  <c r="B28" i="15"/>
  <c r="C28" i="15" s="1"/>
  <c r="B29" i="15"/>
  <c r="C29" i="15" s="1"/>
  <c r="B30" i="15"/>
  <c r="B31" i="15"/>
  <c r="C31" i="15" s="1"/>
  <c r="B32" i="15"/>
  <c r="C32" i="15" s="1"/>
  <c r="B33" i="15"/>
  <c r="C33" i="15" s="1"/>
  <c r="B34" i="15"/>
  <c r="C34" i="15" s="1"/>
  <c r="B35" i="15"/>
  <c r="C35" i="15" s="1"/>
  <c r="B36" i="15"/>
  <c r="C36" i="15" s="1"/>
  <c r="B37" i="15"/>
  <c r="C37" i="15" s="1"/>
  <c r="B38" i="15"/>
  <c r="C38" i="15" s="1"/>
  <c r="B39" i="15"/>
  <c r="C39" i="15" s="1"/>
  <c r="B40" i="15"/>
  <c r="C40" i="15" s="1"/>
  <c r="B41" i="15"/>
  <c r="C41" i="15" s="1"/>
  <c r="B42" i="15"/>
  <c r="B43" i="15"/>
  <c r="C43" i="15" s="1"/>
  <c r="B44" i="15"/>
  <c r="C44" i="15" s="1"/>
  <c r="B45" i="15"/>
  <c r="C45" i="15" s="1"/>
  <c r="B46" i="15"/>
  <c r="C46" i="15" s="1"/>
  <c r="B47" i="15"/>
  <c r="C47" i="15" s="1"/>
  <c r="B48" i="15"/>
  <c r="C48" i="15" s="1"/>
  <c r="B49" i="15"/>
  <c r="C49" i="15" s="1"/>
  <c r="B50" i="15"/>
  <c r="C50" i="15" s="1"/>
  <c r="B51" i="15"/>
  <c r="C51" i="15" s="1"/>
  <c r="B52" i="15"/>
  <c r="C52" i="15" s="1"/>
  <c r="B53" i="15"/>
  <c r="C53" i="15" s="1"/>
  <c r="B54" i="15"/>
  <c r="C54" i="15" s="1"/>
  <c r="B55" i="15"/>
  <c r="B56" i="15"/>
  <c r="B57" i="15"/>
  <c r="C57" i="15" s="1"/>
  <c r="B58" i="15"/>
  <c r="C58" i="15" s="1"/>
  <c r="B59" i="15"/>
  <c r="C59" i="15" s="1"/>
  <c r="B60" i="15"/>
  <c r="C60" i="15" s="1"/>
  <c r="B61" i="15"/>
  <c r="C61" i="15" s="1"/>
  <c r="B62" i="15"/>
  <c r="C62" i="15" s="1"/>
  <c r="B63" i="15"/>
  <c r="C63" i="15" s="1"/>
  <c r="B64" i="15"/>
  <c r="C64" i="15" s="1"/>
  <c r="B65" i="15"/>
  <c r="C65" i="15" s="1"/>
  <c r="B66" i="15"/>
  <c r="C66" i="15" s="1"/>
  <c r="B67" i="15"/>
  <c r="B68" i="15"/>
  <c r="B69" i="15"/>
  <c r="B70" i="15"/>
  <c r="C70" i="15" s="1"/>
  <c r="B71" i="15"/>
  <c r="C71" i="15" s="1"/>
  <c r="B72" i="15"/>
  <c r="C72" i="15" s="1"/>
  <c r="B73" i="15"/>
  <c r="C73" i="15" s="1"/>
  <c r="B74" i="15"/>
  <c r="C74" i="15" s="1"/>
  <c r="B75" i="15"/>
  <c r="C75" i="15" s="1"/>
  <c r="B76" i="15"/>
  <c r="C76" i="15" s="1"/>
  <c r="B77" i="15"/>
  <c r="C77" i="15" s="1"/>
  <c r="B78" i="15"/>
  <c r="C78" i="15" s="1"/>
  <c r="B79" i="15"/>
  <c r="C79" i="15" s="1"/>
  <c r="B80" i="15"/>
  <c r="B81" i="15"/>
  <c r="B82" i="15"/>
  <c r="C82" i="15" s="1"/>
  <c r="B83" i="15"/>
  <c r="C83" i="15" s="1"/>
  <c r="B84" i="15"/>
  <c r="C84" i="15" s="1"/>
  <c r="B85" i="15"/>
  <c r="C85" i="15" s="1"/>
  <c r="B86" i="15"/>
  <c r="C86" i="15" s="1"/>
  <c r="B87" i="15"/>
  <c r="C87" i="15" s="1"/>
  <c r="B88" i="15"/>
  <c r="C88" i="15" s="1"/>
  <c r="B89" i="15"/>
  <c r="B90" i="15"/>
  <c r="C90" i="15" s="1"/>
  <c r="B91" i="15"/>
  <c r="C91" i="15" s="1"/>
  <c r="B92" i="15"/>
  <c r="B93" i="15"/>
  <c r="B94" i="15"/>
  <c r="C94" i="15" s="1"/>
  <c r="B95" i="15"/>
  <c r="C95" i="15" s="1"/>
  <c r="B96" i="15"/>
  <c r="C96" i="15" s="1"/>
  <c r="C29" i="4"/>
  <c r="B10" i="4"/>
  <c r="C10" i="4" s="1"/>
  <c r="B11" i="4"/>
  <c r="C11" i="4" s="1"/>
  <c r="B12" i="4"/>
  <c r="C12" i="4" s="1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C46" i="4" s="1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58" i="4"/>
  <c r="C58" i="4" s="1"/>
  <c r="B59" i="4"/>
  <c r="C59" i="4" s="1"/>
  <c r="B60" i="4"/>
  <c r="C60" i="4" s="1"/>
  <c r="B61" i="4"/>
  <c r="C61" i="4" s="1"/>
  <c r="B62" i="4"/>
  <c r="C62" i="4" s="1"/>
  <c r="B63" i="4"/>
  <c r="B64" i="4"/>
  <c r="C64" i="4" s="1"/>
  <c r="B65" i="4"/>
  <c r="C65" i="4" s="1"/>
  <c r="B66" i="4"/>
  <c r="B67" i="4"/>
  <c r="C67" i="4" s="1"/>
  <c r="B68" i="4"/>
  <c r="C68" i="4" s="1"/>
  <c r="B69" i="4"/>
  <c r="B70" i="4"/>
  <c r="C70" i="4" s="1"/>
  <c r="B71" i="4"/>
  <c r="C71" i="4" s="1"/>
  <c r="B72" i="4"/>
  <c r="C72" i="4" s="1"/>
  <c r="B73" i="4"/>
  <c r="C73" i="4" s="1"/>
  <c r="B74" i="4"/>
  <c r="C74" i="4" s="1"/>
  <c r="B75" i="4"/>
  <c r="B76" i="4"/>
  <c r="C76" i="4" s="1"/>
  <c r="B77" i="4"/>
  <c r="C77" i="4" s="1"/>
  <c r="B78" i="4"/>
  <c r="C78" i="4" s="1"/>
  <c r="B79" i="4"/>
  <c r="C79" i="4" s="1"/>
  <c r="B80" i="4"/>
  <c r="C80" i="4" s="1"/>
  <c r="B81" i="4"/>
  <c r="B82" i="4"/>
  <c r="C82" i="4" s="1"/>
  <c r="B83" i="4"/>
  <c r="C83" i="4" s="1"/>
  <c r="B84" i="4"/>
  <c r="C84" i="4" s="1"/>
  <c r="B85" i="4"/>
  <c r="C85" i="4" s="1"/>
  <c r="B86" i="4"/>
  <c r="C86" i="4" s="1"/>
  <c r="B87" i="4"/>
  <c r="C87" i="4" s="1"/>
  <c r="B88" i="4"/>
  <c r="C88" i="4" s="1"/>
  <c r="B89" i="4"/>
  <c r="C89" i="4" s="1"/>
  <c r="B90" i="4"/>
  <c r="C90" i="4" s="1"/>
  <c r="B91" i="4"/>
  <c r="C91" i="4" s="1"/>
  <c r="B92" i="4"/>
  <c r="C92" i="4" s="1"/>
  <c r="B93" i="4"/>
  <c r="B94" i="4"/>
  <c r="C94" i="4" s="1"/>
  <c r="B95" i="4"/>
  <c r="C95" i="4" s="1"/>
  <c r="B96" i="4"/>
  <c r="C96" i="4" s="1"/>
  <c r="Q87" i="4"/>
  <c r="B9" i="15"/>
  <c r="C9" i="15" s="1"/>
  <c r="F96" i="15"/>
  <c r="Q96" i="15"/>
  <c r="J95" i="15"/>
  <c r="F95" i="15"/>
  <c r="I95" i="15"/>
  <c r="N90" i="15"/>
  <c r="F90" i="15"/>
  <c r="J90" i="15"/>
  <c r="N89" i="15"/>
  <c r="J89" i="15"/>
  <c r="N87" i="15"/>
  <c r="F87" i="15"/>
  <c r="J87" i="15"/>
  <c r="N86" i="15"/>
  <c r="J86" i="15"/>
  <c r="F86" i="15"/>
  <c r="N84" i="15"/>
  <c r="F84" i="15"/>
  <c r="J84" i="15"/>
  <c r="N83" i="15"/>
  <c r="J83" i="15"/>
  <c r="F83" i="15"/>
  <c r="N78" i="15"/>
  <c r="F78" i="15"/>
  <c r="J78" i="15"/>
  <c r="N77" i="15"/>
  <c r="J77" i="15"/>
  <c r="F77" i="15"/>
  <c r="N75" i="15"/>
  <c r="F75" i="15"/>
  <c r="J75" i="15"/>
  <c r="N74" i="15"/>
  <c r="J74" i="15"/>
  <c r="F74" i="15"/>
  <c r="H72" i="15"/>
  <c r="N72" i="15"/>
  <c r="L70" i="15"/>
  <c r="O69" i="15"/>
  <c r="M65" i="15"/>
  <c r="L65" i="15"/>
  <c r="J65" i="15"/>
  <c r="Q64" i="15"/>
  <c r="P64" i="15"/>
  <c r="L64" i="15"/>
  <c r="K64" i="15"/>
  <c r="J64" i="15"/>
  <c r="F64" i="15"/>
  <c r="E64" i="15"/>
  <c r="D64" i="15"/>
  <c r="N64" i="15"/>
  <c r="H63" i="15"/>
  <c r="P63" i="15"/>
  <c r="P61" i="15"/>
  <c r="L61" i="15"/>
  <c r="O60" i="15"/>
  <c r="J60" i="15"/>
  <c r="I60" i="15"/>
  <c r="H60" i="15"/>
  <c r="P60" i="15"/>
  <c r="J59" i="15"/>
  <c r="N59" i="15"/>
  <c r="E58" i="15"/>
  <c r="Q58" i="15"/>
  <c r="L56" i="15"/>
  <c r="J56" i="15"/>
  <c r="H54" i="15"/>
  <c r="P54" i="15"/>
  <c r="P52" i="15"/>
  <c r="L52" i="15"/>
  <c r="O51" i="15"/>
  <c r="J51" i="15"/>
  <c r="I51" i="15"/>
  <c r="H51" i="15"/>
  <c r="P51" i="15"/>
  <c r="J50" i="15"/>
  <c r="N50" i="15"/>
  <c r="E49" i="15"/>
  <c r="Q49" i="15"/>
  <c r="M47" i="15"/>
  <c r="L47" i="15"/>
  <c r="J47" i="15"/>
  <c r="J2" i="15"/>
  <c r="J1" i="15"/>
  <c r="H1" i="3"/>
  <c r="I1" i="3"/>
  <c r="J1" i="3"/>
  <c r="H2" i="3"/>
  <c r="I2" i="3"/>
  <c r="J2" i="3"/>
  <c r="H3" i="3"/>
  <c r="I3" i="3"/>
  <c r="J3" i="3"/>
  <c r="H4" i="3"/>
  <c r="I4" i="3"/>
  <c r="J4" i="3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4"/>
  <c r="E61" i="4"/>
  <c r="J61" i="4"/>
  <c r="K61" i="4"/>
  <c r="M61" i="4"/>
  <c r="N61" i="4"/>
  <c r="P61" i="4"/>
  <c r="Q61" i="4"/>
  <c r="D62" i="4"/>
  <c r="E62" i="4"/>
  <c r="F62" i="4"/>
  <c r="G62" i="4"/>
  <c r="I62" i="4"/>
  <c r="J62" i="4"/>
  <c r="K62" i="4"/>
  <c r="L62" i="4"/>
  <c r="M62" i="4"/>
  <c r="N62" i="4"/>
  <c r="P62" i="4"/>
  <c r="Q62" i="4"/>
  <c r="D64" i="4"/>
  <c r="E64" i="4"/>
  <c r="J64" i="4"/>
  <c r="K64" i="4"/>
  <c r="M64" i="4"/>
  <c r="N64" i="4"/>
  <c r="P64" i="4"/>
  <c r="Q64" i="4"/>
  <c r="D65" i="4"/>
  <c r="E65" i="4"/>
  <c r="F65" i="4"/>
  <c r="G65" i="4"/>
  <c r="I65" i="4"/>
  <c r="J65" i="4"/>
  <c r="K65" i="4"/>
  <c r="L65" i="4"/>
  <c r="M65" i="4"/>
  <c r="N65" i="4"/>
  <c r="P65" i="4"/>
  <c r="Q65" i="4"/>
  <c r="N66" i="4"/>
  <c r="D67" i="4"/>
  <c r="E67" i="4"/>
  <c r="J67" i="4"/>
  <c r="K67" i="4"/>
  <c r="M67" i="4"/>
  <c r="N67" i="4"/>
  <c r="P67" i="4"/>
  <c r="Q67" i="4"/>
  <c r="D68" i="4"/>
  <c r="E68" i="4"/>
  <c r="F68" i="4"/>
  <c r="G68" i="4"/>
  <c r="I68" i="4"/>
  <c r="J68" i="4"/>
  <c r="K68" i="4"/>
  <c r="L68" i="4"/>
  <c r="M68" i="4"/>
  <c r="N68" i="4"/>
  <c r="P68" i="4"/>
  <c r="Q68" i="4"/>
  <c r="D70" i="4"/>
  <c r="E70" i="4"/>
  <c r="J70" i="4"/>
  <c r="K70" i="4"/>
  <c r="M70" i="4"/>
  <c r="N70" i="4"/>
  <c r="P70" i="4"/>
  <c r="Q70" i="4"/>
  <c r="D71" i="4"/>
  <c r="E71" i="4"/>
  <c r="F71" i="4"/>
  <c r="G71" i="4"/>
  <c r="I71" i="4"/>
  <c r="J71" i="4"/>
  <c r="K71" i="4"/>
  <c r="L71" i="4"/>
  <c r="M71" i="4"/>
  <c r="N71" i="4"/>
  <c r="P71" i="4"/>
  <c r="Q71" i="4"/>
  <c r="F72" i="4"/>
  <c r="E72" i="4"/>
  <c r="N72" i="4"/>
  <c r="Q72" i="4"/>
  <c r="D73" i="4"/>
  <c r="E73" i="4"/>
  <c r="J73" i="4"/>
  <c r="K73" i="4"/>
  <c r="M73" i="4"/>
  <c r="N73" i="4"/>
  <c r="P73" i="4"/>
  <c r="Q73" i="4"/>
  <c r="D74" i="4"/>
  <c r="E74" i="4"/>
  <c r="F74" i="4"/>
  <c r="G74" i="4"/>
  <c r="I74" i="4"/>
  <c r="J74" i="4"/>
  <c r="K74" i="4"/>
  <c r="L74" i="4"/>
  <c r="M74" i="4"/>
  <c r="N74" i="4"/>
  <c r="P74" i="4"/>
  <c r="Q74" i="4"/>
  <c r="D76" i="4"/>
  <c r="E76" i="4"/>
  <c r="J76" i="4"/>
  <c r="K76" i="4"/>
  <c r="M76" i="4"/>
  <c r="N76" i="4"/>
  <c r="P76" i="4"/>
  <c r="Q76" i="4"/>
  <c r="D77" i="4"/>
  <c r="E77" i="4"/>
  <c r="F77" i="4"/>
  <c r="G77" i="4"/>
  <c r="I77" i="4"/>
  <c r="J77" i="4"/>
  <c r="K77" i="4"/>
  <c r="L77" i="4"/>
  <c r="M77" i="4"/>
  <c r="N77" i="4"/>
  <c r="P77" i="4"/>
  <c r="Q77" i="4"/>
  <c r="F78" i="4"/>
  <c r="E78" i="4"/>
  <c r="N78" i="4"/>
  <c r="Q78" i="4"/>
  <c r="D79" i="4"/>
  <c r="E79" i="4"/>
  <c r="J79" i="4"/>
  <c r="K79" i="4"/>
  <c r="M79" i="4"/>
  <c r="N79" i="4"/>
  <c r="P79" i="4"/>
  <c r="Q79" i="4"/>
  <c r="D80" i="4"/>
  <c r="E80" i="4"/>
  <c r="F80" i="4"/>
  <c r="G80" i="4"/>
  <c r="I80" i="4"/>
  <c r="J80" i="4"/>
  <c r="K80" i="4"/>
  <c r="L80" i="4"/>
  <c r="M80" i="4"/>
  <c r="N80" i="4"/>
  <c r="P80" i="4"/>
  <c r="Q80" i="4"/>
  <c r="E81" i="4"/>
  <c r="D82" i="4"/>
  <c r="E82" i="4"/>
  <c r="J82" i="4"/>
  <c r="K82" i="4"/>
  <c r="M82" i="4"/>
  <c r="N82" i="4"/>
  <c r="P82" i="4"/>
  <c r="Q82" i="4"/>
  <c r="D83" i="4"/>
  <c r="E83" i="4"/>
  <c r="F83" i="4"/>
  <c r="G83" i="4"/>
  <c r="I83" i="4"/>
  <c r="J83" i="4"/>
  <c r="K83" i="4"/>
  <c r="L83" i="4"/>
  <c r="M83" i="4"/>
  <c r="N83" i="4"/>
  <c r="P83" i="4"/>
  <c r="Q83" i="4"/>
  <c r="F84" i="4"/>
  <c r="E84" i="4"/>
  <c r="N84" i="4"/>
  <c r="Q84" i="4"/>
  <c r="D85" i="4"/>
  <c r="E85" i="4"/>
  <c r="J85" i="4"/>
  <c r="K85" i="4"/>
  <c r="M85" i="4"/>
  <c r="N85" i="4"/>
  <c r="P85" i="4"/>
  <c r="Q85" i="4"/>
  <c r="D86" i="4"/>
  <c r="E86" i="4"/>
  <c r="F86" i="4"/>
  <c r="G86" i="4"/>
  <c r="I86" i="4"/>
  <c r="J86" i="4"/>
  <c r="K86" i="4"/>
  <c r="L86" i="4"/>
  <c r="M86" i="4"/>
  <c r="N86" i="4"/>
  <c r="P86" i="4"/>
  <c r="Q86" i="4"/>
  <c r="E87" i="4"/>
  <c r="D88" i="4"/>
  <c r="E88" i="4"/>
  <c r="J88" i="4"/>
  <c r="K88" i="4"/>
  <c r="M88" i="4"/>
  <c r="N88" i="4"/>
  <c r="P88" i="4"/>
  <c r="Q88" i="4"/>
  <c r="D89" i="4"/>
  <c r="E89" i="4"/>
  <c r="F89" i="4"/>
  <c r="G89" i="4"/>
  <c r="I89" i="4"/>
  <c r="J89" i="4"/>
  <c r="K89" i="4"/>
  <c r="L89" i="4"/>
  <c r="M89" i="4"/>
  <c r="N89" i="4"/>
  <c r="P89" i="4"/>
  <c r="Q89" i="4"/>
  <c r="F90" i="4"/>
  <c r="E90" i="4"/>
  <c r="H90" i="4"/>
  <c r="N90" i="4"/>
  <c r="Q90" i="4"/>
  <c r="D91" i="4"/>
  <c r="E91" i="4"/>
  <c r="J91" i="4"/>
  <c r="K91" i="4"/>
  <c r="M91" i="4"/>
  <c r="N91" i="4"/>
  <c r="P91" i="4"/>
  <c r="Q91" i="4"/>
  <c r="D92" i="4"/>
  <c r="E92" i="4"/>
  <c r="F92" i="4"/>
  <c r="G92" i="4"/>
  <c r="I92" i="4"/>
  <c r="J92" i="4"/>
  <c r="K92" i="4"/>
  <c r="L92" i="4"/>
  <c r="M92" i="4"/>
  <c r="N92" i="4"/>
  <c r="P92" i="4"/>
  <c r="Q92" i="4"/>
  <c r="D94" i="4"/>
  <c r="E94" i="4"/>
  <c r="J94" i="4"/>
  <c r="K94" i="4"/>
  <c r="M94" i="4"/>
  <c r="N94" i="4"/>
  <c r="P94" i="4"/>
  <c r="Q94" i="4"/>
  <c r="D95" i="4"/>
  <c r="E95" i="4"/>
  <c r="F95" i="4"/>
  <c r="G95" i="4"/>
  <c r="I95" i="4"/>
  <c r="J95" i="4"/>
  <c r="K95" i="4"/>
  <c r="L95" i="4"/>
  <c r="M95" i="4"/>
  <c r="N95" i="4"/>
  <c r="P95" i="4"/>
  <c r="Q95" i="4"/>
  <c r="F96" i="4"/>
  <c r="E96" i="4"/>
  <c r="H96" i="4"/>
  <c r="N96" i="4"/>
  <c r="Q96" i="4"/>
  <c r="P4" i="3"/>
  <c r="P3" i="3"/>
  <c r="P2" i="3"/>
  <c r="P1" i="3"/>
  <c r="O4" i="3"/>
  <c r="O3" i="3"/>
  <c r="O2" i="3"/>
  <c r="O1" i="3"/>
  <c r="N4" i="3"/>
  <c r="N3" i="3"/>
  <c r="N2" i="3"/>
  <c r="N1" i="3"/>
  <c r="M4" i="3"/>
  <c r="M3" i="3"/>
  <c r="M2" i="3"/>
  <c r="M1" i="3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14" i="3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B16" i="9"/>
  <c r="C16" i="12" s="1"/>
  <c r="B17" i="9"/>
  <c r="C17" i="12" s="1"/>
  <c r="B18" i="9"/>
  <c r="C18" i="12" s="1"/>
  <c r="B19" i="9"/>
  <c r="C19" i="12" s="1"/>
  <c r="B20" i="9"/>
  <c r="C20" i="12" s="1"/>
  <c r="B21" i="9"/>
  <c r="C21" i="12" s="1"/>
  <c r="B22" i="9"/>
  <c r="C22" i="9" s="1"/>
  <c r="B23" i="9"/>
  <c r="C23" i="9" s="1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B16" i="8"/>
  <c r="C16" i="8" s="1"/>
  <c r="B17" i="8"/>
  <c r="C17" i="8" s="1"/>
  <c r="B18" i="8"/>
  <c r="C18" i="8" s="1"/>
  <c r="B19" i="8"/>
  <c r="C19" i="8" s="1"/>
  <c r="B20" i="8"/>
  <c r="C20" i="8" s="1"/>
  <c r="B21" i="8"/>
  <c r="C21" i="8" s="1"/>
  <c r="B22" i="8"/>
  <c r="C22" i="8" s="1"/>
  <c r="B23" i="8"/>
  <c r="C23" i="8" s="1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B16" i="7"/>
  <c r="C16" i="7" s="1"/>
  <c r="B17" i="7"/>
  <c r="C17" i="7" s="1"/>
  <c r="B18" i="7"/>
  <c r="C18" i="7" s="1"/>
  <c r="B19" i="7"/>
  <c r="C19" i="11" s="1"/>
  <c r="B20" i="7"/>
  <c r="C20" i="11" s="1"/>
  <c r="B21" i="7"/>
  <c r="C21" i="11" s="1"/>
  <c r="B22" i="7"/>
  <c r="C22" i="11" s="1"/>
  <c r="B23" i="7"/>
  <c r="C23" i="11" s="1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B16" i="6"/>
  <c r="B16" i="11" s="1"/>
  <c r="B17" i="6"/>
  <c r="B17" i="11" s="1"/>
  <c r="B18" i="6"/>
  <c r="B18" i="11" s="1"/>
  <c r="B19" i="6"/>
  <c r="B19" i="11" s="1"/>
  <c r="B20" i="6"/>
  <c r="B20" i="11" s="1"/>
  <c r="B21" i="6"/>
  <c r="B21" i="11" s="1"/>
  <c r="B22" i="6"/>
  <c r="B22" i="11" s="1"/>
  <c r="B23" i="6"/>
  <c r="B23" i="11" s="1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C14" i="3"/>
  <c r="A14" i="3"/>
  <c r="J2" i="9"/>
  <c r="J1" i="9"/>
  <c r="J2" i="8"/>
  <c r="J1" i="8"/>
  <c r="J2" i="6"/>
  <c r="J1" i="6"/>
  <c r="B10" i="7" l="1"/>
  <c r="C10" i="11" s="1"/>
  <c r="B13" i="9"/>
  <c r="C13" i="12" s="1"/>
  <c r="B14" i="9"/>
  <c r="B15" i="9"/>
  <c r="C15" i="12" s="1"/>
  <c r="B13" i="8"/>
  <c r="B13" i="12" s="1"/>
  <c r="B14" i="8"/>
  <c r="B14" i="12" s="1"/>
  <c r="B15" i="8"/>
  <c r="B15" i="12" s="1"/>
  <c r="B13" i="7"/>
  <c r="B14" i="7"/>
  <c r="C14" i="11" s="1"/>
  <c r="B15" i="7"/>
  <c r="B13" i="6"/>
  <c r="B14" i="6"/>
  <c r="B15" i="6"/>
  <c r="F93" i="4"/>
  <c r="C93" i="4"/>
  <c r="N81" i="4"/>
  <c r="C81" i="4"/>
  <c r="F75" i="4"/>
  <c r="C75" i="4"/>
  <c r="F69" i="4"/>
  <c r="C69" i="4"/>
  <c r="F66" i="4"/>
  <c r="C66" i="4"/>
  <c r="F63" i="4"/>
  <c r="C63" i="4"/>
  <c r="N93" i="15"/>
  <c r="C93" i="15"/>
  <c r="N92" i="15"/>
  <c r="C92" i="15"/>
  <c r="F89" i="15"/>
  <c r="C89" i="15"/>
  <c r="N81" i="15"/>
  <c r="C81" i="15"/>
  <c r="N80" i="15"/>
  <c r="C80" i="15"/>
  <c r="J69" i="15"/>
  <c r="C69" i="15"/>
  <c r="J68" i="15"/>
  <c r="C68" i="15"/>
  <c r="E67" i="15"/>
  <c r="C67" i="15"/>
  <c r="M56" i="15"/>
  <c r="C56" i="15"/>
  <c r="Q55" i="15"/>
  <c r="C55" i="15"/>
  <c r="F93" i="16"/>
  <c r="C93" i="16"/>
  <c r="N92" i="16"/>
  <c r="C92" i="16"/>
  <c r="N91" i="16"/>
  <c r="C91" i="16"/>
  <c r="G90" i="16"/>
  <c r="C90" i="16"/>
  <c r="J87" i="16"/>
  <c r="C87" i="16"/>
  <c r="Q81" i="16"/>
  <c r="C81" i="16"/>
  <c r="N80" i="16"/>
  <c r="C80" i="16"/>
  <c r="N79" i="16"/>
  <c r="C79" i="16"/>
  <c r="Q78" i="16"/>
  <c r="C78" i="16"/>
  <c r="Q75" i="16"/>
  <c r="C75" i="16"/>
  <c r="F69" i="16"/>
  <c r="C69" i="16"/>
  <c r="N68" i="16"/>
  <c r="C68" i="16"/>
  <c r="Q66" i="16"/>
  <c r="C66" i="16"/>
  <c r="J57" i="16"/>
  <c r="C57" i="16"/>
  <c r="H54" i="16"/>
  <c r="C54" i="16"/>
  <c r="K111" i="5"/>
  <c r="L96" i="17"/>
  <c r="C96" i="17"/>
  <c r="L95" i="17"/>
  <c r="C95" i="17"/>
  <c r="D94" i="17"/>
  <c r="C94" i="17"/>
  <c r="Q93" i="17"/>
  <c r="C93" i="17"/>
  <c r="F91" i="17"/>
  <c r="C91" i="17"/>
  <c r="F90" i="17"/>
  <c r="C90" i="17"/>
  <c r="F88" i="17"/>
  <c r="C88" i="17"/>
  <c r="H84" i="17"/>
  <c r="C84" i="17"/>
  <c r="O83" i="17"/>
  <c r="C83" i="17"/>
  <c r="F82" i="17"/>
  <c r="C82" i="17"/>
  <c r="L81" i="17"/>
  <c r="C81" i="17"/>
  <c r="K78" i="17"/>
  <c r="C78" i="17"/>
  <c r="G76" i="17"/>
  <c r="C76" i="17"/>
  <c r="G72" i="17"/>
  <c r="C72" i="17"/>
  <c r="O69" i="17"/>
  <c r="C69" i="17"/>
  <c r="O65" i="17"/>
  <c r="C65" i="17"/>
  <c r="L57" i="17"/>
  <c r="C57" i="17"/>
  <c r="K148" i="5"/>
  <c r="P95" i="18"/>
  <c r="C95" i="18"/>
  <c r="N93" i="18"/>
  <c r="C93" i="18"/>
  <c r="J89" i="18"/>
  <c r="C89" i="18"/>
  <c r="G86" i="18"/>
  <c r="C86" i="18"/>
  <c r="Q85" i="18"/>
  <c r="C85" i="18"/>
  <c r="L84" i="18"/>
  <c r="C84" i="18"/>
  <c r="O81" i="18"/>
  <c r="C81" i="18"/>
  <c r="L78" i="18"/>
  <c r="C78" i="18"/>
  <c r="O66" i="18"/>
  <c r="C66" i="18"/>
  <c r="I57" i="18"/>
  <c r="C57" i="18"/>
  <c r="G54" i="18"/>
  <c r="C54" i="18"/>
  <c r="P96" i="19"/>
  <c r="C96" i="19"/>
  <c r="J95" i="19"/>
  <c r="C95" i="19"/>
  <c r="P93" i="19"/>
  <c r="C93" i="19"/>
  <c r="Q92" i="19"/>
  <c r="C92" i="19"/>
  <c r="N91" i="19"/>
  <c r="C91" i="19"/>
  <c r="F90" i="19"/>
  <c r="C90" i="19"/>
  <c r="K89" i="19"/>
  <c r="C89" i="19"/>
  <c r="P87" i="19"/>
  <c r="C87" i="19"/>
  <c r="O85" i="19"/>
  <c r="C85" i="19"/>
  <c r="P84" i="19"/>
  <c r="C84" i="19"/>
  <c r="Q83" i="19"/>
  <c r="C83" i="19"/>
  <c r="G81" i="19"/>
  <c r="C81" i="19"/>
  <c r="Q80" i="19"/>
  <c r="C80" i="19"/>
  <c r="P78" i="19"/>
  <c r="C78" i="19"/>
  <c r="I77" i="19"/>
  <c r="C77" i="19"/>
  <c r="L73" i="19"/>
  <c r="C73" i="19"/>
  <c r="D72" i="19"/>
  <c r="C72" i="19"/>
  <c r="M69" i="19"/>
  <c r="C69" i="19"/>
  <c r="O67" i="19"/>
  <c r="C67" i="19"/>
  <c r="P66" i="19"/>
  <c r="C66" i="19"/>
  <c r="O61" i="19"/>
  <c r="C61" i="19"/>
  <c r="G60" i="19"/>
  <c r="C60" i="19"/>
  <c r="N57" i="19"/>
  <c r="C57" i="19"/>
  <c r="M54" i="19"/>
  <c r="C54" i="19"/>
  <c r="P93" i="20"/>
  <c r="C93" i="20"/>
  <c r="Q92" i="20"/>
  <c r="C92" i="20"/>
  <c r="H90" i="20"/>
  <c r="C90" i="20"/>
  <c r="I89" i="20"/>
  <c r="C89" i="20"/>
  <c r="J81" i="20"/>
  <c r="C81" i="20"/>
  <c r="O79" i="20"/>
  <c r="C79" i="20"/>
  <c r="G78" i="20"/>
  <c r="C78" i="20"/>
  <c r="O69" i="20"/>
  <c r="C69" i="20"/>
  <c r="O67" i="20"/>
  <c r="C67" i="20"/>
  <c r="O55" i="20"/>
  <c r="C55" i="20"/>
  <c r="C481" i="5"/>
  <c r="C46" i="20"/>
  <c r="C480" i="5"/>
  <c r="N96" i="21"/>
  <c r="C96" i="21"/>
  <c r="Q95" i="21"/>
  <c r="C95" i="21"/>
  <c r="P93" i="21"/>
  <c r="C93" i="21"/>
  <c r="K92" i="21"/>
  <c r="C92" i="21"/>
  <c r="Q89" i="21"/>
  <c r="C89" i="21"/>
  <c r="J86" i="21"/>
  <c r="C86" i="21"/>
  <c r="E84" i="21"/>
  <c r="C84" i="21"/>
  <c r="J83" i="21"/>
  <c r="C83" i="21"/>
  <c r="N82" i="21"/>
  <c r="C82" i="21"/>
  <c r="D81" i="21"/>
  <c r="C81" i="21"/>
  <c r="Q80" i="21"/>
  <c r="C80" i="21"/>
  <c r="E69" i="21"/>
  <c r="C69" i="21"/>
  <c r="Q68" i="21"/>
  <c r="C68" i="21"/>
  <c r="O57" i="21"/>
  <c r="C57" i="21"/>
  <c r="K555" i="5"/>
  <c r="C45" i="21"/>
  <c r="K48" i="17"/>
  <c r="C25" i="17"/>
  <c r="C13" i="17"/>
  <c r="C43" i="18"/>
  <c r="C31" i="18"/>
  <c r="C31" i="19"/>
  <c r="C518" i="5"/>
  <c r="C42" i="15"/>
  <c r="C30" i="15"/>
  <c r="C34" i="16"/>
  <c r="L48" i="17"/>
  <c r="C48" i="17"/>
  <c r="C36" i="17"/>
  <c r="C24" i="17"/>
  <c r="C10" i="17"/>
  <c r="C42" i="18"/>
  <c r="C30" i="18"/>
  <c r="C33" i="16"/>
  <c r="N48" i="17"/>
  <c r="C23" i="17"/>
  <c r="K74" i="5"/>
  <c r="C29" i="18"/>
  <c r="K407" i="5" s="1"/>
  <c r="C42" i="20"/>
  <c r="C42" i="21"/>
  <c r="C30" i="21"/>
  <c r="C44" i="16"/>
  <c r="C32" i="16"/>
  <c r="C111" i="5"/>
  <c r="C38" i="22"/>
  <c r="C148" i="5"/>
  <c r="C28" i="20"/>
  <c r="K480" i="5" s="1"/>
  <c r="C15" i="7"/>
  <c r="C19" i="17"/>
  <c r="B2" i="18"/>
  <c r="E374" i="5" s="1"/>
  <c r="B2" i="15"/>
  <c r="E41" i="5" s="1"/>
  <c r="C14" i="6"/>
  <c r="C15" i="6"/>
  <c r="C14" i="9"/>
  <c r="K518" i="5"/>
  <c r="C554" i="5"/>
  <c r="K554" i="5"/>
  <c r="C517" i="5"/>
  <c r="K517" i="5"/>
  <c r="C444" i="5"/>
  <c r="B442" i="5"/>
  <c r="K444" i="5"/>
  <c r="C443" i="5"/>
  <c r="K443" i="5"/>
  <c r="K481" i="5"/>
  <c r="B553" i="5"/>
  <c r="B516" i="5"/>
  <c r="B479" i="5"/>
  <c r="B441" i="5"/>
  <c r="B406" i="5"/>
  <c r="R231" i="5"/>
  <c r="F231" i="5"/>
  <c r="Q231" i="5"/>
  <c r="E231" i="5"/>
  <c r="P231" i="5"/>
  <c r="D231" i="5"/>
  <c r="O231" i="5"/>
  <c r="C231" i="5"/>
  <c r="B230" i="5"/>
  <c r="D230" i="5" s="1"/>
  <c r="N231" i="5"/>
  <c r="M231" i="5"/>
  <c r="L231" i="5"/>
  <c r="K231" i="5"/>
  <c r="J231" i="5"/>
  <c r="I231" i="5"/>
  <c r="G231" i="5"/>
  <c r="H231" i="5"/>
  <c r="E230" i="5"/>
  <c r="L230" i="5"/>
  <c r="Q258" i="5"/>
  <c r="E258" i="5"/>
  <c r="P258" i="5"/>
  <c r="D258" i="5"/>
  <c r="O258" i="5"/>
  <c r="N258" i="5"/>
  <c r="M258" i="5"/>
  <c r="G258" i="5"/>
  <c r="L258" i="5"/>
  <c r="J258" i="5"/>
  <c r="I258" i="5"/>
  <c r="H258" i="5"/>
  <c r="R258" i="5"/>
  <c r="F258" i="5"/>
  <c r="O57" i="22"/>
  <c r="I69" i="22"/>
  <c r="K80" i="22"/>
  <c r="F93" i="22"/>
  <c r="D57" i="22"/>
  <c r="N68" i="22"/>
  <c r="J69" i="22"/>
  <c r="N80" i="22"/>
  <c r="G93" i="22"/>
  <c r="H69" i="22"/>
  <c r="E57" i="22"/>
  <c r="H68" i="22"/>
  <c r="P69" i="22"/>
  <c r="O81" i="22"/>
  <c r="H93" i="22"/>
  <c r="J80" i="22"/>
  <c r="E93" i="22"/>
  <c r="F57" i="22"/>
  <c r="I68" i="22"/>
  <c r="Q69" i="22"/>
  <c r="D81" i="22"/>
  <c r="D90" i="22"/>
  <c r="M91" i="22"/>
  <c r="I93" i="22"/>
  <c r="G57" i="22"/>
  <c r="K68" i="22"/>
  <c r="E81" i="22"/>
  <c r="J93" i="22"/>
  <c r="H57" i="22"/>
  <c r="L68" i="22"/>
  <c r="F81" i="22"/>
  <c r="F90" i="22"/>
  <c r="O91" i="22"/>
  <c r="P93" i="22"/>
  <c r="D96" i="22"/>
  <c r="Q81" i="22"/>
  <c r="I57" i="22"/>
  <c r="O69" i="22"/>
  <c r="G81" i="22"/>
  <c r="Q91" i="22"/>
  <c r="Q93" i="22"/>
  <c r="F56" i="22"/>
  <c r="J57" i="22"/>
  <c r="D69" i="22"/>
  <c r="H81" i="22"/>
  <c r="K92" i="22"/>
  <c r="C93" i="22"/>
  <c r="C81" i="22"/>
  <c r="C69" i="22"/>
  <c r="C57" i="22"/>
  <c r="C33" i="22"/>
  <c r="H56" i="22"/>
  <c r="P57" i="22"/>
  <c r="E69" i="22"/>
  <c r="K77" i="22"/>
  <c r="I81" i="22"/>
  <c r="I90" i="22"/>
  <c r="M92" i="22"/>
  <c r="G96" i="22"/>
  <c r="C56" i="22"/>
  <c r="C32" i="22"/>
  <c r="Q79" i="22"/>
  <c r="G47" i="22"/>
  <c r="Q47" i="22"/>
  <c r="E47" i="22"/>
  <c r="P47" i="22"/>
  <c r="D47" i="22"/>
  <c r="O47" i="22"/>
  <c r="F48" i="22"/>
  <c r="F49" i="22"/>
  <c r="J50" i="22"/>
  <c r="K55" i="22"/>
  <c r="I55" i="22"/>
  <c r="H55" i="22"/>
  <c r="G55" i="22"/>
  <c r="G56" i="22"/>
  <c r="Q56" i="22"/>
  <c r="E56" i="22"/>
  <c r="P56" i="22"/>
  <c r="D56" i="22"/>
  <c r="O56" i="22"/>
  <c r="L58" i="22"/>
  <c r="K61" i="22"/>
  <c r="J61" i="22"/>
  <c r="I61" i="22"/>
  <c r="H61" i="22"/>
  <c r="G61" i="22"/>
  <c r="H62" i="22"/>
  <c r="D67" i="22"/>
  <c r="J68" i="22"/>
  <c r="L76" i="22"/>
  <c r="E79" i="22"/>
  <c r="K82" i="22"/>
  <c r="J82" i="22"/>
  <c r="I82" i="22"/>
  <c r="H82" i="22"/>
  <c r="G82" i="22"/>
  <c r="P82" i="22"/>
  <c r="D82" i="22"/>
  <c r="J83" i="22"/>
  <c r="H86" i="22"/>
  <c r="L94" i="22"/>
  <c r="O54" i="22"/>
  <c r="M54" i="22"/>
  <c r="L54" i="22"/>
  <c r="K54" i="22"/>
  <c r="E67" i="22"/>
  <c r="G71" i="22"/>
  <c r="F71" i="22"/>
  <c r="Q71" i="22"/>
  <c r="E71" i="22"/>
  <c r="P71" i="22"/>
  <c r="D71" i="22"/>
  <c r="O71" i="22"/>
  <c r="L71" i="22"/>
  <c r="F79" i="22"/>
  <c r="I86" i="22"/>
  <c r="G89" i="22"/>
  <c r="F89" i="22"/>
  <c r="Q89" i="22"/>
  <c r="E89" i="22"/>
  <c r="P89" i="22"/>
  <c r="D89" i="22"/>
  <c r="O89" i="22"/>
  <c r="L89" i="22"/>
  <c r="G62" i="22"/>
  <c r="F62" i="22"/>
  <c r="Q62" i="22"/>
  <c r="E62" i="22"/>
  <c r="P62" i="22"/>
  <c r="D62" i="22"/>
  <c r="O62" i="22"/>
  <c r="L49" i="22"/>
  <c r="L50" i="22"/>
  <c r="D54" i="22"/>
  <c r="N58" i="22"/>
  <c r="J62" i="22"/>
  <c r="F67" i="22"/>
  <c r="H71" i="22"/>
  <c r="N76" i="22"/>
  <c r="L79" i="22"/>
  <c r="K85" i="22"/>
  <c r="J85" i="22"/>
  <c r="I85" i="22"/>
  <c r="H85" i="22"/>
  <c r="G85" i="22"/>
  <c r="P85" i="22"/>
  <c r="D85" i="22"/>
  <c r="H89" i="22"/>
  <c r="N94" i="22"/>
  <c r="G86" i="22"/>
  <c r="F86" i="22"/>
  <c r="Q86" i="22"/>
  <c r="E86" i="22"/>
  <c r="P86" i="22"/>
  <c r="D86" i="22"/>
  <c r="O86" i="22"/>
  <c r="L86" i="22"/>
  <c r="B1" i="22"/>
  <c r="I48" i="22"/>
  <c r="M49" i="22"/>
  <c r="M50" i="22"/>
  <c r="E54" i="22"/>
  <c r="O58" i="22"/>
  <c r="K62" i="22"/>
  <c r="L67" i="22"/>
  <c r="M68" i="22"/>
  <c r="K70" i="22"/>
  <c r="J70" i="22"/>
  <c r="I70" i="22"/>
  <c r="H70" i="22"/>
  <c r="G70" i="22"/>
  <c r="P70" i="22"/>
  <c r="I71" i="22"/>
  <c r="G74" i="22"/>
  <c r="F74" i="22"/>
  <c r="Q74" i="22"/>
  <c r="E74" i="22"/>
  <c r="P74" i="22"/>
  <c r="D74" i="22"/>
  <c r="O74" i="22"/>
  <c r="L74" i="22"/>
  <c r="O76" i="22"/>
  <c r="M79" i="22"/>
  <c r="K86" i="22"/>
  <c r="I89" i="22"/>
  <c r="G92" i="22"/>
  <c r="F92" i="22"/>
  <c r="Q92" i="22"/>
  <c r="E92" i="22"/>
  <c r="P92" i="22"/>
  <c r="D92" i="22"/>
  <c r="O92" i="22"/>
  <c r="L92" i="22"/>
  <c r="O94" i="22"/>
  <c r="J47" i="22"/>
  <c r="J48" i="22"/>
  <c r="N49" i="22"/>
  <c r="K52" i="22"/>
  <c r="I52" i="22"/>
  <c r="H52" i="22"/>
  <c r="G52" i="22"/>
  <c r="G53" i="22"/>
  <c r="Q53" i="22"/>
  <c r="E53" i="22"/>
  <c r="P53" i="22"/>
  <c r="D53" i="22"/>
  <c r="O53" i="22"/>
  <c r="F54" i="22"/>
  <c r="F55" i="22"/>
  <c r="J56" i="22"/>
  <c r="P58" i="22"/>
  <c r="F61" i="22"/>
  <c r="L62" i="22"/>
  <c r="G65" i="22"/>
  <c r="F65" i="22"/>
  <c r="Q65" i="22"/>
  <c r="E65" i="22"/>
  <c r="P65" i="22"/>
  <c r="D65" i="22"/>
  <c r="O65" i="22"/>
  <c r="M67" i="22"/>
  <c r="J71" i="22"/>
  <c r="H74" i="22"/>
  <c r="N79" i="22"/>
  <c r="L82" i="22"/>
  <c r="E85" i="22"/>
  <c r="M86" i="22"/>
  <c r="K88" i="22"/>
  <c r="J88" i="22"/>
  <c r="I88" i="22"/>
  <c r="H88" i="22"/>
  <c r="G88" i="22"/>
  <c r="P88" i="22"/>
  <c r="D88" i="22"/>
  <c r="J89" i="22"/>
  <c r="H92" i="22"/>
  <c r="B4" i="22"/>
  <c r="G36" i="22"/>
  <c r="G45" i="22"/>
  <c r="K47" i="22"/>
  <c r="N48" i="22"/>
  <c r="O49" i="22"/>
  <c r="O51" i="22"/>
  <c r="M51" i="22"/>
  <c r="L51" i="22"/>
  <c r="K51" i="22"/>
  <c r="F53" i="22"/>
  <c r="G54" i="22"/>
  <c r="J55" i="22"/>
  <c r="K56" i="22"/>
  <c r="L61" i="22"/>
  <c r="M62" i="22"/>
  <c r="K64" i="22"/>
  <c r="J64" i="22"/>
  <c r="I64" i="22"/>
  <c r="H64" i="22"/>
  <c r="G64" i="22"/>
  <c r="H65" i="22"/>
  <c r="D70" i="22"/>
  <c r="K71" i="22"/>
  <c r="I74" i="22"/>
  <c r="G77" i="22"/>
  <c r="F77" i="22"/>
  <c r="Q77" i="22"/>
  <c r="E77" i="22"/>
  <c r="P77" i="22"/>
  <c r="D77" i="22"/>
  <c r="O77" i="22"/>
  <c r="L77" i="22"/>
  <c r="O79" i="22"/>
  <c r="M82" i="22"/>
  <c r="F85" i="22"/>
  <c r="N86" i="22"/>
  <c r="K89" i="22"/>
  <c r="I92" i="22"/>
  <c r="G95" i="22"/>
  <c r="F95" i="22"/>
  <c r="Q95" i="22"/>
  <c r="E95" i="22"/>
  <c r="P95" i="22"/>
  <c r="D95" i="22"/>
  <c r="O95" i="22"/>
  <c r="L95" i="22"/>
  <c r="K67" i="22"/>
  <c r="J67" i="22"/>
  <c r="I67" i="22"/>
  <c r="H67" i="22"/>
  <c r="G67" i="22"/>
  <c r="B2" i="22"/>
  <c r="H32" i="22" s="1"/>
  <c r="G33" i="22"/>
  <c r="L47" i="22"/>
  <c r="D51" i="22"/>
  <c r="D52" i="22"/>
  <c r="H53" i="22"/>
  <c r="H54" i="22"/>
  <c r="L55" i="22"/>
  <c r="L56" i="22"/>
  <c r="G59" i="22"/>
  <c r="F59" i="22"/>
  <c r="Q59" i="22"/>
  <c r="E59" i="22"/>
  <c r="P59" i="22"/>
  <c r="D59" i="22"/>
  <c r="O59" i="22"/>
  <c r="M61" i="22"/>
  <c r="N62" i="22"/>
  <c r="I65" i="22"/>
  <c r="O67" i="22"/>
  <c r="E70" i="22"/>
  <c r="M71" i="22"/>
  <c r="K73" i="22"/>
  <c r="J73" i="22"/>
  <c r="I73" i="22"/>
  <c r="H73" i="22"/>
  <c r="G73" i="22"/>
  <c r="P73" i="22"/>
  <c r="D73" i="22"/>
  <c r="J74" i="22"/>
  <c r="H77" i="22"/>
  <c r="N82" i="22"/>
  <c r="L85" i="22"/>
  <c r="E88" i="22"/>
  <c r="M89" i="22"/>
  <c r="K91" i="22"/>
  <c r="J91" i="22"/>
  <c r="I91" i="22"/>
  <c r="H91" i="22"/>
  <c r="G91" i="22"/>
  <c r="P91" i="22"/>
  <c r="D91" i="22"/>
  <c r="J92" i="22"/>
  <c r="H95" i="22"/>
  <c r="K79" i="22"/>
  <c r="J79" i="22"/>
  <c r="I79" i="22"/>
  <c r="H79" i="22"/>
  <c r="G79" i="22"/>
  <c r="P79" i="22"/>
  <c r="D79" i="22"/>
  <c r="I54" i="22"/>
  <c r="K58" i="22"/>
  <c r="J58" i="22"/>
  <c r="I58" i="22"/>
  <c r="H58" i="22"/>
  <c r="G58" i="22"/>
  <c r="P67" i="22"/>
  <c r="N71" i="22"/>
  <c r="G80" i="22"/>
  <c r="F80" i="22"/>
  <c r="Q80" i="22"/>
  <c r="E80" i="22"/>
  <c r="P80" i="22"/>
  <c r="D80" i="22"/>
  <c r="O80" i="22"/>
  <c r="L80" i="22"/>
  <c r="N89" i="22"/>
  <c r="G40" i="22"/>
  <c r="G41" i="22"/>
  <c r="D41" i="22"/>
  <c r="K49" i="22"/>
  <c r="I49" i="22"/>
  <c r="H49" i="22"/>
  <c r="G49" i="22"/>
  <c r="G50" i="22"/>
  <c r="Q50" i="22"/>
  <c r="E50" i="22"/>
  <c r="P50" i="22"/>
  <c r="D50" i="22"/>
  <c r="O50" i="22"/>
  <c r="J54" i="22"/>
  <c r="Q67" i="22"/>
  <c r="K76" i="22"/>
  <c r="J76" i="22"/>
  <c r="I76" i="22"/>
  <c r="H76" i="22"/>
  <c r="G76" i="22"/>
  <c r="P76" i="22"/>
  <c r="D76" i="22"/>
  <c r="H80" i="22"/>
  <c r="N85" i="22"/>
  <c r="K94" i="22"/>
  <c r="J94" i="22"/>
  <c r="I94" i="22"/>
  <c r="H94" i="22"/>
  <c r="G94" i="22"/>
  <c r="P94" i="22"/>
  <c r="D94" i="22"/>
  <c r="B3" i="22"/>
  <c r="O48" i="22"/>
  <c r="M48" i="22"/>
  <c r="L48" i="22"/>
  <c r="K48" i="22"/>
  <c r="F50" i="22"/>
  <c r="N54" i="22"/>
  <c r="D58" i="22"/>
  <c r="G68" i="22"/>
  <c r="F68" i="22"/>
  <c r="Q68" i="22"/>
  <c r="E68" i="22"/>
  <c r="P68" i="22"/>
  <c r="D68" i="22"/>
  <c r="O68" i="22"/>
  <c r="M70" i="22"/>
  <c r="N74" i="22"/>
  <c r="I80" i="22"/>
  <c r="G83" i="22"/>
  <c r="F83" i="22"/>
  <c r="Q83" i="22"/>
  <c r="E83" i="22"/>
  <c r="P83" i="22"/>
  <c r="D83" i="22"/>
  <c r="O83" i="22"/>
  <c r="L83" i="22"/>
  <c r="O85" i="22"/>
  <c r="N92" i="22"/>
  <c r="K57" i="22"/>
  <c r="K60" i="22"/>
  <c r="K63" i="22"/>
  <c r="K66" i="22"/>
  <c r="K69" i="22"/>
  <c r="K72" i="22"/>
  <c r="K75" i="22"/>
  <c r="K78" i="22"/>
  <c r="K81" i="22"/>
  <c r="K84" i="22"/>
  <c r="K87" i="22"/>
  <c r="K90" i="22"/>
  <c r="K93" i="22"/>
  <c r="K96" i="22"/>
  <c r="L57" i="22"/>
  <c r="L60" i="22"/>
  <c r="L63" i="22"/>
  <c r="L66" i="22"/>
  <c r="L69" i="22"/>
  <c r="L72" i="22"/>
  <c r="L75" i="22"/>
  <c r="L78" i="22"/>
  <c r="L81" i="22"/>
  <c r="L84" i="22"/>
  <c r="L87" i="22"/>
  <c r="L90" i="22"/>
  <c r="L93" i="22"/>
  <c r="L96" i="22"/>
  <c r="M57" i="22"/>
  <c r="M60" i="22"/>
  <c r="M63" i="22"/>
  <c r="M66" i="22"/>
  <c r="M69" i="22"/>
  <c r="M72" i="22"/>
  <c r="M75" i="22"/>
  <c r="M78" i="22"/>
  <c r="M81" i="22"/>
  <c r="M84" i="22"/>
  <c r="M87" i="22"/>
  <c r="M90" i="22"/>
  <c r="M93" i="22"/>
  <c r="M96" i="22"/>
  <c r="N57" i="22"/>
  <c r="N60" i="22"/>
  <c r="N63" i="22"/>
  <c r="N66" i="22"/>
  <c r="N69" i="22"/>
  <c r="N72" i="22"/>
  <c r="N75" i="22"/>
  <c r="N78" i="22"/>
  <c r="N81" i="22"/>
  <c r="N84" i="22"/>
  <c r="N87" i="22"/>
  <c r="N90" i="22"/>
  <c r="N93" i="22"/>
  <c r="N96" i="22"/>
  <c r="N57" i="21"/>
  <c r="I68" i="21"/>
  <c r="I69" i="21"/>
  <c r="G81" i="21"/>
  <c r="O84" i="21"/>
  <c r="E89" i="21"/>
  <c r="I95" i="21"/>
  <c r="I96" i="21"/>
  <c r="Q57" i="21"/>
  <c r="E68" i="21"/>
  <c r="J69" i="21"/>
  <c r="I80" i="21"/>
  <c r="I81" i="21"/>
  <c r="G89" i="21"/>
  <c r="D93" i="21"/>
  <c r="E95" i="21"/>
  <c r="J96" i="21"/>
  <c r="D57" i="21"/>
  <c r="G68" i="21"/>
  <c r="M69" i="21"/>
  <c r="E80" i="21"/>
  <c r="J81" i="21"/>
  <c r="E93" i="21"/>
  <c r="G69" i="21"/>
  <c r="E57" i="21"/>
  <c r="J68" i="21"/>
  <c r="O69" i="21"/>
  <c r="G80" i="21"/>
  <c r="M81" i="21"/>
  <c r="N84" i="21"/>
  <c r="I86" i="21"/>
  <c r="K89" i="21"/>
  <c r="F93" i="21"/>
  <c r="J95" i="21"/>
  <c r="O96" i="21"/>
  <c r="N93" i="21"/>
  <c r="F57" i="21"/>
  <c r="K68" i="21"/>
  <c r="P69" i="21"/>
  <c r="J80" i="21"/>
  <c r="O81" i="21"/>
  <c r="E86" i="21"/>
  <c r="G93" i="21"/>
  <c r="K95" i="21"/>
  <c r="P96" i="21"/>
  <c r="G57" i="21"/>
  <c r="Q69" i="21"/>
  <c r="K80" i="21"/>
  <c r="P81" i="21"/>
  <c r="I92" i="21"/>
  <c r="I93" i="21"/>
  <c r="Q96" i="21"/>
  <c r="I57" i="21"/>
  <c r="N69" i="21"/>
  <c r="Q81" i="21"/>
  <c r="E92" i="21"/>
  <c r="J93" i="21"/>
  <c r="J57" i="21"/>
  <c r="N81" i="21"/>
  <c r="O82" i="21"/>
  <c r="G92" i="21"/>
  <c r="M93" i="21"/>
  <c r="F81" i="21"/>
  <c r="M57" i="21"/>
  <c r="D69" i="21"/>
  <c r="J92" i="21"/>
  <c r="O93" i="21"/>
  <c r="L58" i="21"/>
  <c r="J58" i="21"/>
  <c r="H58" i="21"/>
  <c r="G58" i="21"/>
  <c r="Q58" i="21"/>
  <c r="E58" i="21"/>
  <c r="P58" i="21"/>
  <c r="D58" i="21"/>
  <c r="H62" i="21"/>
  <c r="F62" i="21"/>
  <c r="P62" i="21"/>
  <c r="D62" i="21"/>
  <c r="O62" i="21"/>
  <c r="M62" i="21"/>
  <c r="L62" i="21"/>
  <c r="M67" i="21"/>
  <c r="L67" i="21"/>
  <c r="J67" i="21"/>
  <c r="H67" i="21"/>
  <c r="G67" i="21"/>
  <c r="F67" i="21"/>
  <c r="Q67" i="21"/>
  <c r="E67" i="21"/>
  <c r="P67" i="21"/>
  <c r="D67" i="21"/>
  <c r="M70" i="21"/>
  <c r="L70" i="21"/>
  <c r="J70" i="21"/>
  <c r="H70" i="21"/>
  <c r="G70" i="21"/>
  <c r="F70" i="21"/>
  <c r="Q70" i="21"/>
  <c r="E70" i="21"/>
  <c r="P70" i="21"/>
  <c r="D70" i="21"/>
  <c r="M73" i="21"/>
  <c r="L73" i="21"/>
  <c r="J73" i="21"/>
  <c r="H73" i="21"/>
  <c r="G73" i="21"/>
  <c r="F73" i="21"/>
  <c r="Q73" i="21"/>
  <c r="E73" i="21"/>
  <c r="P73" i="21"/>
  <c r="D73" i="21"/>
  <c r="M76" i="21"/>
  <c r="L76" i="21"/>
  <c r="J76" i="21"/>
  <c r="H76" i="21"/>
  <c r="G76" i="21"/>
  <c r="F76" i="21"/>
  <c r="Q76" i="21"/>
  <c r="E76" i="21"/>
  <c r="P76" i="21"/>
  <c r="D76" i="21"/>
  <c r="M79" i="21"/>
  <c r="L79" i="21"/>
  <c r="K79" i="21"/>
  <c r="J79" i="21"/>
  <c r="I79" i="21"/>
  <c r="H79" i="21"/>
  <c r="G79" i="21"/>
  <c r="F79" i="21"/>
  <c r="Q79" i="21"/>
  <c r="E79" i="21"/>
  <c r="P79" i="21"/>
  <c r="D79" i="21"/>
  <c r="B4" i="21"/>
  <c r="G47" i="21"/>
  <c r="I49" i="21"/>
  <c r="J50" i="21"/>
  <c r="K59" i="21"/>
  <c r="E62" i="21"/>
  <c r="M64" i="21"/>
  <c r="I73" i="21"/>
  <c r="L49" i="21"/>
  <c r="M50" i="21"/>
  <c r="J55" i="21"/>
  <c r="H55" i="21"/>
  <c r="G55" i="21"/>
  <c r="P55" i="21"/>
  <c r="D55" i="21"/>
  <c r="E56" i="21"/>
  <c r="I58" i="21"/>
  <c r="I62" i="21"/>
  <c r="K67" i="21"/>
  <c r="K70" i="21"/>
  <c r="K73" i="21"/>
  <c r="K76" i="21"/>
  <c r="O79" i="21"/>
  <c r="M94" i="21"/>
  <c r="L94" i="21"/>
  <c r="K94" i="21"/>
  <c r="J94" i="21"/>
  <c r="I94" i="21"/>
  <c r="H94" i="21"/>
  <c r="G94" i="21"/>
  <c r="F94" i="21"/>
  <c r="Q94" i="21"/>
  <c r="E94" i="21"/>
  <c r="P94" i="21"/>
  <c r="D94" i="21"/>
  <c r="M49" i="21"/>
  <c r="N50" i="21"/>
  <c r="G56" i="21"/>
  <c r="K58" i="21"/>
  <c r="L61" i="21"/>
  <c r="J61" i="21"/>
  <c r="H61" i="21"/>
  <c r="G61" i="21"/>
  <c r="Q61" i="21"/>
  <c r="E61" i="21"/>
  <c r="P61" i="21"/>
  <c r="D61" i="21"/>
  <c r="J62" i="21"/>
  <c r="H65" i="21"/>
  <c r="F65" i="21"/>
  <c r="P65" i="21"/>
  <c r="D65" i="21"/>
  <c r="O65" i="21"/>
  <c r="M65" i="21"/>
  <c r="L65" i="21"/>
  <c r="N67" i="21"/>
  <c r="N70" i="21"/>
  <c r="N73" i="21"/>
  <c r="N76" i="21"/>
  <c r="M91" i="21"/>
  <c r="L91" i="21"/>
  <c r="K91" i="21"/>
  <c r="J91" i="21"/>
  <c r="I91" i="21"/>
  <c r="H91" i="21"/>
  <c r="G91" i="21"/>
  <c r="F91" i="21"/>
  <c r="Q91" i="21"/>
  <c r="E91" i="21"/>
  <c r="P91" i="21"/>
  <c r="D91" i="21"/>
  <c r="N94" i="21"/>
  <c r="B1" i="21"/>
  <c r="K47" i="21"/>
  <c r="N49" i="21"/>
  <c r="F53" i="21"/>
  <c r="P53" i="21"/>
  <c r="D53" i="21"/>
  <c r="O53" i="21"/>
  <c r="L53" i="21"/>
  <c r="E55" i="21"/>
  <c r="H56" i="21"/>
  <c r="M58" i="21"/>
  <c r="K62" i="21"/>
  <c r="E65" i="21"/>
  <c r="O67" i="21"/>
  <c r="O70" i="21"/>
  <c r="O73" i="21"/>
  <c r="O76" i="21"/>
  <c r="O94" i="21"/>
  <c r="I67" i="21"/>
  <c r="M47" i="21"/>
  <c r="O49" i="21"/>
  <c r="J52" i="21"/>
  <c r="H52" i="21"/>
  <c r="G52" i="21"/>
  <c r="P52" i="21"/>
  <c r="D52" i="21"/>
  <c r="E53" i="21"/>
  <c r="F55" i="21"/>
  <c r="I56" i="21"/>
  <c r="N58" i="21"/>
  <c r="F61" i="21"/>
  <c r="N62" i="21"/>
  <c r="G65" i="21"/>
  <c r="M88" i="21"/>
  <c r="L88" i="21"/>
  <c r="K88" i="21"/>
  <c r="J88" i="21"/>
  <c r="I88" i="21"/>
  <c r="H88" i="21"/>
  <c r="G88" i="21"/>
  <c r="F88" i="21"/>
  <c r="Q88" i="21"/>
  <c r="E88" i="21"/>
  <c r="P88" i="21"/>
  <c r="D88" i="21"/>
  <c r="N91" i="21"/>
  <c r="G41" i="21"/>
  <c r="G53" i="21"/>
  <c r="I55" i="21"/>
  <c r="J56" i="21"/>
  <c r="O58" i="21"/>
  <c r="I61" i="21"/>
  <c r="Q62" i="21"/>
  <c r="I65" i="21"/>
  <c r="O91" i="21"/>
  <c r="G62" i="21"/>
  <c r="B2" i="21"/>
  <c r="F50" i="21"/>
  <c r="P50" i="21"/>
  <c r="D50" i="21"/>
  <c r="O50" i="21"/>
  <c r="L50" i="21"/>
  <c r="K56" i="21"/>
  <c r="H59" i="21"/>
  <c r="F59" i="21"/>
  <c r="P59" i="21"/>
  <c r="D59" i="21"/>
  <c r="O59" i="21"/>
  <c r="M59" i="21"/>
  <c r="L59" i="21"/>
  <c r="L64" i="21"/>
  <c r="J64" i="21"/>
  <c r="H64" i="21"/>
  <c r="G64" i="21"/>
  <c r="Q64" i="21"/>
  <c r="E64" i="21"/>
  <c r="P64" i="21"/>
  <c r="D64" i="21"/>
  <c r="M85" i="21"/>
  <c r="L85" i="21"/>
  <c r="K85" i="21"/>
  <c r="J85" i="21"/>
  <c r="I85" i="21"/>
  <c r="H85" i="21"/>
  <c r="G85" i="21"/>
  <c r="F85" i="21"/>
  <c r="Q85" i="21"/>
  <c r="E85" i="21"/>
  <c r="P85" i="21"/>
  <c r="D85" i="21"/>
  <c r="F58" i="21"/>
  <c r="J49" i="21"/>
  <c r="H49" i="21"/>
  <c r="G49" i="21"/>
  <c r="P49" i="21"/>
  <c r="D49" i="21"/>
  <c r="E50" i="21"/>
  <c r="M56" i="21"/>
  <c r="E59" i="21"/>
  <c r="I70" i="21"/>
  <c r="E25" i="21"/>
  <c r="G50" i="21"/>
  <c r="G59" i="21"/>
  <c r="F64" i="21"/>
  <c r="M82" i="21"/>
  <c r="L82" i="21"/>
  <c r="K82" i="21"/>
  <c r="J82" i="21"/>
  <c r="I82" i="21"/>
  <c r="H82" i="21"/>
  <c r="G82" i="21"/>
  <c r="F82" i="21"/>
  <c r="Q82" i="21"/>
  <c r="E82" i="21"/>
  <c r="P82" i="21"/>
  <c r="D82" i="21"/>
  <c r="N85" i="21"/>
  <c r="F56" i="21"/>
  <c r="P56" i="21"/>
  <c r="D56" i="21"/>
  <c r="O56" i="21"/>
  <c r="L56" i="21"/>
  <c r="N79" i="21"/>
  <c r="B3" i="21"/>
  <c r="F47" i="21"/>
  <c r="P47" i="21"/>
  <c r="D47" i="21"/>
  <c r="O47" i="21"/>
  <c r="L47" i="21"/>
  <c r="E49" i="21"/>
  <c r="H50" i="21"/>
  <c r="N55" i="21"/>
  <c r="Q56" i="21"/>
  <c r="I59" i="21"/>
  <c r="O61" i="21"/>
  <c r="I64" i="21"/>
  <c r="Q65" i="21"/>
  <c r="O85" i="21"/>
  <c r="H48" i="21"/>
  <c r="H51" i="21"/>
  <c r="H54" i="21"/>
  <c r="H57" i="21"/>
  <c r="H60" i="21"/>
  <c r="H63" i="21"/>
  <c r="H66" i="21"/>
  <c r="L68" i="21"/>
  <c r="H69" i="21"/>
  <c r="L71" i="21"/>
  <c r="H72" i="21"/>
  <c r="L74" i="21"/>
  <c r="H75" i="21"/>
  <c r="L77" i="21"/>
  <c r="H78" i="21"/>
  <c r="L80" i="21"/>
  <c r="H81" i="21"/>
  <c r="L83" i="21"/>
  <c r="H84" i="21"/>
  <c r="L86" i="21"/>
  <c r="H87" i="21"/>
  <c r="L89" i="21"/>
  <c r="H90" i="21"/>
  <c r="L92" i="21"/>
  <c r="H93" i="21"/>
  <c r="L95" i="21"/>
  <c r="H96" i="21"/>
  <c r="M68" i="21"/>
  <c r="M71" i="21"/>
  <c r="M74" i="21"/>
  <c r="M77" i="21"/>
  <c r="M80" i="21"/>
  <c r="M83" i="21"/>
  <c r="M86" i="21"/>
  <c r="M89" i="21"/>
  <c r="M92" i="21"/>
  <c r="M95" i="21"/>
  <c r="N68" i="21"/>
  <c r="N71" i="21"/>
  <c r="N74" i="21"/>
  <c r="N77" i="21"/>
  <c r="N80" i="21"/>
  <c r="N83" i="21"/>
  <c r="N86" i="21"/>
  <c r="N89" i="21"/>
  <c r="N92" i="21"/>
  <c r="N95" i="21"/>
  <c r="K48" i="21"/>
  <c r="K51" i="21"/>
  <c r="K54" i="21"/>
  <c r="K57" i="21"/>
  <c r="K60" i="21"/>
  <c r="K63" i="21"/>
  <c r="K66" i="21"/>
  <c r="O68" i="21"/>
  <c r="K69" i="21"/>
  <c r="O71" i="21"/>
  <c r="K72" i="21"/>
  <c r="O74" i="21"/>
  <c r="K75" i="21"/>
  <c r="O77" i="21"/>
  <c r="K78" i="21"/>
  <c r="O80" i="21"/>
  <c r="K81" i="21"/>
  <c r="O83" i="21"/>
  <c r="K84" i="21"/>
  <c r="O86" i="21"/>
  <c r="K87" i="21"/>
  <c r="O89" i="21"/>
  <c r="K90" i="21"/>
  <c r="O92" i="21"/>
  <c r="K93" i="21"/>
  <c r="O95" i="21"/>
  <c r="K96" i="21"/>
  <c r="L48" i="21"/>
  <c r="L51" i="21"/>
  <c r="L54" i="21"/>
  <c r="L57" i="21"/>
  <c r="L60" i="21"/>
  <c r="L63" i="21"/>
  <c r="L66" i="21"/>
  <c r="D68" i="21"/>
  <c r="P68" i="21"/>
  <c r="L69" i="21"/>
  <c r="D71" i="21"/>
  <c r="P71" i="21"/>
  <c r="L72" i="21"/>
  <c r="D74" i="21"/>
  <c r="P74" i="21"/>
  <c r="L75" i="21"/>
  <c r="D77" i="21"/>
  <c r="P77" i="21"/>
  <c r="L78" i="21"/>
  <c r="D80" i="21"/>
  <c r="P80" i="21"/>
  <c r="L81" i="21"/>
  <c r="D83" i="21"/>
  <c r="P83" i="21"/>
  <c r="L84" i="21"/>
  <c r="D86" i="21"/>
  <c r="P86" i="21"/>
  <c r="L87" i="21"/>
  <c r="D89" i="21"/>
  <c r="P89" i="21"/>
  <c r="L90" i="21"/>
  <c r="D92" i="21"/>
  <c r="P92" i="21"/>
  <c r="L93" i="21"/>
  <c r="D95" i="21"/>
  <c r="P95" i="21"/>
  <c r="L96" i="21"/>
  <c r="F68" i="21"/>
  <c r="F71" i="21"/>
  <c r="F74" i="21"/>
  <c r="F77" i="21"/>
  <c r="F80" i="21"/>
  <c r="F83" i="21"/>
  <c r="F86" i="21"/>
  <c r="F89" i="21"/>
  <c r="F92" i="21"/>
  <c r="F95" i="21"/>
  <c r="H68" i="21"/>
  <c r="H71" i="21"/>
  <c r="H74" i="21"/>
  <c r="H77" i="21"/>
  <c r="H80" i="21"/>
  <c r="H83" i="21"/>
  <c r="H86" i="21"/>
  <c r="H89" i="21"/>
  <c r="H92" i="21"/>
  <c r="H95" i="21"/>
  <c r="E57" i="20"/>
  <c r="N69" i="20"/>
  <c r="Q69" i="20"/>
  <c r="M81" i="20"/>
  <c r="G89" i="20"/>
  <c r="K90" i="20"/>
  <c r="I55" i="20"/>
  <c r="G57" i="20"/>
  <c r="D69" i="20"/>
  <c r="P81" i="20"/>
  <c r="E93" i="20"/>
  <c r="K55" i="20"/>
  <c r="J57" i="20"/>
  <c r="E69" i="20"/>
  <c r="N81" i="20"/>
  <c r="Q81" i="20"/>
  <c r="F93" i="20"/>
  <c r="M55" i="20"/>
  <c r="K57" i="20"/>
  <c r="F69" i="20"/>
  <c r="N90" i="20"/>
  <c r="Q90" i="20"/>
  <c r="G93" i="20"/>
  <c r="M57" i="20"/>
  <c r="G69" i="20"/>
  <c r="N78" i="20"/>
  <c r="Q78" i="20"/>
  <c r="D81" i="20"/>
  <c r="I92" i="20"/>
  <c r="H93" i="20"/>
  <c r="O57" i="20"/>
  <c r="H69" i="20"/>
  <c r="K79" i="20"/>
  <c r="E81" i="20"/>
  <c r="D90" i="20"/>
  <c r="E92" i="20"/>
  <c r="J93" i="20"/>
  <c r="P57" i="20"/>
  <c r="J69" i="20"/>
  <c r="D78" i="20"/>
  <c r="N79" i="20"/>
  <c r="F81" i="20"/>
  <c r="E90" i="20"/>
  <c r="G92" i="20"/>
  <c r="K93" i="20"/>
  <c r="Q57" i="20"/>
  <c r="K69" i="20"/>
  <c r="E78" i="20"/>
  <c r="G81" i="20"/>
  <c r="F90" i="20"/>
  <c r="J92" i="20"/>
  <c r="M93" i="20"/>
  <c r="O81" i="20"/>
  <c r="N57" i="20"/>
  <c r="M69" i="20"/>
  <c r="F78" i="20"/>
  <c r="H81" i="20"/>
  <c r="G90" i="20"/>
  <c r="K92" i="20"/>
  <c r="O93" i="20"/>
  <c r="D93" i="20"/>
  <c r="I59" i="20"/>
  <c r="H59" i="20"/>
  <c r="F59" i="20"/>
  <c r="P59" i="20"/>
  <c r="D59" i="20"/>
  <c r="O59" i="20"/>
  <c r="M59" i="20"/>
  <c r="L59" i="20"/>
  <c r="B2" i="20"/>
  <c r="E47" i="20"/>
  <c r="G49" i="20"/>
  <c r="I50" i="20"/>
  <c r="L55" i="20"/>
  <c r="J55" i="20"/>
  <c r="H55" i="20"/>
  <c r="G55" i="20"/>
  <c r="Q55" i="20"/>
  <c r="E55" i="20"/>
  <c r="P55" i="20"/>
  <c r="D55" i="20"/>
  <c r="J56" i="20"/>
  <c r="E59" i="20"/>
  <c r="F64" i="20"/>
  <c r="K49" i="20"/>
  <c r="K50" i="20"/>
  <c r="N56" i="20"/>
  <c r="J59" i="20"/>
  <c r="I62" i="20"/>
  <c r="H62" i="20"/>
  <c r="F62" i="20"/>
  <c r="P62" i="20"/>
  <c r="D62" i="20"/>
  <c r="O62" i="20"/>
  <c r="M62" i="20"/>
  <c r="L62" i="20"/>
  <c r="M70" i="20"/>
  <c r="L70" i="20"/>
  <c r="J70" i="20"/>
  <c r="H70" i="20"/>
  <c r="G70" i="20"/>
  <c r="F70" i="20"/>
  <c r="Q70" i="20"/>
  <c r="E70" i="20"/>
  <c r="P70" i="20"/>
  <c r="D70" i="20"/>
  <c r="M91" i="20"/>
  <c r="L91" i="20"/>
  <c r="K91" i="20"/>
  <c r="J91" i="20"/>
  <c r="I91" i="20"/>
  <c r="H91" i="20"/>
  <c r="G91" i="20"/>
  <c r="F91" i="20"/>
  <c r="Q91" i="20"/>
  <c r="E91" i="20"/>
  <c r="P91" i="20"/>
  <c r="D91" i="20"/>
  <c r="B3" i="20"/>
  <c r="I47" i="20"/>
  <c r="L49" i="20"/>
  <c r="N50" i="20"/>
  <c r="K59" i="20"/>
  <c r="E62" i="20"/>
  <c r="I67" i="20"/>
  <c r="M73" i="20"/>
  <c r="L73" i="20"/>
  <c r="J73" i="20"/>
  <c r="H73" i="20"/>
  <c r="G73" i="20"/>
  <c r="F73" i="20"/>
  <c r="Q73" i="20"/>
  <c r="E73" i="20"/>
  <c r="P73" i="20"/>
  <c r="D73" i="20"/>
  <c r="M88" i="20"/>
  <c r="L88" i="20"/>
  <c r="K88" i="20"/>
  <c r="J88" i="20"/>
  <c r="I88" i="20"/>
  <c r="H88" i="20"/>
  <c r="G88" i="20"/>
  <c r="F88" i="20"/>
  <c r="Q88" i="20"/>
  <c r="E88" i="20"/>
  <c r="P88" i="20"/>
  <c r="D88" i="20"/>
  <c r="N94" i="20"/>
  <c r="M49" i="20"/>
  <c r="O50" i="20"/>
  <c r="H53" i="20"/>
  <c r="F53" i="20"/>
  <c r="P53" i="20"/>
  <c r="D53" i="20"/>
  <c r="O53" i="20"/>
  <c r="M53" i="20"/>
  <c r="L53" i="20"/>
  <c r="M58" i="20"/>
  <c r="L58" i="20"/>
  <c r="J58" i="20"/>
  <c r="H58" i="20"/>
  <c r="G58" i="20"/>
  <c r="Q58" i="20"/>
  <c r="E58" i="20"/>
  <c r="P58" i="20"/>
  <c r="D58" i="20"/>
  <c r="N59" i="20"/>
  <c r="G62" i="20"/>
  <c r="K67" i="20"/>
  <c r="I70" i="20"/>
  <c r="M76" i="20"/>
  <c r="L76" i="20"/>
  <c r="J76" i="20"/>
  <c r="H76" i="20"/>
  <c r="G76" i="20"/>
  <c r="F76" i="20"/>
  <c r="Q76" i="20"/>
  <c r="E76" i="20"/>
  <c r="P76" i="20"/>
  <c r="D76" i="20"/>
  <c r="M85" i="20"/>
  <c r="L85" i="20"/>
  <c r="K85" i="20"/>
  <c r="J85" i="20"/>
  <c r="I85" i="20"/>
  <c r="H85" i="20"/>
  <c r="G85" i="20"/>
  <c r="F85" i="20"/>
  <c r="Q85" i="20"/>
  <c r="E85" i="20"/>
  <c r="P85" i="20"/>
  <c r="D85" i="20"/>
  <c r="N91" i="20"/>
  <c r="B4" i="20"/>
  <c r="K47" i="20"/>
  <c r="N49" i="20"/>
  <c r="E53" i="20"/>
  <c r="Q59" i="20"/>
  <c r="J62" i="20"/>
  <c r="I65" i="20"/>
  <c r="H65" i="20"/>
  <c r="F65" i="20"/>
  <c r="P65" i="20"/>
  <c r="D65" i="20"/>
  <c r="O65" i="20"/>
  <c r="M65" i="20"/>
  <c r="L65" i="20"/>
  <c r="N67" i="20"/>
  <c r="K70" i="20"/>
  <c r="M79" i="20"/>
  <c r="L79" i="20"/>
  <c r="J79" i="20"/>
  <c r="I79" i="20"/>
  <c r="H79" i="20"/>
  <c r="G79" i="20"/>
  <c r="F79" i="20"/>
  <c r="Q79" i="20"/>
  <c r="E79" i="20"/>
  <c r="P79" i="20"/>
  <c r="D79" i="20"/>
  <c r="M82" i="20"/>
  <c r="L82" i="20"/>
  <c r="K82" i="20"/>
  <c r="J82" i="20"/>
  <c r="I82" i="20"/>
  <c r="H82" i="20"/>
  <c r="G82" i="20"/>
  <c r="F82" i="20"/>
  <c r="Q82" i="20"/>
  <c r="E82" i="20"/>
  <c r="P82" i="20"/>
  <c r="D82" i="20"/>
  <c r="N88" i="20"/>
  <c r="O91" i="20"/>
  <c r="J52" i="20"/>
  <c r="H52" i="20"/>
  <c r="Q52" i="20"/>
  <c r="E52" i="20"/>
  <c r="P52" i="20"/>
  <c r="D52" i="20"/>
  <c r="G53" i="20"/>
  <c r="N55" i="20"/>
  <c r="F58" i="20"/>
  <c r="K62" i="20"/>
  <c r="E65" i="20"/>
  <c r="N70" i="20"/>
  <c r="K73" i="20"/>
  <c r="I76" i="20"/>
  <c r="N85" i="20"/>
  <c r="O88" i="20"/>
  <c r="F50" i="20"/>
  <c r="P50" i="20"/>
  <c r="D50" i="20"/>
  <c r="M50" i="20"/>
  <c r="L50" i="20"/>
  <c r="M61" i="20"/>
  <c r="L61" i="20"/>
  <c r="J61" i="20"/>
  <c r="H61" i="20"/>
  <c r="G61" i="20"/>
  <c r="Q61" i="20"/>
  <c r="E61" i="20"/>
  <c r="P61" i="20"/>
  <c r="D61" i="20"/>
  <c r="H56" i="20"/>
  <c r="F56" i="20"/>
  <c r="P56" i="20"/>
  <c r="D56" i="20"/>
  <c r="O56" i="20"/>
  <c r="M56" i="20"/>
  <c r="L56" i="20"/>
  <c r="Q62" i="20"/>
  <c r="B1" i="20"/>
  <c r="D33" i="20"/>
  <c r="E35" i="20"/>
  <c r="D36" i="20"/>
  <c r="E38" i="20"/>
  <c r="J49" i="20"/>
  <c r="H49" i="20"/>
  <c r="Q49" i="20"/>
  <c r="E49" i="20"/>
  <c r="P49" i="20"/>
  <c r="D49" i="20"/>
  <c r="E50" i="20"/>
  <c r="E56" i="20"/>
  <c r="F61" i="20"/>
  <c r="G59" i="20"/>
  <c r="M67" i="20"/>
  <c r="L67" i="20"/>
  <c r="J67" i="20"/>
  <c r="H67" i="20"/>
  <c r="G67" i="20"/>
  <c r="F67" i="20"/>
  <c r="Q67" i="20"/>
  <c r="E67" i="20"/>
  <c r="P67" i="20"/>
  <c r="D67" i="20"/>
  <c r="M94" i="20"/>
  <c r="L94" i="20"/>
  <c r="K94" i="20"/>
  <c r="J94" i="20"/>
  <c r="I94" i="20"/>
  <c r="H94" i="20"/>
  <c r="G94" i="20"/>
  <c r="F94" i="20"/>
  <c r="Q94" i="20"/>
  <c r="E94" i="20"/>
  <c r="P94" i="20"/>
  <c r="D94" i="20"/>
  <c r="E30" i="20"/>
  <c r="E33" i="20"/>
  <c r="F34" i="20"/>
  <c r="E36" i="20"/>
  <c r="F37" i="20"/>
  <c r="G38" i="20"/>
  <c r="J41" i="20"/>
  <c r="F47" i="20"/>
  <c r="P47" i="20"/>
  <c r="D47" i="20"/>
  <c r="M47" i="20"/>
  <c r="L47" i="20"/>
  <c r="G50" i="20"/>
  <c r="N53" i="20"/>
  <c r="G56" i="20"/>
  <c r="O58" i="20"/>
  <c r="I61" i="20"/>
  <c r="M64" i="20"/>
  <c r="L64" i="20"/>
  <c r="J64" i="20"/>
  <c r="H64" i="20"/>
  <c r="G64" i="20"/>
  <c r="Q64" i="20"/>
  <c r="E64" i="20"/>
  <c r="P64" i="20"/>
  <c r="D64" i="20"/>
  <c r="H39" i="20"/>
  <c r="H42" i="20"/>
  <c r="H45" i="20"/>
  <c r="H48" i="20"/>
  <c r="H51" i="20"/>
  <c r="H54" i="20"/>
  <c r="H57" i="20"/>
  <c r="L68" i="20"/>
  <c r="L71" i="20"/>
  <c r="L74" i="20"/>
  <c r="L77" i="20"/>
  <c r="L80" i="20"/>
  <c r="L83" i="20"/>
  <c r="L86" i="20"/>
  <c r="L89" i="20"/>
  <c r="L92" i="20"/>
  <c r="L95" i="20"/>
  <c r="I39" i="20"/>
  <c r="I42" i="20"/>
  <c r="I45" i="20"/>
  <c r="I48" i="20"/>
  <c r="I51" i="20"/>
  <c r="I54" i="20"/>
  <c r="I57" i="20"/>
  <c r="I60" i="20"/>
  <c r="I63" i="20"/>
  <c r="I66" i="20"/>
  <c r="M68" i="20"/>
  <c r="I69" i="20"/>
  <c r="M71" i="20"/>
  <c r="I72" i="20"/>
  <c r="M74" i="20"/>
  <c r="I75" i="20"/>
  <c r="M77" i="20"/>
  <c r="I78" i="20"/>
  <c r="M80" i="20"/>
  <c r="I81" i="20"/>
  <c r="M83" i="20"/>
  <c r="I84" i="20"/>
  <c r="M86" i="20"/>
  <c r="I87" i="20"/>
  <c r="M89" i="20"/>
  <c r="I90" i="20"/>
  <c r="M92" i="20"/>
  <c r="I93" i="20"/>
  <c r="M95" i="20"/>
  <c r="I96" i="20"/>
  <c r="N68" i="20"/>
  <c r="N71" i="20"/>
  <c r="N74" i="20"/>
  <c r="N77" i="20"/>
  <c r="N80" i="20"/>
  <c r="N83" i="20"/>
  <c r="N86" i="20"/>
  <c r="N89" i="20"/>
  <c r="N92" i="20"/>
  <c r="N95" i="20"/>
  <c r="O68" i="20"/>
  <c r="O71" i="20"/>
  <c r="O74" i="20"/>
  <c r="O77" i="20"/>
  <c r="O80" i="20"/>
  <c r="O83" i="20"/>
  <c r="O86" i="20"/>
  <c r="O89" i="20"/>
  <c r="O92" i="20"/>
  <c r="O95" i="20"/>
  <c r="L48" i="20"/>
  <c r="L51" i="20"/>
  <c r="L54" i="20"/>
  <c r="L57" i="20"/>
  <c r="L60" i="20"/>
  <c r="L63" i="20"/>
  <c r="L66" i="20"/>
  <c r="D68" i="20"/>
  <c r="P68" i="20"/>
  <c r="L69" i="20"/>
  <c r="D71" i="20"/>
  <c r="P71" i="20"/>
  <c r="L72" i="20"/>
  <c r="D74" i="20"/>
  <c r="P74" i="20"/>
  <c r="L75" i="20"/>
  <c r="D77" i="20"/>
  <c r="P77" i="20"/>
  <c r="L78" i="20"/>
  <c r="D80" i="20"/>
  <c r="P80" i="20"/>
  <c r="L81" i="20"/>
  <c r="D83" i="20"/>
  <c r="P83" i="20"/>
  <c r="L84" i="20"/>
  <c r="D86" i="20"/>
  <c r="P86" i="20"/>
  <c r="L87" i="20"/>
  <c r="D89" i="20"/>
  <c r="P89" i="20"/>
  <c r="L90" i="20"/>
  <c r="D92" i="20"/>
  <c r="P92" i="20"/>
  <c r="L93" i="20"/>
  <c r="D95" i="20"/>
  <c r="P95" i="20"/>
  <c r="L96" i="20"/>
  <c r="F68" i="20"/>
  <c r="F71" i="20"/>
  <c r="F74" i="20"/>
  <c r="F77" i="20"/>
  <c r="F80" i="20"/>
  <c r="F83" i="20"/>
  <c r="F86" i="20"/>
  <c r="F89" i="20"/>
  <c r="F92" i="20"/>
  <c r="F95" i="20"/>
  <c r="N96" i="20"/>
  <c r="H68" i="20"/>
  <c r="H71" i="20"/>
  <c r="H74" i="20"/>
  <c r="H77" i="20"/>
  <c r="H80" i="20"/>
  <c r="H83" i="20"/>
  <c r="H86" i="20"/>
  <c r="H89" i="20"/>
  <c r="H92" i="20"/>
  <c r="H95" i="20"/>
  <c r="G72" i="19"/>
  <c r="P81" i="19"/>
  <c r="D84" i="19"/>
  <c r="M90" i="19"/>
  <c r="D93" i="19"/>
  <c r="P90" i="19"/>
  <c r="F93" i="19"/>
  <c r="Q96" i="19"/>
  <c r="G93" i="19"/>
  <c r="M84" i="19"/>
  <c r="M93" i="19"/>
  <c r="F96" i="19"/>
  <c r="P57" i="19"/>
  <c r="M66" i="19"/>
  <c r="I73" i="19"/>
  <c r="Q77" i="19"/>
  <c r="J80" i="19"/>
  <c r="I83" i="19"/>
  <c r="H89" i="19"/>
  <c r="I92" i="19"/>
  <c r="G96" i="19"/>
  <c r="D57" i="19"/>
  <c r="Q78" i="19"/>
  <c r="E92" i="19"/>
  <c r="M96" i="19"/>
  <c r="F57" i="19"/>
  <c r="Q69" i="19"/>
  <c r="D78" i="19"/>
  <c r="F83" i="19"/>
  <c r="I85" i="19"/>
  <c r="F92" i="19"/>
  <c r="I95" i="19"/>
  <c r="D69" i="19"/>
  <c r="Q81" i="19"/>
  <c r="F69" i="19"/>
  <c r="D81" i="19"/>
  <c r="G69" i="19"/>
  <c r="Q72" i="19"/>
  <c r="M78" i="19"/>
  <c r="F81" i="19"/>
  <c r="D90" i="19"/>
  <c r="I49" i="19"/>
  <c r="I52" i="19"/>
  <c r="Q54" i="19"/>
  <c r="E54" i="19"/>
  <c r="O54" i="19"/>
  <c r="L54" i="19"/>
  <c r="K54" i="19"/>
  <c r="J54" i="19"/>
  <c r="I54" i="19"/>
  <c r="H54" i="19"/>
  <c r="N55" i="19"/>
  <c r="G57" i="19"/>
  <c r="I64" i="19"/>
  <c r="N73" i="19"/>
  <c r="M85" i="19"/>
  <c r="K85" i="19"/>
  <c r="J85" i="19"/>
  <c r="H85" i="19"/>
  <c r="G85" i="19"/>
  <c r="F85" i="19"/>
  <c r="Q85" i="19"/>
  <c r="E85" i="19"/>
  <c r="P85" i="19"/>
  <c r="D85" i="19"/>
  <c r="M91" i="19"/>
  <c r="L91" i="19"/>
  <c r="K91" i="19"/>
  <c r="J91" i="19"/>
  <c r="I91" i="19"/>
  <c r="H91" i="19"/>
  <c r="G91" i="19"/>
  <c r="F91" i="19"/>
  <c r="Q91" i="19"/>
  <c r="E91" i="19"/>
  <c r="P91" i="19"/>
  <c r="D91" i="19"/>
  <c r="M79" i="19"/>
  <c r="K79" i="19"/>
  <c r="J79" i="19"/>
  <c r="H79" i="19"/>
  <c r="G79" i="19"/>
  <c r="F79" i="19"/>
  <c r="Q79" i="19"/>
  <c r="E79" i="19"/>
  <c r="P79" i="19"/>
  <c r="D79" i="19"/>
  <c r="B3" i="19"/>
  <c r="B4" i="19"/>
  <c r="Q48" i="19"/>
  <c r="E48" i="19"/>
  <c r="O48" i="19"/>
  <c r="L48" i="19"/>
  <c r="K48" i="19"/>
  <c r="I48" i="19"/>
  <c r="H48" i="19"/>
  <c r="J49" i="19"/>
  <c r="Q51" i="19"/>
  <c r="E51" i="19"/>
  <c r="O51" i="19"/>
  <c r="L51" i="19"/>
  <c r="K51" i="19"/>
  <c r="I51" i="19"/>
  <c r="H51" i="19"/>
  <c r="J52" i="19"/>
  <c r="M57" i="19"/>
  <c r="M61" i="19"/>
  <c r="K61" i="19"/>
  <c r="H61" i="19"/>
  <c r="G61" i="19"/>
  <c r="F61" i="19"/>
  <c r="Q61" i="19"/>
  <c r="E61" i="19"/>
  <c r="P61" i="19"/>
  <c r="D61" i="19"/>
  <c r="J64" i="19"/>
  <c r="M70" i="19"/>
  <c r="K70" i="19"/>
  <c r="J70" i="19"/>
  <c r="H70" i="19"/>
  <c r="G70" i="19"/>
  <c r="F70" i="19"/>
  <c r="Q70" i="19"/>
  <c r="E70" i="19"/>
  <c r="P70" i="19"/>
  <c r="D70" i="19"/>
  <c r="L79" i="19"/>
  <c r="L64" i="19"/>
  <c r="N79" i="19"/>
  <c r="F48" i="19"/>
  <c r="N49" i="19"/>
  <c r="F51" i="19"/>
  <c r="N52" i="19"/>
  <c r="I61" i="19"/>
  <c r="Q63" i="19"/>
  <c r="E63" i="19"/>
  <c r="O63" i="19"/>
  <c r="L63" i="19"/>
  <c r="K63" i="19"/>
  <c r="J63" i="19"/>
  <c r="I63" i="19"/>
  <c r="H63" i="19"/>
  <c r="N64" i="19"/>
  <c r="I70" i="19"/>
  <c r="M76" i="19"/>
  <c r="K76" i="19"/>
  <c r="J76" i="19"/>
  <c r="H76" i="19"/>
  <c r="G76" i="19"/>
  <c r="F76" i="19"/>
  <c r="Q76" i="19"/>
  <c r="E76" i="19"/>
  <c r="P76" i="19"/>
  <c r="D76" i="19"/>
  <c r="O79" i="19"/>
  <c r="O91" i="19"/>
  <c r="G48" i="19"/>
  <c r="G51" i="19"/>
  <c r="M58" i="19"/>
  <c r="K58" i="19"/>
  <c r="H58" i="19"/>
  <c r="G58" i="19"/>
  <c r="F58" i="19"/>
  <c r="Q58" i="19"/>
  <c r="E58" i="19"/>
  <c r="P58" i="19"/>
  <c r="D58" i="19"/>
  <c r="J61" i="19"/>
  <c r="D63" i="19"/>
  <c r="L70" i="19"/>
  <c r="B1" i="19"/>
  <c r="G44" i="19"/>
  <c r="I47" i="19"/>
  <c r="G47" i="19"/>
  <c r="P47" i="19"/>
  <c r="D47" i="19"/>
  <c r="O47" i="19"/>
  <c r="M47" i="19"/>
  <c r="L47" i="19"/>
  <c r="I50" i="19"/>
  <c r="G50" i="19"/>
  <c r="P50" i="19"/>
  <c r="D50" i="19"/>
  <c r="O50" i="19"/>
  <c r="M50" i="19"/>
  <c r="L50" i="19"/>
  <c r="M82" i="19"/>
  <c r="K82" i="19"/>
  <c r="J82" i="19"/>
  <c r="H82" i="19"/>
  <c r="G82" i="19"/>
  <c r="F82" i="19"/>
  <c r="Q82" i="19"/>
  <c r="E82" i="19"/>
  <c r="P82" i="19"/>
  <c r="D82" i="19"/>
  <c r="M94" i="19"/>
  <c r="L94" i="19"/>
  <c r="K94" i="19"/>
  <c r="J94" i="19"/>
  <c r="I94" i="19"/>
  <c r="H94" i="19"/>
  <c r="G94" i="19"/>
  <c r="F94" i="19"/>
  <c r="Q94" i="19"/>
  <c r="E94" i="19"/>
  <c r="P94" i="19"/>
  <c r="D94" i="19"/>
  <c r="G37" i="19"/>
  <c r="E47" i="19"/>
  <c r="M48" i="19"/>
  <c r="E50" i="19"/>
  <c r="M51" i="19"/>
  <c r="P54" i="19"/>
  <c r="I58" i="19"/>
  <c r="Q60" i="19"/>
  <c r="E60" i="19"/>
  <c r="O60" i="19"/>
  <c r="L60" i="19"/>
  <c r="K60" i="19"/>
  <c r="J60" i="19"/>
  <c r="I60" i="19"/>
  <c r="H60" i="19"/>
  <c r="N61" i="19"/>
  <c r="G63" i="19"/>
  <c r="M67" i="19"/>
  <c r="K67" i="19"/>
  <c r="J67" i="19"/>
  <c r="H67" i="19"/>
  <c r="G67" i="19"/>
  <c r="F67" i="19"/>
  <c r="Q67" i="19"/>
  <c r="E67" i="19"/>
  <c r="P67" i="19"/>
  <c r="D67" i="19"/>
  <c r="O70" i="19"/>
  <c r="L76" i="19"/>
  <c r="M64" i="19"/>
  <c r="K64" i="19"/>
  <c r="H64" i="19"/>
  <c r="G64" i="19"/>
  <c r="F64" i="19"/>
  <c r="Q64" i="19"/>
  <c r="E64" i="19"/>
  <c r="P64" i="19"/>
  <c r="D64" i="19"/>
  <c r="F47" i="19"/>
  <c r="F50" i="19"/>
  <c r="M55" i="19"/>
  <c r="K55" i="19"/>
  <c r="H55" i="19"/>
  <c r="G55" i="19"/>
  <c r="F55" i="19"/>
  <c r="Q55" i="19"/>
  <c r="E55" i="19"/>
  <c r="P55" i="19"/>
  <c r="D55" i="19"/>
  <c r="M88" i="19"/>
  <c r="L88" i="19"/>
  <c r="K88" i="19"/>
  <c r="J88" i="19"/>
  <c r="I88" i="19"/>
  <c r="H88" i="19"/>
  <c r="G88" i="19"/>
  <c r="F88" i="19"/>
  <c r="Q88" i="19"/>
  <c r="E88" i="19"/>
  <c r="P88" i="19"/>
  <c r="D88" i="19"/>
  <c r="B2" i="19"/>
  <c r="H44" i="19"/>
  <c r="H47" i="19"/>
  <c r="H50" i="19"/>
  <c r="M73" i="19"/>
  <c r="K73" i="19"/>
  <c r="J73" i="19"/>
  <c r="H73" i="19"/>
  <c r="G73" i="19"/>
  <c r="F73" i="19"/>
  <c r="Q73" i="19"/>
  <c r="E73" i="19"/>
  <c r="P73" i="19"/>
  <c r="D73" i="19"/>
  <c r="O94" i="19"/>
  <c r="H12" i="19"/>
  <c r="D31" i="19"/>
  <c r="E36" i="19"/>
  <c r="H36" i="19"/>
  <c r="H40" i="19"/>
  <c r="G40" i="19"/>
  <c r="D40" i="19"/>
  <c r="J41" i="19"/>
  <c r="H43" i="19"/>
  <c r="G43" i="19"/>
  <c r="E43" i="19"/>
  <c r="D43" i="19"/>
  <c r="H46" i="19"/>
  <c r="G46" i="19"/>
  <c r="E46" i="19"/>
  <c r="D46" i="19"/>
  <c r="J47" i="19"/>
  <c r="M49" i="19"/>
  <c r="K49" i="19"/>
  <c r="H49" i="19"/>
  <c r="G49" i="19"/>
  <c r="Q49" i="19"/>
  <c r="E49" i="19"/>
  <c r="P49" i="19"/>
  <c r="D49" i="19"/>
  <c r="J50" i="19"/>
  <c r="M52" i="19"/>
  <c r="K52" i="19"/>
  <c r="H52" i="19"/>
  <c r="G52" i="19"/>
  <c r="Q52" i="19"/>
  <c r="E52" i="19"/>
  <c r="P52" i="19"/>
  <c r="D52" i="19"/>
  <c r="I55" i="19"/>
  <c r="Q57" i="19"/>
  <c r="E57" i="19"/>
  <c r="O57" i="19"/>
  <c r="L57" i="19"/>
  <c r="K57" i="19"/>
  <c r="J57" i="19"/>
  <c r="I57" i="19"/>
  <c r="H57" i="19"/>
  <c r="N82" i="19"/>
  <c r="N88" i="19"/>
  <c r="L53" i="19"/>
  <c r="L56" i="19"/>
  <c r="L59" i="19"/>
  <c r="L62" i="19"/>
  <c r="L65" i="19"/>
  <c r="H66" i="19"/>
  <c r="L68" i="19"/>
  <c r="H69" i="19"/>
  <c r="L71" i="19"/>
  <c r="H72" i="19"/>
  <c r="L74" i="19"/>
  <c r="H75" i="19"/>
  <c r="L77" i="19"/>
  <c r="H78" i="19"/>
  <c r="L80" i="19"/>
  <c r="H81" i="19"/>
  <c r="L83" i="19"/>
  <c r="H84" i="19"/>
  <c r="L86" i="19"/>
  <c r="H87" i="19"/>
  <c r="L89" i="19"/>
  <c r="H90" i="19"/>
  <c r="L92" i="19"/>
  <c r="H93" i="19"/>
  <c r="L95" i="19"/>
  <c r="H96" i="19"/>
  <c r="M53" i="19"/>
  <c r="M56" i="19"/>
  <c r="M59" i="19"/>
  <c r="M62" i="19"/>
  <c r="M65" i="19"/>
  <c r="I66" i="19"/>
  <c r="M68" i="19"/>
  <c r="I69" i="19"/>
  <c r="M71" i="19"/>
  <c r="I72" i="19"/>
  <c r="M74" i="19"/>
  <c r="I75" i="19"/>
  <c r="M77" i="19"/>
  <c r="I78" i="19"/>
  <c r="M80" i="19"/>
  <c r="I81" i="19"/>
  <c r="M83" i="19"/>
  <c r="I84" i="19"/>
  <c r="M86" i="19"/>
  <c r="I87" i="19"/>
  <c r="M89" i="19"/>
  <c r="I90" i="19"/>
  <c r="M92" i="19"/>
  <c r="I93" i="19"/>
  <c r="M95" i="19"/>
  <c r="I96" i="19"/>
  <c r="N53" i="19"/>
  <c r="N56" i="19"/>
  <c r="N59" i="19"/>
  <c r="N62" i="19"/>
  <c r="N65" i="19"/>
  <c r="J66" i="19"/>
  <c r="N68" i="19"/>
  <c r="J69" i="19"/>
  <c r="N71" i="19"/>
  <c r="J72" i="19"/>
  <c r="N74" i="19"/>
  <c r="J75" i="19"/>
  <c r="N77" i="19"/>
  <c r="J78" i="19"/>
  <c r="N80" i="19"/>
  <c r="J81" i="19"/>
  <c r="N83" i="19"/>
  <c r="J84" i="19"/>
  <c r="N86" i="19"/>
  <c r="J87" i="19"/>
  <c r="N89" i="19"/>
  <c r="J90" i="19"/>
  <c r="N92" i="19"/>
  <c r="J93" i="19"/>
  <c r="N95" i="19"/>
  <c r="J96" i="19"/>
  <c r="O53" i="19"/>
  <c r="O56" i="19"/>
  <c r="O59" i="19"/>
  <c r="O62" i="19"/>
  <c r="O65" i="19"/>
  <c r="K66" i="19"/>
  <c r="O68" i="19"/>
  <c r="K69" i="19"/>
  <c r="O71" i="19"/>
  <c r="K72" i="19"/>
  <c r="O74" i="19"/>
  <c r="K75" i="19"/>
  <c r="O77" i="19"/>
  <c r="K78" i="19"/>
  <c r="O80" i="19"/>
  <c r="K81" i="19"/>
  <c r="O83" i="19"/>
  <c r="K84" i="19"/>
  <c r="O86" i="19"/>
  <c r="K87" i="19"/>
  <c r="O89" i="19"/>
  <c r="K90" i="19"/>
  <c r="O92" i="19"/>
  <c r="K93" i="19"/>
  <c r="O95" i="19"/>
  <c r="K96" i="19"/>
  <c r="D53" i="19"/>
  <c r="P53" i="19"/>
  <c r="D56" i="19"/>
  <c r="P56" i="19"/>
  <c r="D59" i="19"/>
  <c r="P59" i="19"/>
  <c r="D62" i="19"/>
  <c r="P62" i="19"/>
  <c r="D65" i="19"/>
  <c r="P65" i="19"/>
  <c r="L66" i="19"/>
  <c r="D68" i="19"/>
  <c r="P68" i="19"/>
  <c r="L69" i="19"/>
  <c r="D71" i="19"/>
  <c r="P71" i="19"/>
  <c r="L72" i="19"/>
  <c r="D74" i="19"/>
  <c r="P74" i="19"/>
  <c r="L75" i="19"/>
  <c r="D77" i="19"/>
  <c r="P77" i="19"/>
  <c r="L78" i="19"/>
  <c r="D80" i="19"/>
  <c r="P80" i="19"/>
  <c r="L81" i="19"/>
  <c r="D83" i="19"/>
  <c r="P83" i="19"/>
  <c r="L84" i="19"/>
  <c r="D86" i="19"/>
  <c r="P86" i="19"/>
  <c r="L87" i="19"/>
  <c r="D89" i="19"/>
  <c r="P89" i="19"/>
  <c r="L90" i="19"/>
  <c r="D92" i="19"/>
  <c r="P92" i="19"/>
  <c r="L93" i="19"/>
  <c r="D95" i="19"/>
  <c r="P95" i="19"/>
  <c r="L96" i="19"/>
  <c r="N66" i="19"/>
  <c r="N69" i="19"/>
  <c r="N72" i="19"/>
  <c r="N75" i="19"/>
  <c r="N78" i="19"/>
  <c r="N81" i="19"/>
  <c r="N84" i="19"/>
  <c r="N87" i="19"/>
  <c r="N90" i="19"/>
  <c r="N93" i="19"/>
  <c r="N96" i="19"/>
  <c r="G53" i="19"/>
  <c r="G56" i="19"/>
  <c r="G59" i="19"/>
  <c r="G62" i="19"/>
  <c r="G65" i="19"/>
  <c r="O66" i="19"/>
  <c r="G68" i="19"/>
  <c r="O69" i="19"/>
  <c r="G71" i="19"/>
  <c r="O72" i="19"/>
  <c r="G74" i="19"/>
  <c r="O75" i="19"/>
  <c r="G77" i="19"/>
  <c r="O78" i="19"/>
  <c r="G80" i="19"/>
  <c r="O81" i="19"/>
  <c r="G83" i="19"/>
  <c r="O84" i="19"/>
  <c r="G86" i="19"/>
  <c r="O87" i="19"/>
  <c r="G89" i="19"/>
  <c r="O90" i="19"/>
  <c r="G92" i="19"/>
  <c r="O93" i="19"/>
  <c r="G95" i="19"/>
  <c r="O96" i="19"/>
  <c r="E66" i="19"/>
  <c r="E69" i="19"/>
  <c r="E72" i="19"/>
  <c r="E75" i="19"/>
  <c r="E78" i="19"/>
  <c r="E81" i="19"/>
  <c r="E84" i="19"/>
  <c r="E87" i="19"/>
  <c r="E90" i="19"/>
  <c r="E93" i="19"/>
  <c r="E96" i="19"/>
  <c r="O54" i="18"/>
  <c r="K57" i="18"/>
  <c r="F66" i="18"/>
  <c r="F69" i="18"/>
  <c r="N78" i="18"/>
  <c r="N84" i="18"/>
  <c r="J86" i="18"/>
  <c r="I90" i="18"/>
  <c r="O95" i="18"/>
  <c r="B4" i="18"/>
  <c r="P54" i="18"/>
  <c r="L57" i="18"/>
  <c r="I66" i="18"/>
  <c r="G69" i="18"/>
  <c r="O78" i="18"/>
  <c r="D81" i="18"/>
  <c r="E85" i="18"/>
  <c r="K86" i="18"/>
  <c r="K90" i="18"/>
  <c r="M57" i="18"/>
  <c r="I69" i="18"/>
  <c r="I81" i="18"/>
  <c r="O93" i="18"/>
  <c r="N57" i="18"/>
  <c r="K66" i="18"/>
  <c r="J69" i="18"/>
  <c r="K78" i="18"/>
  <c r="K81" i="18"/>
  <c r="N90" i="18"/>
  <c r="L66" i="18"/>
  <c r="L69" i="18"/>
  <c r="M81" i="18"/>
  <c r="O84" i="18"/>
  <c r="L85" i="18"/>
  <c r="Q86" i="18"/>
  <c r="O90" i="18"/>
  <c r="F93" i="18"/>
  <c r="G95" i="18"/>
  <c r="M66" i="18"/>
  <c r="M69" i="18"/>
  <c r="D78" i="18"/>
  <c r="N81" i="18"/>
  <c r="I93" i="18"/>
  <c r="K95" i="18"/>
  <c r="N66" i="18"/>
  <c r="N69" i="18"/>
  <c r="F78" i="18"/>
  <c r="J93" i="18"/>
  <c r="O57" i="18"/>
  <c r="O69" i="18"/>
  <c r="G78" i="18"/>
  <c r="K93" i="18"/>
  <c r="I78" i="18"/>
  <c r="F57" i="18"/>
  <c r="K69" i="18"/>
  <c r="J78" i="18"/>
  <c r="I47" i="18"/>
  <c r="L47" i="18"/>
  <c r="H47" i="18"/>
  <c r="Q47" i="18"/>
  <c r="I56" i="18"/>
  <c r="L56" i="18"/>
  <c r="H56" i="18"/>
  <c r="F56" i="18"/>
  <c r="Q56" i="18"/>
  <c r="D47" i="18"/>
  <c r="D56" i="18"/>
  <c r="I74" i="18"/>
  <c r="L74" i="18"/>
  <c r="H74" i="18"/>
  <c r="F74" i="18"/>
  <c r="D74" i="18"/>
  <c r="Q74" i="18"/>
  <c r="O74" i="18"/>
  <c r="N74" i="18"/>
  <c r="M88" i="18"/>
  <c r="P88" i="18"/>
  <c r="D88" i="18"/>
  <c r="O88" i="18"/>
  <c r="L88" i="18"/>
  <c r="J88" i="18"/>
  <c r="I88" i="18"/>
  <c r="G88" i="18"/>
  <c r="F88" i="18"/>
  <c r="E47" i="18"/>
  <c r="F48" i="18"/>
  <c r="K52" i="18"/>
  <c r="P53" i="18"/>
  <c r="M55" i="18"/>
  <c r="P55" i="18"/>
  <c r="D55" i="18"/>
  <c r="J55" i="18"/>
  <c r="H55" i="18"/>
  <c r="E55" i="18"/>
  <c r="E56" i="18"/>
  <c r="L58" i="18"/>
  <c r="M61" i="18"/>
  <c r="P61" i="18"/>
  <c r="D61" i="18"/>
  <c r="O61" i="18"/>
  <c r="L61" i="18"/>
  <c r="J61" i="18"/>
  <c r="I61" i="18"/>
  <c r="F61" i="18"/>
  <c r="M67" i="18"/>
  <c r="P67" i="18"/>
  <c r="D67" i="18"/>
  <c r="F67" i="18"/>
  <c r="O67" i="18"/>
  <c r="N67" i="18"/>
  <c r="K67" i="18"/>
  <c r="J67" i="18"/>
  <c r="I71" i="18"/>
  <c r="L71" i="18"/>
  <c r="N71" i="18"/>
  <c r="K71" i="18"/>
  <c r="H71" i="18"/>
  <c r="G71" i="18"/>
  <c r="E71" i="18"/>
  <c r="D71" i="18"/>
  <c r="E74" i="18"/>
  <c r="L94" i="18"/>
  <c r="F47" i="18"/>
  <c r="I48" i="18"/>
  <c r="N52" i="18"/>
  <c r="G56" i="18"/>
  <c r="M64" i="18"/>
  <c r="P64" i="18"/>
  <c r="D64" i="18"/>
  <c r="J64" i="18"/>
  <c r="H64" i="18"/>
  <c r="F64" i="18"/>
  <c r="E64" i="18"/>
  <c r="Q64" i="18"/>
  <c r="O64" i="18"/>
  <c r="E67" i="18"/>
  <c r="G74" i="18"/>
  <c r="E88" i="18"/>
  <c r="G47" i="18"/>
  <c r="J48" i="18"/>
  <c r="Q54" i="18"/>
  <c r="E54" i="18"/>
  <c r="H54" i="18"/>
  <c r="L54" i="18"/>
  <c r="J54" i="18"/>
  <c r="F54" i="18"/>
  <c r="J56" i="18"/>
  <c r="J74" i="18"/>
  <c r="I83" i="18"/>
  <c r="L83" i="18"/>
  <c r="H83" i="18"/>
  <c r="F83" i="18"/>
  <c r="D83" i="18"/>
  <c r="Q83" i="18"/>
  <c r="O83" i="18"/>
  <c r="N83" i="18"/>
  <c r="H88" i="18"/>
  <c r="B1" i="18"/>
  <c r="J47" i="18"/>
  <c r="K48" i="18"/>
  <c r="I53" i="18"/>
  <c r="L53" i="18"/>
  <c r="N53" i="18"/>
  <c r="K53" i="18"/>
  <c r="G53" i="18"/>
  <c r="K56" i="18"/>
  <c r="K74" i="18"/>
  <c r="M76" i="18"/>
  <c r="P76" i="18"/>
  <c r="D76" i="18"/>
  <c r="F76" i="18"/>
  <c r="O76" i="18"/>
  <c r="N76" i="18"/>
  <c r="K76" i="18"/>
  <c r="J76" i="18"/>
  <c r="I80" i="18"/>
  <c r="L80" i="18"/>
  <c r="N80" i="18"/>
  <c r="K80" i="18"/>
  <c r="H80" i="18"/>
  <c r="G80" i="18"/>
  <c r="E80" i="18"/>
  <c r="D80" i="18"/>
  <c r="E83" i="18"/>
  <c r="K88" i="18"/>
  <c r="H33" i="18"/>
  <c r="G34" i="18"/>
  <c r="G36" i="18"/>
  <c r="I45" i="18"/>
  <c r="I46" i="18"/>
  <c r="K47" i="18"/>
  <c r="L48" i="18"/>
  <c r="D54" i="18"/>
  <c r="I55" i="18"/>
  <c r="M56" i="18"/>
  <c r="H61" i="18"/>
  <c r="I64" i="18"/>
  <c r="I67" i="18"/>
  <c r="M71" i="18"/>
  <c r="M74" i="18"/>
  <c r="E76" i="18"/>
  <c r="G83" i="18"/>
  <c r="N88" i="18"/>
  <c r="I33" i="18"/>
  <c r="M47" i="18"/>
  <c r="M52" i="18"/>
  <c r="P52" i="18"/>
  <c r="D52" i="18"/>
  <c r="O52" i="18"/>
  <c r="L52" i="18"/>
  <c r="I52" i="18"/>
  <c r="N56" i="18"/>
  <c r="M58" i="18"/>
  <c r="P58" i="18"/>
  <c r="D58" i="18"/>
  <c r="F58" i="18"/>
  <c r="O58" i="18"/>
  <c r="N58" i="18"/>
  <c r="M70" i="18"/>
  <c r="P70" i="18"/>
  <c r="D70" i="18"/>
  <c r="O70" i="18"/>
  <c r="L70" i="18"/>
  <c r="J70" i="18"/>
  <c r="I70" i="18"/>
  <c r="G70" i="18"/>
  <c r="F70" i="18"/>
  <c r="P74" i="18"/>
  <c r="Q88" i="18"/>
  <c r="I92" i="18"/>
  <c r="L92" i="18"/>
  <c r="H92" i="18"/>
  <c r="F92" i="18"/>
  <c r="D92" i="18"/>
  <c r="Q92" i="18"/>
  <c r="O92" i="18"/>
  <c r="N92" i="18"/>
  <c r="J33" i="18"/>
  <c r="J34" i="18"/>
  <c r="J35" i="18"/>
  <c r="I37" i="18"/>
  <c r="H38" i="18"/>
  <c r="I39" i="18"/>
  <c r="H40" i="18"/>
  <c r="G41" i="18"/>
  <c r="H43" i="18"/>
  <c r="N47" i="18"/>
  <c r="E53" i="18"/>
  <c r="I54" i="18"/>
  <c r="L55" i="18"/>
  <c r="O56" i="18"/>
  <c r="E58" i="18"/>
  <c r="N61" i="18"/>
  <c r="L64" i="18"/>
  <c r="Q67" i="18"/>
  <c r="P71" i="18"/>
  <c r="H76" i="18"/>
  <c r="J80" i="18"/>
  <c r="K83" i="18"/>
  <c r="M85" i="18"/>
  <c r="P85" i="18"/>
  <c r="D85" i="18"/>
  <c r="F85" i="18"/>
  <c r="O85" i="18"/>
  <c r="N85" i="18"/>
  <c r="K85" i="18"/>
  <c r="J85" i="18"/>
  <c r="I89" i="18"/>
  <c r="L89" i="18"/>
  <c r="N89" i="18"/>
  <c r="K89" i="18"/>
  <c r="H89" i="18"/>
  <c r="G89" i="18"/>
  <c r="E89" i="18"/>
  <c r="D89" i="18"/>
  <c r="E92" i="18"/>
  <c r="D31" i="18"/>
  <c r="O47" i="18"/>
  <c r="E52" i="18"/>
  <c r="P56" i="18"/>
  <c r="G58" i="18"/>
  <c r="E70" i="18"/>
  <c r="G92" i="18"/>
  <c r="M94" i="18"/>
  <c r="P94" i="18"/>
  <c r="D94" i="18"/>
  <c r="F94" i="18"/>
  <c r="O94" i="18"/>
  <c r="N94" i="18"/>
  <c r="K94" i="18"/>
  <c r="J94" i="18"/>
  <c r="H30" i="18"/>
  <c r="E31" i="18"/>
  <c r="J40" i="18"/>
  <c r="J41" i="18"/>
  <c r="P47" i="18"/>
  <c r="M49" i="18"/>
  <c r="P49" i="18"/>
  <c r="D49" i="18"/>
  <c r="F49" i="18"/>
  <c r="N49" i="18"/>
  <c r="F52" i="18"/>
  <c r="H53" i="18"/>
  <c r="M54" i="18"/>
  <c r="O55" i="18"/>
  <c r="H58" i="18"/>
  <c r="I62" i="18"/>
  <c r="L62" i="18"/>
  <c r="N62" i="18"/>
  <c r="K62" i="18"/>
  <c r="H62" i="18"/>
  <c r="G62" i="18"/>
  <c r="D62" i="18"/>
  <c r="I65" i="18"/>
  <c r="L65" i="18"/>
  <c r="H65" i="18"/>
  <c r="F65" i="18"/>
  <c r="D65" i="18"/>
  <c r="Q65" i="18"/>
  <c r="O65" i="18"/>
  <c r="N65" i="18"/>
  <c r="H70" i="18"/>
  <c r="L76" i="18"/>
  <c r="M79" i="18"/>
  <c r="P79" i="18"/>
  <c r="D79" i="18"/>
  <c r="O79" i="18"/>
  <c r="L79" i="18"/>
  <c r="J79" i="18"/>
  <c r="I79" i="18"/>
  <c r="G79" i="18"/>
  <c r="F79" i="18"/>
  <c r="O80" i="18"/>
  <c r="P83" i="18"/>
  <c r="G85" i="18"/>
  <c r="F89" i="18"/>
  <c r="J92" i="18"/>
  <c r="E94" i="18"/>
  <c r="B3" i="18"/>
  <c r="I30" i="18"/>
  <c r="F31" i="18"/>
  <c r="Q48" i="18"/>
  <c r="E48" i="18"/>
  <c r="H48" i="18"/>
  <c r="G48" i="18"/>
  <c r="O48" i="18"/>
  <c r="G52" i="18"/>
  <c r="N54" i="18"/>
  <c r="I58" i="18"/>
  <c r="K70" i="18"/>
  <c r="K92" i="18"/>
  <c r="G94" i="18"/>
  <c r="Q96" i="18"/>
  <c r="E96" i="18"/>
  <c r="P96" i="18"/>
  <c r="O96" i="18"/>
  <c r="N96" i="18"/>
  <c r="M96" i="18"/>
  <c r="L96" i="18"/>
  <c r="K96" i="18"/>
  <c r="J96" i="18"/>
  <c r="I96" i="18"/>
  <c r="H96" i="18"/>
  <c r="G96" i="18"/>
  <c r="F96" i="18"/>
  <c r="D96" i="18"/>
  <c r="Q63" i="18"/>
  <c r="E63" i="18"/>
  <c r="H63" i="18"/>
  <c r="P63" i="18"/>
  <c r="Q72" i="18"/>
  <c r="E72" i="18"/>
  <c r="H72" i="18"/>
  <c r="P72" i="18"/>
  <c r="Q81" i="18"/>
  <c r="E81" i="18"/>
  <c r="H81" i="18"/>
  <c r="P81" i="18"/>
  <c r="Q90" i="18"/>
  <c r="E90" i="18"/>
  <c r="H90" i="18"/>
  <c r="P90" i="18"/>
  <c r="L93" i="18"/>
  <c r="H95" i="18"/>
  <c r="M73" i="18"/>
  <c r="P73" i="18"/>
  <c r="D73" i="18"/>
  <c r="Q73" i="18"/>
  <c r="M82" i="18"/>
  <c r="P82" i="18"/>
  <c r="D82" i="18"/>
  <c r="Q82" i="18"/>
  <c r="M91" i="18"/>
  <c r="P91" i="18"/>
  <c r="D91" i="18"/>
  <c r="Q91" i="18"/>
  <c r="M93" i="18"/>
  <c r="J95" i="18"/>
  <c r="F63" i="18"/>
  <c r="F72" i="18"/>
  <c r="E73" i="18"/>
  <c r="F81" i="18"/>
  <c r="E82" i="18"/>
  <c r="F90" i="18"/>
  <c r="E91" i="18"/>
  <c r="N95" i="18"/>
  <c r="Q57" i="18"/>
  <c r="E57" i="18"/>
  <c r="H57" i="18"/>
  <c r="P57" i="18"/>
  <c r="G63" i="18"/>
  <c r="Q66" i="18"/>
  <c r="E66" i="18"/>
  <c r="H66" i="18"/>
  <c r="P66" i="18"/>
  <c r="G72" i="18"/>
  <c r="F73" i="18"/>
  <c r="Q75" i="18"/>
  <c r="E75" i="18"/>
  <c r="H75" i="18"/>
  <c r="P75" i="18"/>
  <c r="G81" i="18"/>
  <c r="F82" i="18"/>
  <c r="Q84" i="18"/>
  <c r="E84" i="18"/>
  <c r="H84" i="18"/>
  <c r="P84" i="18"/>
  <c r="G90" i="18"/>
  <c r="F91" i="18"/>
  <c r="Q93" i="18"/>
  <c r="E93" i="18"/>
  <c r="H93" i="18"/>
  <c r="P93" i="18"/>
  <c r="I50" i="18"/>
  <c r="L50" i="18"/>
  <c r="P50" i="18"/>
  <c r="D57" i="18"/>
  <c r="I59" i="18"/>
  <c r="L59" i="18"/>
  <c r="P59" i="18"/>
  <c r="J63" i="18"/>
  <c r="D66" i="18"/>
  <c r="I68" i="18"/>
  <c r="L68" i="18"/>
  <c r="P68" i="18"/>
  <c r="J72" i="18"/>
  <c r="H73" i="18"/>
  <c r="D75" i="18"/>
  <c r="I77" i="18"/>
  <c r="L77" i="18"/>
  <c r="P77" i="18"/>
  <c r="J81" i="18"/>
  <c r="H82" i="18"/>
  <c r="D84" i="18"/>
  <c r="I86" i="18"/>
  <c r="L86" i="18"/>
  <c r="P86" i="18"/>
  <c r="J90" i="18"/>
  <c r="H91" i="18"/>
  <c r="D93" i="18"/>
  <c r="I95" i="18"/>
  <c r="M95" i="18"/>
  <c r="L95" i="18"/>
  <c r="Q95" i="18"/>
  <c r="E42" i="18"/>
  <c r="H42" i="18"/>
  <c r="D50" i="18"/>
  <c r="Q51" i="18"/>
  <c r="E51" i="18"/>
  <c r="H51" i="18"/>
  <c r="P51" i="18"/>
  <c r="G57" i="18"/>
  <c r="D59" i="18"/>
  <c r="Q60" i="18"/>
  <c r="E60" i="18"/>
  <c r="H60" i="18"/>
  <c r="P60" i="18"/>
  <c r="L63" i="18"/>
  <c r="G66" i="18"/>
  <c r="D68" i="18"/>
  <c r="Q69" i="18"/>
  <c r="E69" i="18"/>
  <c r="H69" i="18"/>
  <c r="P69" i="18"/>
  <c r="L72" i="18"/>
  <c r="J73" i="18"/>
  <c r="G75" i="18"/>
  <c r="D77" i="18"/>
  <c r="Q78" i="18"/>
  <c r="E78" i="18"/>
  <c r="H78" i="18"/>
  <c r="P78" i="18"/>
  <c r="L81" i="18"/>
  <c r="J82" i="18"/>
  <c r="G84" i="18"/>
  <c r="D86" i="18"/>
  <c r="Q87" i="18"/>
  <c r="E87" i="18"/>
  <c r="H87" i="18"/>
  <c r="P87" i="18"/>
  <c r="L90" i="18"/>
  <c r="J91" i="18"/>
  <c r="G93" i="18"/>
  <c r="D95" i="18"/>
  <c r="B147" i="5"/>
  <c r="D13" i="12"/>
  <c r="C14" i="12"/>
  <c r="D14" i="12" s="1"/>
  <c r="D15" i="12"/>
  <c r="B110" i="5"/>
  <c r="B73" i="5"/>
  <c r="C74" i="5"/>
  <c r="K73" i="5"/>
  <c r="L72" i="17"/>
  <c r="Q78" i="17"/>
  <c r="D82" i="17"/>
  <c r="J84" i="17"/>
  <c r="H90" i="17"/>
  <c r="G93" i="17"/>
  <c r="F96" i="17"/>
  <c r="Q69" i="17"/>
  <c r="F69" i="17"/>
  <c r="O72" i="17"/>
  <c r="K84" i="17"/>
  <c r="I90" i="17"/>
  <c r="H93" i="17"/>
  <c r="G96" i="17"/>
  <c r="G69" i="17"/>
  <c r="I93" i="17"/>
  <c r="H96" i="17"/>
  <c r="Q57" i="17"/>
  <c r="H69" i="17"/>
  <c r="Q81" i="17"/>
  <c r="J93" i="17"/>
  <c r="F93" i="17"/>
  <c r="I69" i="17"/>
  <c r="F81" i="17"/>
  <c r="L83" i="17"/>
  <c r="L90" i="17"/>
  <c r="K93" i="17"/>
  <c r="J96" i="17"/>
  <c r="F57" i="17"/>
  <c r="J69" i="17"/>
  <c r="I78" i="17"/>
  <c r="G81" i="17"/>
  <c r="N83" i="17"/>
  <c r="M88" i="17"/>
  <c r="M91" i="17"/>
  <c r="L93" i="17"/>
  <c r="K96" i="17"/>
  <c r="G57" i="17"/>
  <c r="N65" i="17"/>
  <c r="K69" i="17"/>
  <c r="F72" i="17"/>
  <c r="F76" i="17"/>
  <c r="J78" i="17"/>
  <c r="H81" i="17"/>
  <c r="D88" i="17"/>
  <c r="D91" i="17"/>
  <c r="M94" i="17"/>
  <c r="H57" i="17"/>
  <c r="L69" i="17"/>
  <c r="I81" i="17"/>
  <c r="Q84" i="17"/>
  <c r="J57" i="17"/>
  <c r="J81" i="17"/>
  <c r="K57" i="17"/>
  <c r="K81" i="17"/>
  <c r="M64" i="17"/>
  <c r="L64" i="17"/>
  <c r="J64" i="17"/>
  <c r="I64" i="17"/>
  <c r="Q64" i="17"/>
  <c r="E64" i="17"/>
  <c r="B4" i="17"/>
  <c r="N49" i="17"/>
  <c r="M52" i="17"/>
  <c r="L52" i="17"/>
  <c r="I52" i="17"/>
  <c r="Q52" i="17"/>
  <c r="E52" i="17"/>
  <c r="M58" i="17"/>
  <c r="L58" i="17"/>
  <c r="J58" i="17"/>
  <c r="I58" i="17"/>
  <c r="Q58" i="17"/>
  <c r="E58" i="17"/>
  <c r="P62" i="17"/>
  <c r="I95" i="17"/>
  <c r="H95" i="17"/>
  <c r="G95" i="17"/>
  <c r="F95" i="17"/>
  <c r="Q95" i="17"/>
  <c r="E95" i="17"/>
  <c r="P95" i="17"/>
  <c r="D95" i="17"/>
  <c r="O95" i="17"/>
  <c r="M95" i="17"/>
  <c r="K95" i="17"/>
  <c r="J95" i="17"/>
  <c r="D53" i="17"/>
  <c r="D64" i="17"/>
  <c r="P49" i="17"/>
  <c r="Q51" i="17"/>
  <c r="E51" i="17"/>
  <c r="P51" i="17"/>
  <c r="D51" i="17"/>
  <c r="M51" i="17"/>
  <c r="I51" i="17"/>
  <c r="D52" i="17"/>
  <c r="F53" i="17"/>
  <c r="D58" i="17"/>
  <c r="F64" i="17"/>
  <c r="I68" i="17"/>
  <c r="H68" i="17"/>
  <c r="F68" i="17"/>
  <c r="Q68" i="17"/>
  <c r="E68" i="17"/>
  <c r="P68" i="17"/>
  <c r="D68" i="17"/>
  <c r="M68" i="17"/>
  <c r="N95" i="17"/>
  <c r="I50" i="17"/>
  <c r="H50" i="17"/>
  <c r="Q50" i="17"/>
  <c r="E50" i="17"/>
  <c r="M50" i="17"/>
  <c r="G53" i="17"/>
  <c r="B1" i="17"/>
  <c r="I47" i="17"/>
  <c r="H47" i="17"/>
  <c r="Q47" i="17"/>
  <c r="E47" i="17"/>
  <c r="Q48" i="17"/>
  <c r="E48" i="17"/>
  <c r="P48" i="17"/>
  <c r="D48" i="17"/>
  <c r="M48" i="17"/>
  <c r="F51" i="17"/>
  <c r="G52" i="17"/>
  <c r="J53" i="17"/>
  <c r="G58" i="17"/>
  <c r="H64" i="17"/>
  <c r="G68" i="17"/>
  <c r="I71" i="17"/>
  <c r="H71" i="17"/>
  <c r="F71" i="17"/>
  <c r="Q71" i="17"/>
  <c r="E71" i="17"/>
  <c r="P71" i="17"/>
  <c r="D71" i="17"/>
  <c r="M71" i="17"/>
  <c r="K71" i="17"/>
  <c r="I74" i="17"/>
  <c r="H74" i="17"/>
  <c r="F74" i="17"/>
  <c r="Q74" i="17"/>
  <c r="E74" i="17"/>
  <c r="P74" i="17"/>
  <c r="D74" i="17"/>
  <c r="M74" i="17"/>
  <c r="K74" i="17"/>
  <c r="I77" i="17"/>
  <c r="H77" i="17"/>
  <c r="F77" i="17"/>
  <c r="Q77" i="17"/>
  <c r="E77" i="17"/>
  <c r="P77" i="17"/>
  <c r="D77" i="17"/>
  <c r="M77" i="17"/>
  <c r="K77" i="17"/>
  <c r="L86" i="17"/>
  <c r="M49" i="17"/>
  <c r="L49" i="17"/>
  <c r="I49" i="17"/>
  <c r="Q49" i="17"/>
  <c r="I62" i="17"/>
  <c r="H62" i="17"/>
  <c r="F62" i="17"/>
  <c r="Q62" i="17"/>
  <c r="E62" i="17"/>
  <c r="M62" i="17"/>
  <c r="G64" i="17"/>
  <c r="D49" i="17"/>
  <c r="D50" i="17"/>
  <c r="H52" i="17"/>
  <c r="K53" i="17"/>
  <c r="I56" i="17"/>
  <c r="H56" i="17"/>
  <c r="F56" i="17"/>
  <c r="Q56" i="17"/>
  <c r="E56" i="17"/>
  <c r="M56" i="17"/>
  <c r="H58" i="17"/>
  <c r="M61" i="17"/>
  <c r="L61" i="17"/>
  <c r="J61" i="17"/>
  <c r="I61" i="17"/>
  <c r="Q61" i="17"/>
  <c r="E61" i="17"/>
  <c r="D62" i="17"/>
  <c r="K64" i="17"/>
  <c r="M67" i="17"/>
  <c r="L67" i="17"/>
  <c r="J67" i="17"/>
  <c r="I67" i="17"/>
  <c r="H67" i="17"/>
  <c r="Q67" i="17"/>
  <c r="E67" i="17"/>
  <c r="L80" i="17"/>
  <c r="D47" i="17"/>
  <c r="F48" i="17"/>
  <c r="E49" i="17"/>
  <c r="F50" i="17"/>
  <c r="H51" i="17"/>
  <c r="J52" i="17"/>
  <c r="K58" i="17"/>
  <c r="G62" i="17"/>
  <c r="N64" i="17"/>
  <c r="K68" i="17"/>
  <c r="G71" i="17"/>
  <c r="G74" i="17"/>
  <c r="G77" i="17"/>
  <c r="I89" i="17"/>
  <c r="H89" i="17"/>
  <c r="G89" i="17"/>
  <c r="F89" i="17"/>
  <c r="Q89" i="17"/>
  <c r="E89" i="17"/>
  <c r="P89" i="17"/>
  <c r="D89" i="17"/>
  <c r="O89" i="17"/>
  <c r="M89" i="17"/>
  <c r="K89" i="17"/>
  <c r="J89" i="17"/>
  <c r="I53" i="17"/>
  <c r="H53" i="17"/>
  <c r="Q53" i="17"/>
  <c r="E53" i="17"/>
  <c r="M53" i="17"/>
  <c r="I80" i="17"/>
  <c r="H80" i="17"/>
  <c r="G80" i="17"/>
  <c r="F80" i="17"/>
  <c r="Q80" i="17"/>
  <c r="E80" i="17"/>
  <c r="P80" i="17"/>
  <c r="D80" i="17"/>
  <c r="M80" i="17"/>
  <c r="K80" i="17"/>
  <c r="J80" i="17"/>
  <c r="B2" i="17"/>
  <c r="G30" i="17"/>
  <c r="G42" i="17"/>
  <c r="F47" i="17"/>
  <c r="G48" i="17"/>
  <c r="F49" i="17"/>
  <c r="G50" i="17"/>
  <c r="J51" i="17"/>
  <c r="K52" i="17"/>
  <c r="N53" i="17"/>
  <c r="M55" i="17"/>
  <c r="L55" i="17"/>
  <c r="J55" i="17"/>
  <c r="I55" i="17"/>
  <c r="Q55" i="17"/>
  <c r="E55" i="17"/>
  <c r="D56" i="17"/>
  <c r="N58" i="17"/>
  <c r="D61" i="17"/>
  <c r="J62" i="17"/>
  <c r="O64" i="17"/>
  <c r="D67" i="17"/>
  <c r="L68" i="17"/>
  <c r="J71" i="17"/>
  <c r="J74" i="17"/>
  <c r="J77" i="17"/>
  <c r="O80" i="17"/>
  <c r="L89" i="17"/>
  <c r="H36" i="17"/>
  <c r="G47" i="17"/>
  <c r="H48" i="17"/>
  <c r="G49" i="17"/>
  <c r="J50" i="17"/>
  <c r="K51" i="17"/>
  <c r="N52" i="17"/>
  <c r="O53" i="17"/>
  <c r="G56" i="17"/>
  <c r="O58" i="17"/>
  <c r="F61" i="17"/>
  <c r="K62" i="17"/>
  <c r="P64" i="17"/>
  <c r="F67" i="17"/>
  <c r="N68" i="17"/>
  <c r="M70" i="17"/>
  <c r="L70" i="17"/>
  <c r="J70" i="17"/>
  <c r="I70" i="17"/>
  <c r="H70" i="17"/>
  <c r="Q70" i="17"/>
  <c r="E70" i="17"/>
  <c r="O70" i="17"/>
  <c r="L71" i="17"/>
  <c r="L74" i="17"/>
  <c r="L77" i="17"/>
  <c r="N89" i="17"/>
  <c r="I86" i="17"/>
  <c r="H86" i="17"/>
  <c r="G86" i="17"/>
  <c r="F86" i="17"/>
  <c r="Q86" i="17"/>
  <c r="E86" i="17"/>
  <c r="P86" i="17"/>
  <c r="D86" i="17"/>
  <c r="O86" i="17"/>
  <c r="M86" i="17"/>
  <c r="K86" i="17"/>
  <c r="J86" i="17"/>
  <c r="H43" i="17"/>
  <c r="J47" i="17"/>
  <c r="I48" i="17"/>
  <c r="H49" i="17"/>
  <c r="K50" i="17"/>
  <c r="L51" i="17"/>
  <c r="O52" i="17"/>
  <c r="P53" i="17"/>
  <c r="J56" i="17"/>
  <c r="P58" i="17"/>
  <c r="G61" i="17"/>
  <c r="L62" i="17"/>
  <c r="I65" i="17"/>
  <c r="H65" i="17"/>
  <c r="F65" i="17"/>
  <c r="Q65" i="17"/>
  <c r="E65" i="17"/>
  <c r="M65" i="17"/>
  <c r="G67" i="17"/>
  <c r="O68" i="17"/>
  <c r="N71" i="17"/>
  <c r="M73" i="17"/>
  <c r="L73" i="17"/>
  <c r="J73" i="17"/>
  <c r="I73" i="17"/>
  <c r="H73" i="17"/>
  <c r="Q73" i="17"/>
  <c r="E73" i="17"/>
  <c r="O73" i="17"/>
  <c r="N74" i="17"/>
  <c r="M76" i="17"/>
  <c r="L76" i="17"/>
  <c r="J76" i="17"/>
  <c r="I76" i="17"/>
  <c r="H76" i="17"/>
  <c r="Q76" i="17"/>
  <c r="E76" i="17"/>
  <c r="O76" i="17"/>
  <c r="N77" i="17"/>
  <c r="M79" i="17"/>
  <c r="L79" i="17"/>
  <c r="K79" i="17"/>
  <c r="J79" i="17"/>
  <c r="I79" i="17"/>
  <c r="H79" i="17"/>
  <c r="Q79" i="17"/>
  <c r="E79" i="17"/>
  <c r="O79" i="17"/>
  <c r="I83" i="17"/>
  <c r="H83" i="17"/>
  <c r="G83" i="17"/>
  <c r="F83" i="17"/>
  <c r="Q83" i="17"/>
  <c r="E83" i="17"/>
  <c r="P83" i="17"/>
  <c r="D83" i="17"/>
  <c r="M83" i="17"/>
  <c r="K83" i="17"/>
  <c r="J83" i="17"/>
  <c r="I92" i="17"/>
  <c r="H92" i="17"/>
  <c r="G92" i="17"/>
  <c r="F92" i="17"/>
  <c r="Q92" i="17"/>
  <c r="E92" i="17"/>
  <c r="P92" i="17"/>
  <c r="D92" i="17"/>
  <c r="O92" i="17"/>
  <c r="M92" i="17"/>
  <c r="K92" i="17"/>
  <c r="J92" i="17"/>
  <c r="B3" i="17"/>
  <c r="J42" i="17"/>
  <c r="K47" i="17"/>
  <c r="J48" i="17"/>
  <c r="J49" i="17"/>
  <c r="L50" i="17"/>
  <c r="N51" i="17"/>
  <c r="P52" i="17"/>
  <c r="K56" i="17"/>
  <c r="I59" i="17"/>
  <c r="H59" i="17"/>
  <c r="F59" i="17"/>
  <c r="Q59" i="17"/>
  <c r="E59" i="17"/>
  <c r="M59" i="17"/>
  <c r="H61" i="17"/>
  <c r="N62" i="17"/>
  <c r="K67" i="17"/>
  <c r="D70" i="17"/>
  <c r="O71" i="17"/>
  <c r="D73" i="17"/>
  <c r="O74" i="17"/>
  <c r="D76" i="17"/>
  <c r="O77" i="17"/>
  <c r="D79" i="17"/>
  <c r="L92" i="17"/>
  <c r="N82" i="17"/>
  <c r="N85" i="17"/>
  <c r="N88" i="17"/>
  <c r="N91" i="17"/>
  <c r="N94" i="17"/>
  <c r="O82" i="17"/>
  <c r="O85" i="17"/>
  <c r="O88" i="17"/>
  <c r="O91" i="17"/>
  <c r="O94" i="17"/>
  <c r="I54" i="17"/>
  <c r="I57" i="17"/>
  <c r="I60" i="17"/>
  <c r="E82" i="17"/>
  <c r="Q82" i="17"/>
  <c r="E85" i="17"/>
  <c r="Q85" i="17"/>
  <c r="E88" i="17"/>
  <c r="Q88" i="17"/>
  <c r="E91" i="17"/>
  <c r="Q91" i="17"/>
  <c r="E94" i="17"/>
  <c r="Q94" i="17"/>
  <c r="G88" i="17"/>
  <c r="G91" i="17"/>
  <c r="G94" i="17"/>
  <c r="H82" i="17"/>
  <c r="H85" i="17"/>
  <c r="H88" i="17"/>
  <c r="H91" i="17"/>
  <c r="H94" i="17"/>
  <c r="M54" i="17"/>
  <c r="M57" i="17"/>
  <c r="M60" i="17"/>
  <c r="M63" i="17"/>
  <c r="M66" i="17"/>
  <c r="M69" i="17"/>
  <c r="M72" i="17"/>
  <c r="M75" i="17"/>
  <c r="M78" i="17"/>
  <c r="M81" i="17"/>
  <c r="I82" i="17"/>
  <c r="M84" i="17"/>
  <c r="I85" i="17"/>
  <c r="M87" i="17"/>
  <c r="I88" i="17"/>
  <c r="M90" i="17"/>
  <c r="I91" i="17"/>
  <c r="M93" i="17"/>
  <c r="I94" i="17"/>
  <c r="M96" i="17"/>
  <c r="N54" i="17"/>
  <c r="N57" i="17"/>
  <c r="N60" i="17"/>
  <c r="N63" i="17"/>
  <c r="N66" i="17"/>
  <c r="N69" i="17"/>
  <c r="N72" i="17"/>
  <c r="N75" i="17"/>
  <c r="N78" i="17"/>
  <c r="N81" i="17"/>
  <c r="J82" i="17"/>
  <c r="N84" i="17"/>
  <c r="J85" i="17"/>
  <c r="N87" i="17"/>
  <c r="J88" i="17"/>
  <c r="N90" i="17"/>
  <c r="J91" i="17"/>
  <c r="N93" i="17"/>
  <c r="J94" i="17"/>
  <c r="N96" i="17"/>
  <c r="O81" i="17"/>
  <c r="K82" i="17"/>
  <c r="O84" i="17"/>
  <c r="K85" i="17"/>
  <c r="O87" i="17"/>
  <c r="K88" i="17"/>
  <c r="O90" i="17"/>
  <c r="K91" i="17"/>
  <c r="O93" i="17"/>
  <c r="K94" i="17"/>
  <c r="O96" i="17"/>
  <c r="D54" i="17"/>
  <c r="P54" i="17"/>
  <c r="D57" i="17"/>
  <c r="P57" i="17"/>
  <c r="D60" i="17"/>
  <c r="P60" i="17"/>
  <c r="D63" i="17"/>
  <c r="P63" i="17"/>
  <c r="D66" i="17"/>
  <c r="P66" i="17"/>
  <c r="D69" i="17"/>
  <c r="P69" i="17"/>
  <c r="D72" i="17"/>
  <c r="P72" i="17"/>
  <c r="D75" i="17"/>
  <c r="P75" i="17"/>
  <c r="D78" i="17"/>
  <c r="P78" i="17"/>
  <c r="D81" i="17"/>
  <c r="P81" i="17"/>
  <c r="L82" i="17"/>
  <c r="D84" i="17"/>
  <c r="P84" i="17"/>
  <c r="L85" i="17"/>
  <c r="D87" i="17"/>
  <c r="P87" i="17"/>
  <c r="L88" i="17"/>
  <c r="D90" i="17"/>
  <c r="P90" i="17"/>
  <c r="L91" i="17"/>
  <c r="D93" i="17"/>
  <c r="P93" i="17"/>
  <c r="L94" i="17"/>
  <c r="D96" i="17"/>
  <c r="P96" i="17"/>
  <c r="E54" i="17"/>
  <c r="E57" i="17"/>
  <c r="E60" i="17"/>
  <c r="E63" i="17"/>
  <c r="E66" i="17"/>
  <c r="E69" i="17"/>
  <c r="E72" i="17"/>
  <c r="E75" i="17"/>
  <c r="E78" i="17"/>
  <c r="E81" i="17"/>
  <c r="E84" i="17"/>
  <c r="E87" i="17"/>
  <c r="E90" i="17"/>
  <c r="E93" i="17"/>
  <c r="E96" i="17"/>
  <c r="I69" i="16"/>
  <c r="D78" i="16"/>
  <c r="O81" i="16"/>
  <c r="J90" i="16"/>
  <c r="I93" i="16"/>
  <c r="I68" i="16"/>
  <c r="J69" i="16"/>
  <c r="D81" i="16"/>
  <c r="J93" i="16"/>
  <c r="H69" i="16"/>
  <c r="F66" i="16"/>
  <c r="J68" i="16"/>
  <c r="P69" i="16"/>
  <c r="F78" i="16"/>
  <c r="E81" i="16"/>
  <c r="Q90" i="16"/>
  <c r="P93" i="16"/>
  <c r="O57" i="16"/>
  <c r="G66" i="16"/>
  <c r="K68" i="16"/>
  <c r="Q69" i="16"/>
  <c r="G78" i="16"/>
  <c r="F81" i="16"/>
  <c r="Q93" i="16"/>
  <c r="D57" i="16"/>
  <c r="L68" i="16"/>
  <c r="H78" i="16"/>
  <c r="G81" i="16"/>
  <c r="E54" i="16"/>
  <c r="E57" i="16"/>
  <c r="I66" i="16"/>
  <c r="I78" i="16"/>
  <c r="H81" i="16"/>
  <c r="F87" i="16"/>
  <c r="O90" i="16"/>
  <c r="H93" i="16"/>
  <c r="F54" i="16"/>
  <c r="F57" i="16"/>
  <c r="J66" i="16"/>
  <c r="O69" i="16"/>
  <c r="J78" i="16"/>
  <c r="I81" i="16"/>
  <c r="G87" i="16"/>
  <c r="D90" i="16"/>
  <c r="O93" i="16"/>
  <c r="Q57" i="16"/>
  <c r="G54" i="16"/>
  <c r="G57" i="16"/>
  <c r="P66" i="16"/>
  <c r="D69" i="16"/>
  <c r="P78" i="16"/>
  <c r="J81" i="16"/>
  <c r="H87" i="16"/>
  <c r="E90" i="16"/>
  <c r="D93" i="16"/>
  <c r="H57" i="16"/>
  <c r="E69" i="16"/>
  <c r="P81" i="16"/>
  <c r="I87" i="16"/>
  <c r="F90" i="16"/>
  <c r="E93" i="16"/>
  <c r="F47" i="16"/>
  <c r="K52" i="16"/>
  <c r="I52" i="16"/>
  <c r="H52" i="16"/>
  <c r="G52" i="16"/>
  <c r="Q52" i="16"/>
  <c r="E52" i="16"/>
  <c r="G56" i="16"/>
  <c r="F56" i="16"/>
  <c r="Q56" i="16"/>
  <c r="E56" i="16"/>
  <c r="P56" i="16"/>
  <c r="D56" i="16"/>
  <c r="O56" i="16"/>
  <c r="M56" i="16"/>
  <c r="K70" i="16"/>
  <c r="J70" i="16"/>
  <c r="I70" i="16"/>
  <c r="H70" i="16"/>
  <c r="G70" i="16"/>
  <c r="Q70" i="16"/>
  <c r="E70" i="16"/>
  <c r="P70" i="16"/>
  <c r="D70" i="16"/>
  <c r="H80" i="16"/>
  <c r="H92" i="16"/>
  <c r="B4" i="16"/>
  <c r="I53" i="16"/>
  <c r="H56" i="16"/>
  <c r="G59" i="16"/>
  <c r="F59" i="16"/>
  <c r="Q59" i="16"/>
  <c r="E59" i="16"/>
  <c r="P59" i="16"/>
  <c r="D59" i="16"/>
  <c r="O59" i="16"/>
  <c r="M59" i="16"/>
  <c r="F67" i="16"/>
  <c r="F73" i="16"/>
  <c r="J80" i="16"/>
  <c r="F85" i="16"/>
  <c r="J92" i="16"/>
  <c r="G47" i="16"/>
  <c r="Q47" i="16"/>
  <c r="E47" i="16"/>
  <c r="P47" i="16"/>
  <c r="D47" i="16"/>
  <c r="O47" i="16"/>
  <c r="I47" i="16"/>
  <c r="O51" i="16"/>
  <c r="M51" i="16"/>
  <c r="L51" i="16"/>
  <c r="K51" i="16"/>
  <c r="I51" i="16"/>
  <c r="D52" i="16"/>
  <c r="I56" i="16"/>
  <c r="F70" i="16"/>
  <c r="L73" i="16"/>
  <c r="I77" i="16"/>
  <c r="G77" i="16"/>
  <c r="F77" i="16"/>
  <c r="Q77" i="16"/>
  <c r="E77" i="16"/>
  <c r="P77" i="16"/>
  <c r="D77" i="16"/>
  <c r="O77" i="16"/>
  <c r="M77" i="16"/>
  <c r="L77" i="16"/>
  <c r="K80" i="16"/>
  <c r="M82" i="16"/>
  <c r="K82" i="16"/>
  <c r="J82" i="16"/>
  <c r="I82" i="16"/>
  <c r="H82" i="16"/>
  <c r="G82" i="16"/>
  <c r="Q82" i="16"/>
  <c r="E82" i="16"/>
  <c r="P82" i="16"/>
  <c r="D82" i="16"/>
  <c r="L85" i="16"/>
  <c r="I89" i="16"/>
  <c r="G89" i="16"/>
  <c r="F89" i="16"/>
  <c r="Q89" i="16"/>
  <c r="E89" i="16"/>
  <c r="P89" i="16"/>
  <c r="D89" i="16"/>
  <c r="O89" i="16"/>
  <c r="M89" i="16"/>
  <c r="L89" i="16"/>
  <c r="K92" i="16"/>
  <c r="M94" i="16"/>
  <c r="K94" i="16"/>
  <c r="J94" i="16"/>
  <c r="I94" i="16"/>
  <c r="H94" i="16"/>
  <c r="G94" i="16"/>
  <c r="Q94" i="16"/>
  <c r="E94" i="16"/>
  <c r="P94" i="16"/>
  <c r="D94" i="16"/>
  <c r="J47" i="16"/>
  <c r="D51" i="16"/>
  <c r="F52" i="16"/>
  <c r="K53" i="16"/>
  <c r="K55" i="16"/>
  <c r="J55" i="16"/>
  <c r="I55" i="16"/>
  <c r="H55" i="16"/>
  <c r="G55" i="16"/>
  <c r="Q55" i="16"/>
  <c r="E55" i="16"/>
  <c r="J56" i="16"/>
  <c r="G62" i="16"/>
  <c r="F62" i="16"/>
  <c r="Q62" i="16"/>
  <c r="E62" i="16"/>
  <c r="P62" i="16"/>
  <c r="D62" i="16"/>
  <c r="O62" i="16"/>
  <c r="M62" i="16"/>
  <c r="M67" i="16"/>
  <c r="L70" i="16"/>
  <c r="N73" i="16"/>
  <c r="H77" i="16"/>
  <c r="N85" i="16"/>
  <c r="H89" i="16"/>
  <c r="I92" i="16"/>
  <c r="G92" i="16"/>
  <c r="F92" i="16"/>
  <c r="Q92" i="16"/>
  <c r="E92" i="16"/>
  <c r="P92" i="16"/>
  <c r="D92" i="16"/>
  <c r="O92" i="16"/>
  <c r="M92" i="16"/>
  <c r="L92" i="16"/>
  <c r="K47" i="16"/>
  <c r="E51" i="16"/>
  <c r="J52" i="16"/>
  <c r="L53" i="16"/>
  <c r="K56" i="16"/>
  <c r="K58" i="16"/>
  <c r="J58" i="16"/>
  <c r="I58" i="16"/>
  <c r="H58" i="16"/>
  <c r="G58" i="16"/>
  <c r="Q58" i="16"/>
  <c r="E58" i="16"/>
  <c r="H62" i="16"/>
  <c r="N67" i="16"/>
  <c r="M70" i="16"/>
  <c r="J77" i="16"/>
  <c r="F82" i="16"/>
  <c r="J89" i="16"/>
  <c r="F94" i="16"/>
  <c r="I80" i="16"/>
  <c r="G80" i="16"/>
  <c r="F80" i="16"/>
  <c r="Q80" i="16"/>
  <c r="E80" i="16"/>
  <c r="P80" i="16"/>
  <c r="D80" i="16"/>
  <c r="O80" i="16"/>
  <c r="M80" i="16"/>
  <c r="L80" i="16"/>
  <c r="B1" i="16"/>
  <c r="L47" i="16"/>
  <c r="F51" i="16"/>
  <c r="L52" i="16"/>
  <c r="D55" i="16"/>
  <c r="L56" i="16"/>
  <c r="I62" i="16"/>
  <c r="G65" i="16"/>
  <c r="F65" i="16"/>
  <c r="Q65" i="16"/>
  <c r="E65" i="16"/>
  <c r="P65" i="16"/>
  <c r="D65" i="16"/>
  <c r="O65" i="16"/>
  <c r="M65" i="16"/>
  <c r="O67" i="16"/>
  <c r="N70" i="16"/>
  <c r="I74" i="16"/>
  <c r="G74" i="16"/>
  <c r="F74" i="16"/>
  <c r="Q74" i="16"/>
  <c r="E74" i="16"/>
  <c r="P74" i="16"/>
  <c r="D74" i="16"/>
  <c r="O74" i="16"/>
  <c r="M74" i="16"/>
  <c r="L74" i="16"/>
  <c r="K77" i="16"/>
  <c r="M79" i="16"/>
  <c r="K79" i="16"/>
  <c r="J79" i="16"/>
  <c r="I79" i="16"/>
  <c r="H79" i="16"/>
  <c r="G79" i="16"/>
  <c r="Q79" i="16"/>
  <c r="E79" i="16"/>
  <c r="P79" i="16"/>
  <c r="D79" i="16"/>
  <c r="L82" i="16"/>
  <c r="I86" i="16"/>
  <c r="G86" i="16"/>
  <c r="F86" i="16"/>
  <c r="Q86" i="16"/>
  <c r="E86" i="16"/>
  <c r="P86" i="16"/>
  <c r="D86" i="16"/>
  <c r="O86" i="16"/>
  <c r="M86" i="16"/>
  <c r="L86" i="16"/>
  <c r="K89" i="16"/>
  <c r="M91" i="16"/>
  <c r="K91" i="16"/>
  <c r="J91" i="16"/>
  <c r="I91" i="16"/>
  <c r="H91" i="16"/>
  <c r="G91" i="16"/>
  <c r="Q91" i="16"/>
  <c r="E91" i="16"/>
  <c r="P91" i="16"/>
  <c r="D91" i="16"/>
  <c r="L94" i="16"/>
  <c r="M47" i="16"/>
  <c r="G50" i="16"/>
  <c r="Q50" i="16"/>
  <c r="E50" i="16"/>
  <c r="P50" i="16"/>
  <c r="D50" i="16"/>
  <c r="O50" i="16"/>
  <c r="M50" i="16"/>
  <c r="G51" i="16"/>
  <c r="M52" i="16"/>
  <c r="F55" i="16"/>
  <c r="N56" i="16"/>
  <c r="D58" i="16"/>
  <c r="L59" i="16"/>
  <c r="K61" i="16"/>
  <c r="J61" i="16"/>
  <c r="I61" i="16"/>
  <c r="H61" i="16"/>
  <c r="G61" i="16"/>
  <c r="Q61" i="16"/>
  <c r="E61" i="16"/>
  <c r="J62" i="16"/>
  <c r="H65" i="16"/>
  <c r="O70" i="16"/>
  <c r="H74" i="16"/>
  <c r="N77" i="16"/>
  <c r="N82" i="16"/>
  <c r="H86" i="16"/>
  <c r="N89" i="16"/>
  <c r="N94" i="16"/>
  <c r="G38" i="16"/>
  <c r="M85" i="16"/>
  <c r="K85" i="16"/>
  <c r="J85" i="16"/>
  <c r="I85" i="16"/>
  <c r="H85" i="16"/>
  <c r="G85" i="16"/>
  <c r="Q85" i="16"/>
  <c r="E85" i="16"/>
  <c r="P85" i="16"/>
  <c r="D85" i="16"/>
  <c r="N47" i="16"/>
  <c r="K49" i="16"/>
  <c r="I49" i="16"/>
  <c r="H49" i="16"/>
  <c r="G49" i="16"/>
  <c r="Q49" i="16"/>
  <c r="H51" i="16"/>
  <c r="N52" i="16"/>
  <c r="L55" i="16"/>
  <c r="F58" i="16"/>
  <c r="N59" i="16"/>
  <c r="K62" i="16"/>
  <c r="I65" i="16"/>
  <c r="G68" i="16"/>
  <c r="F68" i="16"/>
  <c r="Q68" i="16"/>
  <c r="E68" i="16"/>
  <c r="P68" i="16"/>
  <c r="D68" i="16"/>
  <c r="O68" i="16"/>
  <c r="M68" i="16"/>
  <c r="G71" i="16"/>
  <c r="F71" i="16"/>
  <c r="Q71" i="16"/>
  <c r="E71" i="16"/>
  <c r="P71" i="16"/>
  <c r="D71" i="16"/>
  <c r="O71" i="16"/>
  <c r="M71" i="16"/>
  <c r="L71" i="16"/>
  <c r="J74" i="16"/>
  <c r="F79" i="16"/>
  <c r="O82" i="16"/>
  <c r="J86" i="16"/>
  <c r="F91" i="16"/>
  <c r="O94" i="16"/>
  <c r="B2" i="16"/>
  <c r="O48" i="16"/>
  <c r="M48" i="16"/>
  <c r="L48" i="16"/>
  <c r="K48" i="16"/>
  <c r="H50" i="16"/>
  <c r="J51" i="16"/>
  <c r="O52" i="16"/>
  <c r="M55" i="16"/>
  <c r="L58" i="16"/>
  <c r="D61" i="16"/>
  <c r="L62" i="16"/>
  <c r="K64" i="16"/>
  <c r="J64" i="16"/>
  <c r="I64" i="16"/>
  <c r="H64" i="16"/>
  <c r="G64" i="16"/>
  <c r="Q64" i="16"/>
  <c r="E64" i="16"/>
  <c r="J65" i="16"/>
  <c r="H68" i="16"/>
  <c r="H71" i="16"/>
  <c r="K74" i="16"/>
  <c r="M76" i="16"/>
  <c r="K76" i="16"/>
  <c r="J76" i="16"/>
  <c r="I76" i="16"/>
  <c r="H76" i="16"/>
  <c r="G76" i="16"/>
  <c r="Q76" i="16"/>
  <c r="E76" i="16"/>
  <c r="P76" i="16"/>
  <c r="D76" i="16"/>
  <c r="L79" i="16"/>
  <c r="I83" i="16"/>
  <c r="G83" i="16"/>
  <c r="F83" i="16"/>
  <c r="Q83" i="16"/>
  <c r="E83" i="16"/>
  <c r="P83" i="16"/>
  <c r="D83" i="16"/>
  <c r="O83" i="16"/>
  <c r="M83" i="16"/>
  <c r="L83" i="16"/>
  <c r="K86" i="16"/>
  <c r="M88" i="16"/>
  <c r="K88" i="16"/>
  <c r="J88" i="16"/>
  <c r="I88" i="16"/>
  <c r="H88" i="16"/>
  <c r="G88" i="16"/>
  <c r="Q88" i="16"/>
  <c r="E88" i="16"/>
  <c r="P88" i="16"/>
  <c r="D88" i="16"/>
  <c r="L91" i="16"/>
  <c r="I95" i="16"/>
  <c r="G95" i="16"/>
  <c r="F95" i="16"/>
  <c r="Q95" i="16"/>
  <c r="E95" i="16"/>
  <c r="P95" i="16"/>
  <c r="D95" i="16"/>
  <c r="O95" i="16"/>
  <c r="M95" i="16"/>
  <c r="L95" i="16"/>
  <c r="M73" i="16"/>
  <c r="K73" i="16"/>
  <c r="J73" i="16"/>
  <c r="I73" i="16"/>
  <c r="H73" i="16"/>
  <c r="G73" i="16"/>
  <c r="Q73" i="16"/>
  <c r="E73" i="16"/>
  <c r="P73" i="16"/>
  <c r="D73" i="16"/>
  <c r="N51" i="16"/>
  <c r="P52" i="16"/>
  <c r="B3" i="16"/>
  <c r="G37" i="16"/>
  <c r="P51" i="16"/>
  <c r="G53" i="16"/>
  <c r="Q53" i="16"/>
  <c r="E53" i="16"/>
  <c r="P53" i="16"/>
  <c r="D53" i="16"/>
  <c r="O53" i="16"/>
  <c r="M53" i="16"/>
  <c r="K67" i="16"/>
  <c r="J67" i="16"/>
  <c r="I67" i="16"/>
  <c r="H67" i="16"/>
  <c r="G67" i="16"/>
  <c r="Q67" i="16"/>
  <c r="E67" i="16"/>
  <c r="I54" i="16"/>
  <c r="I57" i="16"/>
  <c r="K54" i="16"/>
  <c r="K57" i="16"/>
  <c r="K60" i="16"/>
  <c r="K63" i="16"/>
  <c r="K66" i="16"/>
  <c r="K69" i="16"/>
  <c r="K72" i="16"/>
  <c r="K75" i="16"/>
  <c r="K78" i="16"/>
  <c r="K81" i="16"/>
  <c r="K84" i="16"/>
  <c r="K87" i="16"/>
  <c r="K90" i="16"/>
  <c r="K93" i="16"/>
  <c r="K96" i="16"/>
  <c r="L54" i="16"/>
  <c r="L57" i="16"/>
  <c r="L60" i="16"/>
  <c r="L63" i="16"/>
  <c r="L66" i="16"/>
  <c r="L69" i="16"/>
  <c r="L72" i="16"/>
  <c r="L75" i="16"/>
  <c r="L78" i="16"/>
  <c r="L81" i="16"/>
  <c r="L84" i="16"/>
  <c r="L87" i="16"/>
  <c r="L90" i="16"/>
  <c r="L93" i="16"/>
  <c r="L96" i="16"/>
  <c r="M54" i="16"/>
  <c r="M57" i="16"/>
  <c r="M60" i="16"/>
  <c r="M63" i="16"/>
  <c r="M66" i="16"/>
  <c r="M69" i="16"/>
  <c r="M72" i="16"/>
  <c r="M75" i="16"/>
  <c r="M78" i="16"/>
  <c r="M81" i="16"/>
  <c r="M84" i="16"/>
  <c r="M87" i="16"/>
  <c r="M90" i="16"/>
  <c r="M93" i="16"/>
  <c r="M96" i="16"/>
  <c r="N54" i="16"/>
  <c r="N57" i="16"/>
  <c r="N60" i="16"/>
  <c r="N63" i="16"/>
  <c r="N66" i="16"/>
  <c r="N69" i="16"/>
  <c r="N72" i="16"/>
  <c r="N75" i="16"/>
  <c r="N78" i="16"/>
  <c r="N81" i="16"/>
  <c r="N84" i="16"/>
  <c r="N87" i="16"/>
  <c r="N90" i="16"/>
  <c r="N93" i="16"/>
  <c r="N96" i="16"/>
  <c r="N55" i="15"/>
  <c r="Q67" i="15"/>
  <c r="F80" i="15"/>
  <c r="F92" i="15"/>
  <c r="E55" i="15"/>
  <c r="J80" i="15"/>
  <c r="J92" i="15"/>
  <c r="F55" i="15"/>
  <c r="N68" i="15"/>
  <c r="J55" i="15"/>
  <c r="J81" i="15"/>
  <c r="J93" i="15"/>
  <c r="K55" i="15"/>
  <c r="P69" i="15"/>
  <c r="F81" i="15"/>
  <c r="F93" i="15"/>
  <c r="L55" i="15"/>
  <c r="H69" i="15"/>
  <c r="P55" i="15"/>
  <c r="I69" i="15"/>
  <c r="F81" i="4"/>
  <c r="Q69" i="4"/>
  <c r="Q93" i="4"/>
  <c r="N69" i="4"/>
  <c r="N93" i="4"/>
  <c r="E69" i="4"/>
  <c r="Q66" i="4"/>
  <c r="H93" i="4"/>
  <c r="E93" i="4"/>
  <c r="E66" i="4"/>
  <c r="Q81" i="4"/>
  <c r="N87" i="4"/>
  <c r="H87" i="4"/>
  <c r="F87" i="4"/>
  <c r="Q63" i="4"/>
  <c r="O63" i="4"/>
  <c r="N63" i="4"/>
  <c r="E63" i="4"/>
  <c r="Q75" i="4"/>
  <c r="N75" i="4"/>
  <c r="E75" i="4"/>
  <c r="Q48" i="15"/>
  <c r="E48" i="15"/>
  <c r="M48" i="15"/>
  <c r="L48" i="15"/>
  <c r="K48" i="15"/>
  <c r="G48" i="15"/>
  <c r="I53" i="15"/>
  <c r="Q53" i="15"/>
  <c r="E53" i="15"/>
  <c r="P53" i="15"/>
  <c r="D53" i="15"/>
  <c r="O53" i="15"/>
  <c r="K53" i="15"/>
  <c r="Q57" i="15"/>
  <c r="E57" i="15"/>
  <c r="M57" i="15"/>
  <c r="L57" i="15"/>
  <c r="K57" i="15"/>
  <c r="G57" i="15"/>
  <c r="I62" i="15"/>
  <c r="Q62" i="15"/>
  <c r="E62" i="15"/>
  <c r="P62" i="15"/>
  <c r="D62" i="15"/>
  <c r="O62" i="15"/>
  <c r="K62" i="15"/>
  <c r="Q66" i="15"/>
  <c r="E66" i="15"/>
  <c r="M66" i="15"/>
  <c r="L66" i="15"/>
  <c r="K66" i="15"/>
  <c r="G66" i="15"/>
  <c r="I71" i="15"/>
  <c r="Q71" i="15"/>
  <c r="E71" i="15"/>
  <c r="P71" i="15"/>
  <c r="D71" i="15"/>
  <c r="O71" i="15"/>
  <c r="K71" i="15"/>
  <c r="B4" i="15"/>
  <c r="F49" i="15"/>
  <c r="L50" i="15"/>
  <c r="F53" i="15"/>
  <c r="I54" i="15"/>
  <c r="F58" i="15"/>
  <c r="L59" i="15"/>
  <c r="F62" i="15"/>
  <c r="I63" i="15"/>
  <c r="F67" i="15"/>
  <c r="L68" i="15"/>
  <c r="F71" i="15"/>
  <c r="J72" i="15"/>
  <c r="D48" i="15"/>
  <c r="J49" i="15"/>
  <c r="M50" i="15"/>
  <c r="M52" i="15"/>
  <c r="I52" i="15"/>
  <c r="H52" i="15"/>
  <c r="G52" i="15"/>
  <c r="O52" i="15"/>
  <c r="G53" i="15"/>
  <c r="J54" i="15"/>
  <c r="D57" i="15"/>
  <c r="J58" i="15"/>
  <c r="M59" i="15"/>
  <c r="M61" i="15"/>
  <c r="I61" i="15"/>
  <c r="H61" i="15"/>
  <c r="G61" i="15"/>
  <c r="O61" i="15"/>
  <c r="G62" i="15"/>
  <c r="J63" i="15"/>
  <c r="D66" i="15"/>
  <c r="J67" i="15"/>
  <c r="M68" i="15"/>
  <c r="M70" i="15"/>
  <c r="I70" i="15"/>
  <c r="H70" i="15"/>
  <c r="G70" i="15"/>
  <c r="O70" i="15"/>
  <c r="G71" i="15"/>
  <c r="F48" i="15"/>
  <c r="K49" i="15"/>
  <c r="D52" i="15"/>
  <c r="H53" i="15"/>
  <c r="N54" i="15"/>
  <c r="F57" i="15"/>
  <c r="K58" i="15"/>
  <c r="D61" i="15"/>
  <c r="H62" i="15"/>
  <c r="N63" i="15"/>
  <c r="F66" i="15"/>
  <c r="K67" i="15"/>
  <c r="D70" i="15"/>
  <c r="H71" i="15"/>
  <c r="M73" i="15"/>
  <c r="L73" i="15"/>
  <c r="K73" i="15"/>
  <c r="I73" i="15"/>
  <c r="H73" i="15"/>
  <c r="G73" i="15"/>
  <c r="Q73" i="15"/>
  <c r="E73" i="15"/>
  <c r="P73" i="15"/>
  <c r="D73" i="15"/>
  <c r="O73" i="15"/>
  <c r="M76" i="15"/>
  <c r="L76" i="15"/>
  <c r="K76" i="15"/>
  <c r="I76" i="15"/>
  <c r="H76" i="15"/>
  <c r="G76" i="15"/>
  <c r="Q76" i="15"/>
  <c r="E76" i="15"/>
  <c r="P76" i="15"/>
  <c r="D76" i="15"/>
  <c r="O76" i="15"/>
  <c r="M79" i="15"/>
  <c r="L79" i="15"/>
  <c r="K79" i="15"/>
  <c r="I79" i="15"/>
  <c r="H79" i="15"/>
  <c r="G79" i="15"/>
  <c r="Q79" i="15"/>
  <c r="E79" i="15"/>
  <c r="P79" i="15"/>
  <c r="D79" i="15"/>
  <c r="O79" i="15"/>
  <c r="M82" i="15"/>
  <c r="L82" i="15"/>
  <c r="K82" i="15"/>
  <c r="I82" i="15"/>
  <c r="H82" i="15"/>
  <c r="G82" i="15"/>
  <c r="Q82" i="15"/>
  <c r="E82" i="15"/>
  <c r="P82" i="15"/>
  <c r="D82" i="15"/>
  <c r="O82" i="15"/>
  <c r="M85" i="15"/>
  <c r="L85" i="15"/>
  <c r="K85" i="15"/>
  <c r="I85" i="15"/>
  <c r="H85" i="15"/>
  <c r="G85" i="15"/>
  <c r="Q85" i="15"/>
  <c r="E85" i="15"/>
  <c r="P85" i="15"/>
  <c r="D85" i="15"/>
  <c r="O85" i="15"/>
  <c r="M88" i="15"/>
  <c r="L88" i="15"/>
  <c r="K88" i="15"/>
  <c r="I88" i="15"/>
  <c r="H88" i="15"/>
  <c r="G88" i="15"/>
  <c r="Q88" i="15"/>
  <c r="E88" i="15"/>
  <c r="P88" i="15"/>
  <c r="D88" i="15"/>
  <c r="O88" i="15"/>
  <c r="M91" i="15"/>
  <c r="L91" i="15"/>
  <c r="K91" i="15"/>
  <c r="I91" i="15"/>
  <c r="H91" i="15"/>
  <c r="G91" i="15"/>
  <c r="Q91" i="15"/>
  <c r="E91" i="15"/>
  <c r="P91" i="15"/>
  <c r="D91" i="15"/>
  <c r="O91" i="15"/>
  <c r="M94" i="15"/>
  <c r="L94" i="15"/>
  <c r="K94" i="15"/>
  <c r="I94" i="15"/>
  <c r="H94" i="15"/>
  <c r="G94" i="15"/>
  <c r="Q94" i="15"/>
  <c r="E94" i="15"/>
  <c r="P94" i="15"/>
  <c r="D94" i="15"/>
  <c r="O94" i="15"/>
  <c r="I47" i="15"/>
  <c r="Q47" i="15"/>
  <c r="E47" i="15"/>
  <c r="P47" i="15"/>
  <c r="D47" i="15"/>
  <c r="O47" i="15"/>
  <c r="K47" i="15"/>
  <c r="H48" i="15"/>
  <c r="L49" i="15"/>
  <c r="Q51" i="15"/>
  <c r="E51" i="15"/>
  <c r="M51" i="15"/>
  <c r="L51" i="15"/>
  <c r="K51" i="15"/>
  <c r="G51" i="15"/>
  <c r="E52" i="15"/>
  <c r="J53" i="15"/>
  <c r="O54" i="15"/>
  <c r="I56" i="15"/>
  <c r="Q56" i="15"/>
  <c r="E56" i="15"/>
  <c r="P56" i="15"/>
  <c r="D56" i="15"/>
  <c r="O56" i="15"/>
  <c r="K56" i="15"/>
  <c r="H57" i="15"/>
  <c r="L58" i="15"/>
  <c r="Q60" i="15"/>
  <c r="E60" i="15"/>
  <c r="M60" i="15"/>
  <c r="L60" i="15"/>
  <c r="K60" i="15"/>
  <c r="G60" i="15"/>
  <c r="E61" i="15"/>
  <c r="J62" i="15"/>
  <c r="O63" i="15"/>
  <c r="I65" i="15"/>
  <c r="Q65" i="15"/>
  <c r="E65" i="15"/>
  <c r="P65" i="15"/>
  <c r="D65" i="15"/>
  <c r="O65" i="15"/>
  <c r="K65" i="15"/>
  <c r="H66" i="15"/>
  <c r="L67" i="15"/>
  <c r="Q69" i="15"/>
  <c r="E69" i="15"/>
  <c r="M69" i="15"/>
  <c r="L69" i="15"/>
  <c r="K69" i="15"/>
  <c r="G69" i="15"/>
  <c r="E70" i="15"/>
  <c r="J71" i="15"/>
  <c r="F73" i="15"/>
  <c r="F76" i="15"/>
  <c r="F79" i="15"/>
  <c r="F82" i="15"/>
  <c r="F85" i="15"/>
  <c r="F88" i="15"/>
  <c r="F91" i="15"/>
  <c r="F94" i="15"/>
  <c r="B1" i="15"/>
  <c r="D30" i="15"/>
  <c r="D33" i="15"/>
  <c r="F38" i="15"/>
  <c r="I39" i="15"/>
  <c r="F43" i="15"/>
  <c r="F47" i="15"/>
  <c r="I48" i="15"/>
  <c r="N49" i="15"/>
  <c r="F52" i="15"/>
  <c r="L53" i="15"/>
  <c r="F56" i="15"/>
  <c r="I57" i="15"/>
  <c r="N58" i="15"/>
  <c r="F61" i="15"/>
  <c r="L62" i="15"/>
  <c r="F65" i="15"/>
  <c r="I66" i="15"/>
  <c r="N67" i="15"/>
  <c r="F70" i="15"/>
  <c r="L71" i="15"/>
  <c r="J73" i="15"/>
  <c r="J76" i="15"/>
  <c r="J79" i="15"/>
  <c r="J82" i="15"/>
  <c r="J85" i="15"/>
  <c r="J88" i="15"/>
  <c r="J91" i="15"/>
  <c r="J94" i="15"/>
  <c r="E30" i="15"/>
  <c r="I32" i="15"/>
  <c r="E33" i="15"/>
  <c r="J34" i="15"/>
  <c r="I37" i="15"/>
  <c r="H37" i="15"/>
  <c r="G37" i="15"/>
  <c r="G38" i="15"/>
  <c r="J39" i="15"/>
  <c r="D42" i="15"/>
  <c r="J43" i="15"/>
  <c r="I46" i="15"/>
  <c r="H46" i="15"/>
  <c r="G46" i="15"/>
  <c r="G47" i="15"/>
  <c r="J48" i="15"/>
  <c r="P49" i="15"/>
  <c r="D51" i="15"/>
  <c r="J52" i="15"/>
  <c r="M53" i="15"/>
  <c r="M55" i="15"/>
  <c r="I55" i="15"/>
  <c r="H55" i="15"/>
  <c r="G55" i="15"/>
  <c r="O55" i="15"/>
  <c r="G56" i="15"/>
  <c r="J57" i="15"/>
  <c r="P58" i="15"/>
  <c r="D60" i="15"/>
  <c r="J61" i="15"/>
  <c r="M62" i="15"/>
  <c r="M64" i="15"/>
  <c r="I64" i="15"/>
  <c r="H64" i="15"/>
  <c r="G64" i="15"/>
  <c r="O64" i="15"/>
  <c r="G65" i="15"/>
  <c r="J66" i="15"/>
  <c r="P67" i="15"/>
  <c r="D69" i="15"/>
  <c r="J70" i="15"/>
  <c r="M71" i="15"/>
  <c r="N73" i="15"/>
  <c r="N76" i="15"/>
  <c r="N79" i="15"/>
  <c r="N82" i="15"/>
  <c r="N85" i="15"/>
  <c r="N88" i="15"/>
  <c r="N91" i="15"/>
  <c r="N94" i="15"/>
  <c r="I26" i="15"/>
  <c r="J17" i="15"/>
  <c r="J23" i="15"/>
  <c r="J29" i="15"/>
  <c r="J74" i="5" s="1"/>
  <c r="F30" i="15"/>
  <c r="J32" i="15"/>
  <c r="F33" i="15"/>
  <c r="D37" i="15"/>
  <c r="H38" i="15"/>
  <c r="F42" i="15"/>
  <c r="D46" i="15"/>
  <c r="H47" i="15"/>
  <c r="N48" i="15"/>
  <c r="F51" i="15"/>
  <c r="K52" i="15"/>
  <c r="N53" i="15"/>
  <c r="D55" i="15"/>
  <c r="H56" i="15"/>
  <c r="N57" i="15"/>
  <c r="F60" i="15"/>
  <c r="K61" i="15"/>
  <c r="N62" i="15"/>
  <c r="H65" i="15"/>
  <c r="N66" i="15"/>
  <c r="F69" i="15"/>
  <c r="K70" i="15"/>
  <c r="N71" i="15"/>
  <c r="I74" i="15"/>
  <c r="H74" i="15"/>
  <c r="G74" i="15"/>
  <c r="Q74" i="15"/>
  <c r="E74" i="15"/>
  <c r="P74" i="15"/>
  <c r="D74" i="15"/>
  <c r="O74" i="15"/>
  <c r="M74" i="15"/>
  <c r="L74" i="15"/>
  <c r="K74" i="15"/>
  <c r="I77" i="15"/>
  <c r="H77" i="15"/>
  <c r="G77" i="15"/>
  <c r="Q77" i="15"/>
  <c r="E77" i="15"/>
  <c r="P77" i="15"/>
  <c r="D77" i="15"/>
  <c r="O77" i="15"/>
  <c r="M77" i="15"/>
  <c r="L77" i="15"/>
  <c r="K77" i="15"/>
  <c r="I80" i="15"/>
  <c r="H80" i="15"/>
  <c r="G80" i="15"/>
  <c r="Q80" i="15"/>
  <c r="E80" i="15"/>
  <c r="P80" i="15"/>
  <c r="D80" i="15"/>
  <c r="O80" i="15"/>
  <c r="M80" i="15"/>
  <c r="L80" i="15"/>
  <c r="K80" i="15"/>
  <c r="I83" i="15"/>
  <c r="H83" i="15"/>
  <c r="G83" i="15"/>
  <c r="Q83" i="15"/>
  <c r="E83" i="15"/>
  <c r="P83" i="15"/>
  <c r="D83" i="15"/>
  <c r="O83" i="15"/>
  <c r="M83" i="15"/>
  <c r="L83" i="15"/>
  <c r="K83" i="15"/>
  <c r="I86" i="15"/>
  <c r="H86" i="15"/>
  <c r="G86" i="15"/>
  <c r="Q86" i="15"/>
  <c r="E86" i="15"/>
  <c r="P86" i="15"/>
  <c r="D86" i="15"/>
  <c r="O86" i="15"/>
  <c r="M86" i="15"/>
  <c r="L86" i="15"/>
  <c r="K86" i="15"/>
  <c r="I89" i="15"/>
  <c r="H89" i="15"/>
  <c r="G89" i="15"/>
  <c r="Q89" i="15"/>
  <c r="E89" i="15"/>
  <c r="P89" i="15"/>
  <c r="D89" i="15"/>
  <c r="O89" i="15"/>
  <c r="M89" i="15"/>
  <c r="L89" i="15"/>
  <c r="K89" i="15"/>
  <c r="I92" i="15"/>
  <c r="H92" i="15"/>
  <c r="G92" i="15"/>
  <c r="Q92" i="15"/>
  <c r="E92" i="15"/>
  <c r="P92" i="15"/>
  <c r="D92" i="15"/>
  <c r="O92" i="15"/>
  <c r="M92" i="15"/>
  <c r="L92" i="15"/>
  <c r="K92" i="15"/>
  <c r="G18" i="15"/>
  <c r="G27" i="15"/>
  <c r="E36" i="15"/>
  <c r="G36" i="15"/>
  <c r="I41" i="15"/>
  <c r="E41" i="15"/>
  <c r="D41" i="15"/>
  <c r="E45" i="15"/>
  <c r="G45" i="15"/>
  <c r="O48" i="15"/>
  <c r="I50" i="15"/>
  <c r="Q50" i="15"/>
  <c r="E50" i="15"/>
  <c r="P50" i="15"/>
  <c r="D50" i="15"/>
  <c r="O50" i="15"/>
  <c r="K50" i="15"/>
  <c r="Q54" i="15"/>
  <c r="E54" i="15"/>
  <c r="M54" i="15"/>
  <c r="L54" i="15"/>
  <c r="K54" i="15"/>
  <c r="G54" i="15"/>
  <c r="O57" i="15"/>
  <c r="I59" i="15"/>
  <c r="Q59" i="15"/>
  <c r="E59" i="15"/>
  <c r="P59" i="15"/>
  <c r="D59" i="15"/>
  <c r="O59" i="15"/>
  <c r="K59" i="15"/>
  <c r="Q63" i="15"/>
  <c r="E63" i="15"/>
  <c r="M63" i="15"/>
  <c r="L63" i="15"/>
  <c r="K63" i="15"/>
  <c r="G63" i="15"/>
  <c r="O66" i="15"/>
  <c r="I68" i="15"/>
  <c r="Q68" i="15"/>
  <c r="E68" i="15"/>
  <c r="P68" i="15"/>
  <c r="D68" i="15"/>
  <c r="O68" i="15"/>
  <c r="K68" i="15"/>
  <c r="Q72" i="15"/>
  <c r="E72" i="15"/>
  <c r="P72" i="15"/>
  <c r="O72" i="15"/>
  <c r="M72" i="15"/>
  <c r="L72" i="15"/>
  <c r="K72" i="15"/>
  <c r="I72" i="15"/>
  <c r="G72" i="15"/>
  <c r="H9" i="15"/>
  <c r="D13" i="15"/>
  <c r="H15" i="15"/>
  <c r="D16" i="15"/>
  <c r="H24" i="15"/>
  <c r="D25" i="15"/>
  <c r="H30" i="15"/>
  <c r="I33" i="15"/>
  <c r="F41" i="15"/>
  <c r="P48" i="15"/>
  <c r="F50" i="15"/>
  <c r="N52" i="15"/>
  <c r="P57" i="15"/>
  <c r="F59" i="15"/>
  <c r="N61" i="15"/>
  <c r="P66" i="15"/>
  <c r="F68" i="15"/>
  <c r="N70" i="15"/>
  <c r="I9" i="15"/>
  <c r="I12" i="15"/>
  <c r="I15" i="15"/>
  <c r="E16" i="15"/>
  <c r="I18" i="15"/>
  <c r="E19" i="15"/>
  <c r="I21" i="15"/>
  <c r="E25" i="15"/>
  <c r="I27" i="15"/>
  <c r="D36" i="15"/>
  <c r="I40" i="15"/>
  <c r="H40" i="15"/>
  <c r="G40" i="15"/>
  <c r="G41" i="15"/>
  <c r="D45" i="15"/>
  <c r="M49" i="15"/>
  <c r="I49" i="15"/>
  <c r="H49" i="15"/>
  <c r="G49" i="15"/>
  <c r="O49" i="15"/>
  <c r="G50" i="15"/>
  <c r="D54" i="15"/>
  <c r="M58" i="15"/>
  <c r="I58" i="15"/>
  <c r="H58" i="15"/>
  <c r="G58" i="15"/>
  <c r="O58" i="15"/>
  <c r="G59" i="15"/>
  <c r="D63" i="15"/>
  <c r="M67" i="15"/>
  <c r="I67" i="15"/>
  <c r="H67" i="15"/>
  <c r="G67" i="15"/>
  <c r="O67" i="15"/>
  <c r="G68" i="15"/>
  <c r="P70" i="15"/>
  <c r="D72" i="15"/>
  <c r="B3" i="15"/>
  <c r="F13" i="15"/>
  <c r="F19" i="15"/>
  <c r="F25" i="15"/>
  <c r="F36" i="15"/>
  <c r="D40" i="15"/>
  <c r="H41" i="15"/>
  <c r="F45" i="15"/>
  <c r="N47" i="15"/>
  <c r="D49" i="15"/>
  <c r="H50" i="15"/>
  <c r="N51" i="15"/>
  <c r="Q52" i="15"/>
  <c r="F54" i="15"/>
  <c r="N56" i="15"/>
  <c r="D58" i="15"/>
  <c r="H59" i="15"/>
  <c r="N60" i="15"/>
  <c r="Q61" i="15"/>
  <c r="F63" i="15"/>
  <c r="N65" i="15"/>
  <c r="D67" i="15"/>
  <c r="H68" i="15"/>
  <c r="N69" i="15"/>
  <c r="Q70" i="15"/>
  <c r="F72" i="15"/>
  <c r="Q75" i="15"/>
  <c r="E75" i="15"/>
  <c r="P75" i="15"/>
  <c r="D75" i="15"/>
  <c r="O75" i="15"/>
  <c r="M75" i="15"/>
  <c r="L75" i="15"/>
  <c r="K75" i="15"/>
  <c r="I75" i="15"/>
  <c r="H75" i="15"/>
  <c r="G75" i="15"/>
  <c r="Q78" i="15"/>
  <c r="E78" i="15"/>
  <c r="P78" i="15"/>
  <c r="D78" i="15"/>
  <c r="O78" i="15"/>
  <c r="M78" i="15"/>
  <c r="L78" i="15"/>
  <c r="K78" i="15"/>
  <c r="I78" i="15"/>
  <c r="H78" i="15"/>
  <c r="G78" i="15"/>
  <c r="Q81" i="15"/>
  <c r="E81" i="15"/>
  <c r="P81" i="15"/>
  <c r="D81" i="15"/>
  <c r="O81" i="15"/>
  <c r="M81" i="15"/>
  <c r="L81" i="15"/>
  <c r="K81" i="15"/>
  <c r="I81" i="15"/>
  <c r="H81" i="15"/>
  <c r="G81" i="15"/>
  <c r="Q84" i="15"/>
  <c r="E84" i="15"/>
  <c r="P84" i="15"/>
  <c r="D84" i="15"/>
  <c r="O84" i="15"/>
  <c r="M84" i="15"/>
  <c r="L84" i="15"/>
  <c r="K84" i="15"/>
  <c r="I84" i="15"/>
  <c r="H84" i="15"/>
  <c r="G84" i="15"/>
  <c r="Q87" i="15"/>
  <c r="E87" i="15"/>
  <c r="P87" i="15"/>
  <c r="D87" i="15"/>
  <c r="O87" i="15"/>
  <c r="M87" i="15"/>
  <c r="L87" i="15"/>
  <c r="K87" i="15"/>
  <c r="I87" i="15"/>
  <c r="H87" i="15"/>
  <c r="G87" i="15"/>
  <c r="Q90" i="15"/>
  <c r="E90" i="15"/>
  <c r="P90" i="15"/>
  <c r="D90" i="15"/>
  <c r="O90" i="15"/>
  <c r="M90" i="15"/>
  <c r="L90" i="15"/>
  <c r="K90" i="15"/>
  <c r="I90" i="15"/>
  <c r="H90" i="15"/>
  <c r="G90" i="15"/>
  <c r="Q93" i="15"/>
  <c r="E93" i="15"/>
  <c r="P93" i="15"/>
  <c r="D93" i="15"/>
  <c r="O93" i="15"/>
  <c r="M93" i="15"/>
  <c r="L93" i="15"/>
  <c r="K93" i="15"/>
  <c r="I93" i="15"/>
  <c r="H93" i="15"/>
  <c r="G93" i="15"/>
  <c r="K95" i="15"/>
  <c r="G96" i="15"/>
  <c r="L95" i="15"/>
  <c r="H96" i="15"/>
  <c r="M95" i="15"/>
  <c r="I96" i="15"/>
  <c r="N95" i="15"/>
  <c r="J96" i="15"/>
  <c r="O95" i="15"/>
  <c r="K96" i="15"/>
  <c r="D95" i="15"/>
  <c r="P95" i="15"/>
  <c r="L96" i="15"/>
  <c r="E95" i="15"/>
  <c r="Q95" i="15"/>
  <c r="M96" i="15"/>
  <c r="N96" i="15"/>
  <c r="G95" i="15"/>
  <c r="O96" i="15"/>
  <c r="H95" i="15"/>
  <c r="D96" i="15"/>
  <c r="P96" i="15"/>
  <c r="E96" i="15"/>
  <c r="P96" i="4"/>
  <c r="D96" i="4"/>
  <c r="H95" i="4"/>
  <c r="L94" i="4"/>
  <c r="P93" i="4"/>
  <c r="D93" i="4"/>
  <c r="H92" i="4"/>
  <c r="L91" i="4"/>
  <c r="P90" i="4"/>
  <c r="D90" i="4"/>
  <c r="H89" i="4"/>
  <c r="L88" i="4"/>
  <c r="P87" i="4"/>
  <c r="D87" i="4"/>
  <c r="H86" i="4"/>
  <c r="L85" i="4"/>
  <c r="P84" i="4"/>
  <c r="D84" i="4"/>
  <c r="H83" i="4"/>
  <c r="L82" i="4"/>
  <c r="P81" i="4"/>
  <c r="D81" i="4"/>
  <c r="H80" i="4"/>
  <c r="L79" i="4"/>
  <c r="P78" i="4"/>
  <c r="D78" i="4"/>
  <c r="H77" i="4"/>
  <c r="L76" i="4"/>
  <c r="P75" i="4"/>
  <c r="D75" i="4"/>
  <c r="H74" i="4"/>
  <c r="L73" i="4"/>
  <c r="P72" i="4"/>
  <c r="D72" i="4"/>
  <c r="H71" i="4"/>
  <c r="L70" i="4"/>
  <c r="P69" i="4"/>
  <c r="D69" i="4"/>
  <c r="H68" i="4"/>
  <c r="L67" i="4"/>
  <c r="P66" i="4"/>
  <c r="D66" i="4"/>
  <c r="H65" i="4"/>
  <c r="L64" i="4"/>
  <c r="P63" i="4"/>
  <c r="D63" i="4"/>
  <c r="H62" i="4"/>
  <c r="L61" i="4"/>
  <c r="O96" i="4"/>
  <c r="O93" i="4"/>
  <c r="O90" i="4"/>
  <c r="O87" i="4"/>
  <c r="O84" i="4"/>
  <c r="O81" i="4"/>
  <c r="O78" i="4"/>
  <c r="O75" i="4"/>
  <c r="O72" i="4"/>
  <c r="O69" i="4"/>
  <c r="O66" i="4"/>
  <c r="M96" i="4"/>
  <c r="I94" i="4"/>
  <c r="M93" i="4"/>
  <c r="I91" i="4"/>
  <c r="M90" i="4"/>
  <c r="I88" i="4"/>
  <c r="M87" i="4"/>
  <c r="I85" i="4"/>
  <c r="M84" i="4"/>
  <c r="I82" i="4"/>
  <c r="M81" i="4"/>
  <c r="I79" i="4"/>
  <c r="M78" i="4"/>
  <c r="I76" i="4"/>
  <c r="M75" i="4"/>
  <c r="I73" i="4"/>
  <c r="M72" i="4"/>
  <c r="I70" i="4"/>
  <c r="M69" i="4"/>
  <c r="I67" i="4"/>
  <c r="M66" i="4"/>
  <c r="I64" i="4"/>
  <c r="M63" i="4"/>
  <c r="I61" i="4"/>
  <c r="L96" i="4"/>
  <c r="H94" i="4"/>
  <c r="L93" i="4"/>
  <c r="H91" i="4"/>
  <c r="L90" i="4"/>
  <c r="H88" i="4"/>
  <c r="L87" i="4"/>
  <c r="H85" i="4"/>
  <c r="L84" i="4"/>
  <c r="H82" i="4"/>
  <c r="L81" i="4"/>
  <c r="H79" i="4"/>
  <c r="L78" i="4"/>
  <c r="H76" i="4"/>
  <c r="L75" i="4"/>
  <c r="H73" i="4"/>
  <c r="L72" i="4"/>
  <c r="H70" i="4"/>
  <c r="L69" i="4"/>
  <c r="H67" i="4"/>
  <c r="L66" i="4"/>
  <c r="H64" i="4"/>
  <c r="L63" i="4"/>
  <c r="H61" i="4"/>
  <c r="K96" i="4"/>
  <c r="O95" i="4"/>
  <c r="G94" i="4"/>
  <c r="K93" i="4"/>
  <c r="O92" i="4"/>
  <c r="G91" i="4"/>
  <c r="K90" i="4"/>
  <c r="O89" i="4"/>
  <c r="G88" i="4"/>
  <c r="K87" i="4"/>
  <c r="O86" i="4"/>
  <c r="G85" i="4"/>
  <c r="K84" i="4"/>
  <c r="O83" i="4"/>
  <c r="G82" i="4"/>
  <c r="K81" i="4"/>
  <c r="O80" i="4"/>
  <c r="G79" i="4"/>
  <c r="K78" i="4"/>
  <c r="O77" i="4"/>
  <c r="G76" i="4"/>
  <c r="K75" i="4"/>
  <c r="O74" i="4"/>
  <c r="G73" i="4"/>
  <c r="K72" i="4"/>
  <c r="O71" i="4"/>
  <c r="G70" i="4"/>
  <c r="K69" i="4"/>
  <c r="O68" i="4"/>
  <c r="G67" i="4"/>
  <c r="K66" i="4"/>
  <c r="O65" i="4"/>
  <c r="G64" i="4"/>
  <c r="K63" i="4"/>
  <c r="O62" i="4"/>
  <c r="G61" i="4"/>
  <c r="J96" i="4"/>
  <c r="F94" i="4"/>
  <c r="J93" i="4"/>
  <c r="F91" i="4"/>
  <c r="J90" i="4"/>
  <c r="F88" i="4"/>
  <c r="J87" i="4"/>
  <c r="F85" i="4"/>
  <c r="J84" i="4"/>
  <c r="F82" i="4"/>
  <c r="J81" i="4"/>
  <c r="F79" i="4"/>
  <c r="J78" i="4"/>
  <c r="F76" i="4"/>
  <c r="J75" i="4"/>
  <c r="F73" i="4"/>
  <c r="J72" i="4"/>
  <c r="F70" i="4"/>
  <c r="J69" i="4"/>
  <c r="F67" i="4"/>
  <c r="J66" i="4"/>
  <c r="F64" i="4"/>
  <c r="J63" i="4"/>
  <c r="F61" i="4"/>
  <c r="I96" i="4"/>
  <c r="I93" i="4"/>
  <c r="I90" i="4"/>
  <c r="I87" i="4"/>
  <c r="I84" i="4"/>
  <c r="I81" i="4"/>
  <c r="I78" i="4"/>
  <c r="I75" i="4"/>
  <c r="I72" i="4"/>
  <c r="I69" i="4"/>
  <c r="I66" i="4"/>
  <c r="I63" i="4"/>
  <c r="H84" i="4"/>
  <c r="H81" i="4"/>
  <c r="H78" i="4"/>
  <c r="H75" i="4"/>
  <c r="H72" i="4"/>
  <c r="H69" i="4"/>
  <c r="H66" i="4"/>
  <c r="H63" i="4"/>
  <c r="G96" i="4"/>
  <c r="O94" i="4"/>
  <c r="G93" i="4"/>
  <c r="O91" i="4"/>
  <c r="G90" i="4"/>
  <c r="O88" i="4"/>
  <c r="G87" i="4"/>
  <c r="O85" i="4"/>
  <c r="G84" i="4"/>
  <c r="O82" i="4"/>
  <c r="G81" i="4"/>
  <c r="O79" i="4"/>
  <c r="G78" i="4"/>
  <c r="O76" i="4"/>
  <c r="G75" i="4"/>
  <c r="O73" i="4"/>
  <c r="G72" i="4"/>
  <c r="O70" i="4"/>
  <c r="G69" i="4"/>
  <c r="O67" i="4"/>
  <c r="G66" i="4"/>
  <c r="O64" i="4"/>
  <c r="G63" i="4"/>
  <c r="O61" i="4"/>
  <c r="C21" i="9"/>
  <c r="C20" i="9"/>
  <c r="C23" i="12"/>
  <c r="C19" i="9"/>
  <c r="C22" i="12"/>
  <c r="C18" i="9"/>
  <c r="C17" i="9"/>
  <c r="C16" i="9"/>
  <c r="C15" i="9"/>
  <c r="B23" i="12"/>
  <c r="B22" i="12"/>
  <c r="B21" i="12"/>
  <c r="B20" i="12"/>
  <c r="B19" i="12"/>
  <c r="B18" i="12"/>
  <c r="B17" i="12"/>
  <c r="B16" i="12"/>
  <c r="C15" i="8"/>
  <c r="C14" i="8"/>
  <c r="D23" i="11"/>
  <c r="C23" i="7"/>
  <c r="C22" i="7"/>
  <c r="D21" i="11"/>
  <c r="C21" i="7"/>
  <c r="C20" i="7"/>
  <c r="C19" i="7"/>
  <c r="D19" i="11"/>
  <c r="C18" i="11"/>
  <c r="D18" i="11" s="1"/>
  <c r="C17" i="11"/>
  <c r="D17" i="11" s="1"/>
  <c r="C16" i="11"/>
  <c r="D16" i="11" s="1"/>
  <c r="D22" i="11"/>
  <c r="C15" i="11"/>
  <c r="C14" i="7"/>
  <c r="C23" i="6"/>
  <c r="C22" i="6"/>
  <c r="C21" i="6"/>
  <c r="C20" i="6"/>
  <c r="C19" i="6"/>
  <c r="C18" i="6"/>
  <c r="C17" i="6"/>
  <c r="C16" i="6"/>
  <c r="B15" i="11"/>
  <c r="B14" i="11"/>
  <c r="D14" i="11" s="1"/>
  <c r="C13" i="11"/>
  <c r="D20" i="11"/>
  <c r="B13" i="11"/>
  <c r="B12" i="6"/>
  <c r="B12" i="11" s="1"/>
  <c r="B9" i="8"/>
  <c r="B9" i="12" s="1"/>
  <c r="B12" i="9"/>
  <c r="C12" i="12" s="1"/>
  <c r="B11" i="8"/>
  <c r="B11" i="12" s="1"/>
  <c r="B10" i="8"/>
  <c r="B10" i="12" s="1"/>
  <c r="B12" i="8"/>
  <c r="B12" i="12" s="1"/>
  <c r="B9" i="6"/>
  <c r="C258" i="5" s="1"/>
  <c r="B9" i="9"/>
  <c r="C9" i="12" s="1"/>
  <c r="B11" i="6"/>
  <c r="B11" i="11" s="1"/>
  <c r="B11" i="9"/>
  <c r="C11" i="12" s="1"/>
  <c r="B10" i="6"/>
  <c r="B10" i="11" s="1"/>
  <c r="D10" i="11" s="1"/>
  <c r="B10" i="9"/>
  <c r="C10" i="12" s="1"/>
  <c r="B9" i="7"/>
  <c r="B12" i="7"/>
  <c r="C12" i="11" s="1"/>
  <c r="B11" i="7"/>
  <c r="C11" i="11" s="1"/>
  <c r="L48" i="4"/>
  <c r="K49" i="4"/>
  <c r="M50" i="4"/>
  <c r="K51" i="4"/>
  <c r="P53" i="4"/>
  <c r="M54" i="4"/>
  <c r="K57" i="4"/>
  <c r="L60" i="4"/>
  <c r="H50" i="4"/>
  <c r="J2" i="4"/>
  <c r="J1" i="4"/>
  <c r="B37" i="5"/>
  <c r="D35" i="15" l="1"/>
  <c r="I30" i="15"/>
  <c r="J31" i="15"/>
  <c r="H45" i="15"/>
  <c r="E35" i="15"/>
  <c r="I44" i="15"/>
  <c r="D44" i="15"/>
  <c r="H31" i="15"/>
  <c r="D32" i="15"/>
  <c r="I36" i="15"/>
  <c r="F40" i="15"/>
  <c r="I34" i="15"/>
  <c r="G34" i="15"/>
  <c r="D39" i="15"/>
  <c r="J40" i="15"/>
  <c r="G43" i="15"/>
  <c r="G44" i="15"/>
  <c r="J45" i="15"/>
  <c r="G33" i="15"/>
  <c r="D34" i="15"/>
  <c r="F39" i="15"/>
  <c r="E34" i="15"/>
  <c r="J35" i="15"/>
  <c r="E38" i="15"/>
  <c r="D38" i="15"/>
  <c r="E42" i="15"/>
  <c r="G42" i="15"/>
  <c r="E43" i="15"/>
  <c r="J44" i="15"/>
  <c r="D30" i="16"/>
  <c r="H45" i="16"/>
  <c r="E42" i="16"/>
  <c r="F43" i="16"/>
  <c r="J44" i="16"/>
  <c r="D45" i="16"/>
  <c r="E36" i="16"/>
  <c r="D35" i="16"/>
  <c r="E115" i="5"/>
  <c r="D30" i="17"/>
  <c r="D39" i="17"/>
  <c r="E44" i="17"/>
  <c r="F45" i="17"/>
  <c r="D42" i="17"/>
  <c r="G30" i="18"/>
  <c r="E30" i="18"/>
  <c r="F42" i="18"/>
  <c r="D46" i="18"/>
  <c r="J46" i="18"/>
  <c r="D33" i="18"/>
  <c r="I44" i="18"/>
  <c r="G44" i="18"/>
  <c r="E36" i="18"/>
  <c r="H36" i="18"/>
  <c r="H39" i="18"/>
  <c r="D43" i="18"/>
  <c r="I32" i="19"/>
  <c r="F34" i="19"/>
  <c r="D41" i="19"/>
  <c r="E30" i="19"/>
  <c r="F38" i="19"/>
  <c r="J34" i="19"/>
  <c r="E31" i="19"/>
  <c r="D45" i="19"/>
  <c r="F33" i="19"/>
  <c r="G36" i="19"/>
  <c r="I40" i="19"/>
  <c r="I39" i="19"/>
  <c r="E45" i="19"/>
  <c r="G39" i="19"/>
  <c r="D42" i="20"/>
  <c r="G42" i="20"/>
  <c r="H30" i="20"/>
  <c r="F43" i="20"/>
  <c r="G45" i="20"/>
  <c r="J46" i="20"/>
  <c r="H46" i="20"/>
  <c r="D41" i="20"/>
  <c r="H44" i="20"/>
  <c r="G43" i="20"/>
  <c r="J31" i="20"/>
  <c r="I36" i="20"/>
  <c r="H36" i="20"/>
  <c r="F38" i="20"/>
  <c r="H34" i="20"/>
  <c r="E34" i="20"/>
  <c r="H44" i="21"/>
  <c r="E34" i="21"/>
  <c r="F35" i="21"/>
  <c r="H30" i="21"/>
  <c r="H40" i="21"/>
  <c r="G38" i="22"/>
  <c r="G34" i="22"/>
  <c r="K147" i="5"/>
  <c r="C147" i="5"/>
  <c r="G230" i="5"/>
  <c r="Q230" i="5"/>
  <c r="J230" i="5"/>
  <c r="H44" i="16"/>
  <c r="I42" i="17"/>
  <c r="H34" i="15"/>
  <c r="G39" i="15"/>
  <c r="I35" i="15"/>
  <c r="J33" i="15"/>
  <c r="H37" i="16"/>
  <c r="F42" i="16"/>
  <c r="I36" i="16"/>
  <c r="D43" i="16"/>
  <c r="E35" i="16"/>
  <c r="E32" i="16"/>
  <c r="J40" i="17"/>
  <c r="J41" i="17"/>
  <c r="G46" i="17"/>
  <c r="G34" i="17"/>
  <c r="F40" i="17"/>
  <c r="I34" i="17"/>
  <c r="F42" i="17"/>
  <c r="H44" i="17"/>
  <c r="I43" i="22"/>
  <c r="E21" i="16"/>
  <c r="J42" i="16"/>
  <c r="I39" i="16"/>
  <c r="I31" i="16"/>
  <c r="E77" i="5"/>
  <c r="I42" i="16"/>
  <c r="H39" i="16"/>
  <c r="H31" i="16"/>
  <c r="H42" i="16"/>
  <c r="G39" i="16"/>
  <c r="G31" i="16"/>
  <c r="F39" i="16"/>
  <c r="F31" i="16"/>
  <c r="J40" i="16"/>
  <c r="E39" i="16"/>
  <c r="E31" i="16"/>
  <c r="F40" i="16"/>
  <c r="D39" i="16"/>
  <c r="D31" i="16"/>
  <c r="E40" i="16"/>
  <c r="H33" i="16"/>
  <c r="D40" i="16"/>
  <c r="J41" i="16"/>
  <c r="I41" i="16"/>
  <c r="J30" i="16"/>
  <c r="H41" i="16"/>
  <c r="H30" i="16"/>
  <c r="J39" i="16"/>
  <c r="J31" i="16"/>
  <c r="I30" i="16"/>
  <c r="E44" i="16"/>
  <c r="I37" i="16"/>
  <c r="J36" i="16"/>
  <c r="I35" i="16"/>
  <c r="D42" i="16"/>
  <c r="J37" i="16"/>
  <c r="G44" i="16"/>
  <c r="F38" i="16"/>
  <c r="H38" i="16"/>
  <c r="J39" i="17"/>
  <c r="H40" i="17"/>
  <c r="H45" i="17"/>
  <c r="H33" i="17"/>
  <c r="G39" i="17"/>
  <c r="D41" i="17"/>
  <c r="E38" i="17"/>
  <c r="I30" i="22"/>
  <c r="H43" i="22"/>
  <c r="H43" i="15"/>
  <c r="D31" i="15"/>
  <c r="J34" i="16"/>
  <c r="D41" i="16"/>
  <c r="J35" i="16"/>
  <c r="E34" i="16"/>
  <c r="G36" i="16"/>
  <c r="G43" i="16"/>
  <c r="G35" i="16"/>
  <c r="D37" i="16"/>
  <c r="I39" i="17"/>
  <c r="G44" i="17"/>
  <c r="F38" i="17"/>
  <c r="E40" i="17"/>
  <c r="D34" i="21"/>
  <c r="D46" i="21"/>
  <c r="E32" i="21"/>
  <c r="J37" i="22"/>
  <c r="E30" i="22"/>
  <c r="E114" i="5"/>
  <c r="E34" i="17"/>
  <c r="D32" i="17"/>
  <c r="E30" i="17"/>
  <c r="J32" i="17"/>
  <c r="J31" i="17"/>
  <c r="J30" i="17"/>
  <c r="I32" i="17"/>
  <c r="I31" i="17"/>
  <c r="H32" i="17"/>
  <c r="H31" i="17"/>
  <c r="G32" i="17"/>
  <c r="G31" i="17"/>
  <c r="F32" i="17"/>
  <c r="E31" i="17"/>
  <c r="E32" i="17"/>
  <c r="F31" i="17"/>
  <c r="I40" i="17"/>
  <c r="H38" i="17"/>
  <c r="D45" i="17"/>
  <c r="E43" i="17"/>
  <c r="D33" i="17"/>
  <c r="E35" i="17"/>
  <c r="I44" i="17"/>
  <c r="D43" i="17"/>
  <c r="F36" i="17"/>
  <c r="F34" i="15"/>
  <c r="I43" i="15"/>
  <c r="I45" i="15"/>
  <c r="G33" i="16"/>
  <c r="F34" i="16"/>
  <c r="E33" i="16"/>
  <c r="F35" i="16"/>
  <c r="H43" i="16"/>
  <c r="G34" i="16"/>
  <c r="D36" i="16"/>
  <c r="J37" i="17"/>
  <c r="J38" i="17"/>
  <c r="G43" i="17"/>
  <c r="D31" i="17"/>
  <c r="F37" i="17"/>
  <c r="F39" i="17"/>
  <c r="D46" i="17"/>
  <c r="I38" i="17"/>
  <c r="E33" i="17"/>
  <c r="D33" i="22"/>
  <c r="F32" i="16"/>
  <c r="G35" i="17"/>
  <c r="I38" i="15"/>
  <c r="H44" i="15"/>
  <c r="F44" i="15"/>
  <c r="E39" i="15"/>
  <c r="G32" i="15"/>
  <c r="J43" i="16"/>
  <c r="E41" i="16"/>
  <c r="F33" i="16"/>
  <c r="I32" i="16"/>
  <c r="H36" i="16"/>
  <c r="G32" i="16"/>
  <c r="I43" i="16"/>
  <c r="H34" i="16"/>
  <c r="J33" i="16"/>
  <c r="J36" i="17"/>
  <c r="H37" i="17"/>
  <c r="H42" i="17"/>
  <c r="H30" i="17"/>
  <c r="G36" i="17"/>
  <c r="D38" i="17"/>
  <c r="D40" i="17"/>
  <c r="E42" i="17"/>
  <c r="F41" i="17"/>
  <c r="H32" i="15"/>
  <c r="D43" i="15"/>
  <c r="H33" i="15"/>
  <c r="G42" i="16"/>
  <c r="G30" i="16"/>
  <c r="J32" i="16"/>
  <c r="H35" i="16"/>
  <c r="J46" i="16"/>
  <c r="I34" i="16"/>
  <c r="D32" i="16"/>
  <c r="I33" i="16"/>
  <c r="I36" i="17"/>
  <c r="G41" i="17"/>
  <c r="F35" i="17"/>
  <c r="E37" i="17"/>
  <c r="D37" i="17"/>
  <c r="E41" i="17"/>
  <c r="D36" i="17"/>
  <c r="I43" i="21"/>
  <c r="J30" i="15"/>
  <c r="F41" i="16"/>
  <c r="G21" i="16"/>
  <c r="G41" i="16"/>
  <c r="D34" i="16"/>
  <c r="G45" i="16"/>
  <c r="F46" i="16"/>
  <c r="J38" i="16"/>
  <c r="E46" i="16"/>
  <c r="J46" i="17"/>
  <c r="J34" i="17"/>
  <c r="J35" i="17"/>
  <c r="G40" i="17"/>
  <c r="F46" i="17"/>
  <c r="F34" i="17"/>
  <c r="D35" i="17"/>
  <c r="D34" i="17"/>
  <c r="I43" i="17"/>
  <c r="E36" i="17"/>
  <c r="I46" i="17"/>
  <c r="D43" i="21"/>
  <c r="E42" i="21"/>
  <c r="G40" i="16"/>
  <c r="F30" i="16"/>
  <c r="D38" i="16"/>
  <c r="I45" i="16"/>
  <c r="E30" i="16"/>
  <c r="D33" i="16"/>
  <c r="F44" i="16"/>
  <c r="F45" i="16"/>
  <c r="F37" i="16"/>
  <c r="E45" i="16"/>
  <c r="G46" i="16"/>
  <c r="J45" i="17"/>
  <c r="J33" i="17"/>
  <c r="H46" i="17"/>
  <c r="H34" i="17"/>
  <c r="H39" i="17"/>
  <c r="G45" i="17"/>
  <c r="G33" i="17"/>
  <c r="F33" i="17"/>
  <c r="H41" i="17"/>
  <c r="D44" i="17"/>
  <c r="E39" i="17"/>
  <c r="I33" i="22"/>
  <c r="J45" i="22"/>
  <c r="J36" i="22"/>
  <c r="H30" i="22"/>
  <c r="F41" i="22"/>
  <c r="D35" i="22"/>
  <c r="E44" i="22"/>
  <c r="F34" i="22"/>
  <c r="H33" i="22"/>
  <c r="I40" i="22"/>
  <c r="I36" i="22"/>
  <c r="H40" i="22"/>
  <c r="H36" i="22"/>
  <c r="I45" i="22"/>
  <c r="J32" i="22"/>
  <c r="J33" i="22"/>
  <c r="J39" i="22"/>
  <c r="F45" i="22"/>
  <c r="F33" i="22"/>
  <c r="F44" i="22"/>
  <c r="D30" i="22"/>
  <c r="F46" i="22"/>
  <c r="E34" i="22"/>
  <c r="D42" i="22"/>
  <c r="E41" i="22"/>
  <c r="E45" i="22"/>
  <c r="F35" i="22"/>
  <c r="J46" i="22"/>
  <c r="D43" i="22"/>
  <c r="E38" i="22"/>
  <c r="C9" i="8"/>
  <c r="D27" i="15"/>
  <c r="J36" i="15"/>
  <c r="F35" i="15"/>
  <c r="H40" i="16"/>
  <c r="I44" i="16"/>
  <c r="H32" i="16"/>
  <c r="F36" i="16"/>
  <c r="I38" i="16"/>
  <c r="H46" i="16"/>
  <c r="I45" i="17"/>
  <c r="I33" i="17"/>
  <c r="G38" i="17"/>
  <c r="F44" i="17"/>
  <c r="I37" i="17"/>
  <c r="E45" i="17"/>
  <c r="I41" i="17"/>
  <c r="H35" i="17"/>
  <c r="I40" i="21"/>
  <c r="H38" i="21"/>
  <c r="I36" i="21"/>
  <c r="I31" i="21"/>
  <c r="G36" i="21"/>
  <c r="J34" i="21"/>
  <c r="H31" i="21"/>
  <c r="I34" i="21"/>
  <c r="G31" i="21"/>
  <c r="J41" i="21"/>
  <c r="F31" i="21"/>
  <c r="I41" i="21"/>
  <c r="J39" i="21"/>
  <c r="E31" i="21"/>
  <c r="H41" i="21"/>
  <c r="I39" i="21"/>
  <c r="J35" i="21"/>
  <c r="D31" i="21"/>
  <c r="G39" i="21"/>
  <c r="J37" i="21"/>
  <c r="I35" i="21"/>
  <c r="I37" i="21"/>
  <c r="H35" i="21"/>
  <c r="J38" i="21"/>
  <c r="D42" i="21"/>
  <c r="J40" i="21"/>
  <c r="I38" i="21"/>
  <c r="J36" i="21"/>
  <c r="J31" i="21"/>
  <c r="G30" i="21"/>
  <c r="I30" i="21"/>
  <c r="F32" i="21"/>
  <c r="G32" i="21"/>
  <c r="E44" i="21"/>
  <c r="D35" i="21"/>
  <c r="G40" i="21"/>
  <c r="D30" i="21"/>
  <c r="E36" i="21"/>
  <c r="F30" i="21"/>
  <c r="J44" i="21"/>
  <c r="F42" i="21"/>
  <c r="J33" i="21"/>
  <c r="E45" i="21"/>
  <c r="H36" i="21"/>
  <c r="F46" i="21"/>
  <c r="E37" i="21"/>
  <c r="J32" i="21"/>
  <c r="D45" i="21"/>
  <c r="I45" i="21"/>
  <c r="D40" i="21"/>
  <c r="H32" i="21"/>
  <c r="F38" i="21"/>
  <c r="F33" i="21"/>
  <c r="G33" i="21"/>
  <c r="I33" i="21"/>
  <c r="H37" i="21"/>
  <c r="D33" i="21"/>
  <c r="E39" i="21"/>
  <c r="F34" i="21"/>
  <c r="G37" i="21"/>
  <c r="D41" i="21"/>
  <c r="E35" i="21"/>
  <c r="E40" i="21"/>
  <c r="G35" i="21"/>
  <c r="G45" i="21"/>
  <c r="H39" i="21"/>
  <c r="G14" i="21"/>
  <c r="D36" i="21"/>
  <c r="F41" i="21"/>
  <c r="F36" i="21"/>
  <c r="F44" i="21"/>
  <c r="J42" i="21"/>
  <c r="J45" i="21"/>
  <c r="D37" i="21"/>
  <c r="E38" i="21"/>
  <c r="E30" i="21"/>
  <c r="F43" i="21"/>
  <c r="F37" i="21"/>
  <c r="H42" i="21"/>
  <c r="G42" i="21"/>
  <c r="J46" i="21"/>
  <c r="J43" i="21"/>
  <c r="H34" i="21"/>
  <c r="G44" i="21"/>
  <c r="D39" i="21"/>
  <c r="I44" i="21"/>
  <c r="G38" i="21"/>
  <c r="D44" i="21"/>
  <c r="H45" i="21"/>
  <c r="J30" i="21"/>
  <c r="I42" i="21"/>
  <c r="H46" i="21"/>
  <c r="H43" i="21"/>
  <c r="G34" i="21"/>
  <c r="D38" i="21"/>
  <c r="I46" i="21"/>
  <c r="E41" i="21"/>
  <c r="I32" i="21"/>
  <c r="F39" i="21"/>
  <c r="G46" i="21"/>
  <c r="D32" i="21"/>
  <c r="H33" i="21"/>
  <c r="G43" i="21"/>
  <c r="E43" i="21"/>
  <c r="E33" i="21"/>
  <c r="F40" i="21"/>
  <c r="F45" i="21"/>
  <c r="H45" i="22"/>
  <c r="D46" i="16"/>
  <c r="D15" i="15"/>
  <c r="J37" i="15"/>
  <c r="F31" i="15"/>
  <c r="J41" i="15"/>
  <c r="F37" i="15"/>
  <c r="J46" i="15"/>
  <c r="E37" i="15"/>
  <c r="F46" i="15"/>
  <c r="E40" i="15"/>
  <c r="E46" i="15"/>
  <c r="H36" i="15"/>
  <c r="J38" i="15"/>
  <c r="F32" i="15"/>
  <c r="E32" i="15"/>
  <c r="I31" i="15"/>
  <c r="H42" i="15"/>
  <c r="G31" i="15"/>
  <c r="I42" i="15"/>
  <c r="J42" i="15"/>
  <c r="E31" i="15"/>
  <c r="G30" i="15"/>
  <c r="H39" i="15"/>
  <c r="H35" i="15"/>
  <c r="G35" i="15"/>
  <c r="E44" i="15"/>
  <c r="J45" i="16"/>
  <c r="I40" i="16"/>
  <c r="E38" i="16"/>
  <c r="E43" i="16"/>
  <c r="D44" i="16"/>
  <c r="E37" i="16"/>
  <c r="I46" i="16"/>
  <c r="J43" i="17"/>
  <c r="J44" i="17"/>
  <c r="I30" i="17"/>
  <c r="G37" i="17"/>
  <c r="F43" i="17"/>
  <c r="E46" i="17"/>
  <c r="F30" i="17"/>
  <c r="I35" i="17"/>
  <c r="E46" i="21"/>
  <c r="H44" i="22"/>
  <c r="I34" i="22"/>
  <c r="H38" i="22"/>
  <c r="F44" i="18"/>
  <c r="H46" i="18"/>
  <c r="G46" i="18"/>
  <c r="E39" i="18"/>
  <c r="J31" i="18"/>
  <c r="F44" i="19"/>
  <c r="D37" i="19"/>
  <c r="G41" i="19"/>
  <c r="F32" i="19"/>
  <c r="J43" i="19"/>
  <c r="E41" i="20"/>
  <c r="I38" i="20"/>
  <c r="I43" i="20"/>
  <c r="G32" i="22"/>
  <c r="J44" i="22"/>
  <c r="J43" i="18"/>
  <c r="F43" i="18"/>
  <c r="G33" i="18"/>
  <c r="F33" i="18"/>
  <c r="E33" i="18"/>
  <c r="F41" i="19"/>
  <c r="I41" i="19"/>
  <c r="D38" i="19"/>
  <c r="F45" i="19"/>
  <c r="J31" i="19"/>
  <c r="E32" i="19"/>
  <c r="H42" i="19"/>
  <c r="D40" i="20"/>
  <c r="F41" i="20"/>
  <c r="E31" i="20"/>
  <c r="I37" i="20"/>
  <c r="J45" i="20"/>
  <c r="F33" i="20"/>
  <c r="G46" i="22"/>
  <c r="F30" i="20"/>
  <c r="I42" i="19"/>
  <c r="E39" i="19"/>
  <c r="D35" i="19"/>
  <c r="I30" i="20"/>
  <c r="G36" i="20"/>
  <c r="D45" i="20"/>
  <c r="H17" i="22"/>
  <c r="F42" i="22"/>
  <c r="H39" i="22"/>
  <c r="J31" i="22"/>
  <c r="E42" i="22"/>
  <c r="G39" i="22"/>
  <c r="I31" i="22"/>
  <c r="J43" i="22"/>
  <c r="E39" i="22"/>
  <c r="H31" i="22"/>
  <c r="F43" i="22"/>
  <c r="I41" i="22"/>
  <c r="D39" i="22"/>
  <c r="E37" i="22"/>
  <c r="J34" i="22"/>
  <c r="G31" i="22"/>
  <c r="E43" i="22"/>
  <c r="H41" i="22"/>
  <c r="D37" i="22"/>
  <c r="H34" i="22"/>
  <c r="F31" i="22"/>
  <c r="E46" i="22"/>
  <c r="E31" i="22"/>
  <c r="D46" i="22"/>
  <c r="D31" i="22"/>
  <c r="I44" i="22"/>
  <c r="J40" i="22"/>
  <c r="J42" i="22"/>
  <c r="E40" i="22"/>
  <c r="I42" i="22"/>
  <c r="D40" i="22"/>
  <c r="J35" i="22"/>
  <c r="H42" i="22"/>
  <c r="I35" i="22"/>
  <c r="J30" i="22"/>
  <c r="G42" i="22"/>
  <c r="H46" i="22"/>
  <c r="G37" i="22"/>
  <c r="H31" i="18"/>
  <c r="F43" i="19"/>
  <c r="J36" i="18"/>
  <c r="F35" i="18"/>
  <c r="G45" i="18"/>
  <c r="J44" i="19"/>
  <c r="E40" i="19"/>
  <c r="J32" i="19"/>
  <c r="H37" i="19"/>
  <c r="D44" i="19"/>
  <c r="H32" i="19"/>
  <c r="G38" i="19"/>
  <c r="F42" i="19"/>
  <c r="J45" i="19"/>
  <c r="D37" i="20"/>
  <c r="D44" i="20"/>
  <c r="E40" i="20"/>
  <c r="E44" i="20"/>
  <c r="D31" i="20"/>
  <c r="H35" i="20"/>
  <c r="J38" i="22"/>
  <c r="I39" i="22"/>
  <c r="I46" i="22"/>
  <c r="H37" i="22"/>
  <c r="D32" i="22"/>
  <c r="I31" i="19"/>
  <c r="H21" i="18"/>
  <c r="E41" i="18"/>
  <c r="F38" i="18"/>
  <c r="D35" i="18"/>
  <c r="D41" i="18"/>
  <c r="E38" i="18"/>
  <c r="J32" i="18"/>
  <c r="J39" i="18"/>
  <c r="D38" i="18"/>
  <c r="I32" i="18"/>
  <c r="G39" i="18"/>
  <c r="H32" i="18"/>
  <c r="F39" i="18"/>
  <c r="I36" i="18"/>
  <c r="G32" i="18"/>
  <c r="J42" i="18"/>
  <c r="D39" i="18"/>
  <c r="D36" i="18"/>
  <c r="H34" i="18"/>
  <c r="F32" i="18"/>
  <c r="I40" i="18"/>
  <c r="F34" i="18"/>
  <c r="E32" i="18"/>
  <c r="H44" i="18"/>
  <c r="G40" i="18"/>
  <c r="J37" i="18"/>
  <c r="E34" i="18"/>
  <c r="D32" i="18"/>
  <c r="E44" i="18"/>
  <c r="F40" i="18"/>
  <c r="H37" i="18"/>
  <c r="D44" i="18"/>
  <c r="E40" i="18"/>
  <c r="G37" i="18"/>
  <c r="H41" i="18"/>
  <c r="J38" i="18"/>
  <c r="F37" i="18"/>
  <c r="H35" i="18"/>
  <c r="F41" i="18"/>
  <c r="G38" i="18"/>
  <c r="E35" i="18"/>
  <c r="I38" i="18"/>
  <c r="G35" i="18"/>
  <c r="D42" i="18"/>
  <c r="I38" i="19"/>
  <c r="J46" i="19"/>
  <c r="I36" i="19"/>
  <c r="G35" i="19"/>
  <c r="I33" i="19"/>
  <c r="D33" i="19"/>
  <c r="D30" i="20"/>
  <c r="D43" i="20"/>
  <c r="I34" i="20"/>
  <c r="D44" i="22"/>
  <c r="F37" i="22"/>
  <c r="E36" i="22"/>
  <c r="I37" i="22"/>
  <c r="F38" i="22"/>
  <c r="I41" i="18"/>
  <c r="E37" i="18"/>
  <c r="J30" i="18"/>
  <c r="D15" i="19"/>
  <c r="J39" i="19"/>
  <c r="D39" i="19"/>
  <c r="J37" i="19"/>
  <c r="J35" i="19"/>
  <c r="J42" i="19"/>
  <c r="I37" i="19"/>
  <c r="H35" i="19"/>
  <c r="D42" i="19"/>
  <c r="F37" i="19"/>
  <c r="F35" i="19"/>
  <c r="F46" i="19"/>
  <c r="E37" i="19"/>
  <c r="E35" i="19"/>
  <c r="J38" i="19"/>
  <c r="J30" i="19"/>
  <c r="H38" i="19"/>
  <c r="J36" i="19"/>
  <c r="I30" i="19"/>
  <c r="E38" i="19"/>
  <c r="F36" i="19"/>
  <c r="H30" i="19"/>
  <c r="F40" i="19"/>
  <c r="D36" i="19"/>
  <c r="G30" i="19"/>
  <c r="F30" i="19"/>
  <c r="D30" i="19"/>
  <c r="F31" i="19"/>
  <c r="E34" i="19"/>
  <c r="F39" i="19"/>
  <c r="H45" i="19"/>
  <c r="I35" i="19"/>
  <c r="I29" i="20"/>
  <c r="I481" i="5" s="1"/>
  <c r="F46" i="20"/>
  <c r="J39" i="20"/>
  <c r="J36" i="20"/>
  <c r="G39" i="20"/>
  <c r="F36" i="20"/>
  <c r="J32" i="20"/>
  <c r="F39" i="20"/>
  <c r="I32" i="20"/>
  <c r="I44" i="20"/>
  <c r="E39" i="20"/>
  <c r="I35" i="20"/>
  <c r="H32" i="20"/>
  <c r="I40" i="20"/>
  <c r="D39" i="20"/>
  <c r="G35" i="20"/>
  <c r="G32" i="20"/>
  <c r="G40" i="20"/>
  <c r="F32" i="20"/>
  <c r="F40" i="20"/>
  <c r="J38" i="20"/>
  <c r="J34" i="20"/>
  <c r="D32" i="20"/>
  <c r="I41" i="20"/>
  <c r="H38" i="20"/>
  <c r="G34" i="20"/>
  <c r="H41" i="20"/>
  <c r="I46" i="20"/>
  <c r="G41" i="20"/>
  <c r="J37" i="20"/>
  <c r="G46" i="20"/>
  <c r="J42" i="20"/>
  <c r="G37" i="20"/>
  <c r="E37" i="20"/>
  <c r="J44" i="20"/>
  <c r="D35" i="20"/>
  <c r="F44" i="20"/>
  <c r="H40" i="20"/>
  <c r="F31" i="20"/>
  <c r="G33" i="20"/>
  <c r="H35" i="22"/>
  <c r="F30" i="22"/>
  <c r="F36" i="22"/>
  <c r="D45" i="22"/>
  <c r="J41" i="22"/>
  <c r="J33" i="20"/>
  <c r="E43" i="18"/>
  <c r="I42" i="18"/>
  <c r="D37" i="18"/>
  <c r="F45" i="18"/>
  <c r="I35" i="18"/>
  <c r="I44" i="19"/>
  <c r="G32" i="19"/>
  <c r="D34" i="19"/>
  <c r="I45" i="19"/>
  <c r="E42" i="19"/>
  <c r="D32" i="19"/>
  <c r="J33" i="19"/>
  <c r="J40" i="20"/>
  <c r="E43" i="20"/>
  <c r="J30" i="20"/>
  <c r="D46" i="20"/>
  <c r="F40" i="22"/>
  <c r="F32" i="22"/>
  <c r="D40" i="18"/>
  <c r="I34" i="18"/>
  <c r="G42" i="18"/>
  <c r="E44" i="19"/>
  <c r="I34" i="19"/>
  <c r="H33" i="19"/>
  <c r="H31" i="19"/>
  <c r="G31" i="19"/>
  <c r="H37" i="20"/>
  <c r="E32" i="20"/>
  <c r="E45" i="20"/>
  <c r="D34" i="22"/>
  <c r="E35" i="22"/>
  <c r="F39" i="22"/>
  <c r="E32" i="22"/>
  <c r="F42" i="20"/>
  <c r="E42" i="20"/>
  <c r="G31" i="18"/>
  <c r="J44" i="18"/>
  <c r="F30" i="18"/>
  <c r="D30" i="18"/>
  <c r="F46" i="18"/>
  <c r="H45" i="18"/>
  <c r="D34" i="18"/>
  <c r="H41" i="19"/>
  <c r="E33" i="19"/>
  <c r="G45" i="19"/>
  <c r="G34" i="19"/>
  <c r="J40" i="19"/>
  <c r="I46" i="19"/>
  <c r="G33" i="19"/>
  <c r="F35" i="20"/>
  <c r="D34" i="20"/>
  <c r="D38" i="20"/>
  <c r="H33" i="20"/>
  <c r="I31" i="20"/>
  <c r="H31" i="20"/>
  <c r="G44" i="20"/>
  <c r="G31" i="20"/>
  <c r="H43" i="20"/>
  <c r="E46" i="20"/>
  <c r="G30" i="20"/>
  <c r="G44" i="22"/>
  <c r="E33" i="22"/>
  <c r="D36" i="22"/>
  <c r="G43" i="18"/>
  <c r="I38" i="22"/>
  <c r="I31" i="18"/>
  <c r="I43" i="18"/>
  <c r="F36" i="18"/>
  <c r="E45" i="18"/>
  <c r="E46" i="18"/>
  <c r="J45" i="18"/>
  <c r="D45" i="18"/>
  <c r="E41" i="19"/>
  <c r="G42" i="19"/>
  <c r="H34" i="19"/>
  <c r="H39" i="19"/>
  <c r="I43" i="19"/>
  <c r="I33" i="20"/>
  <c r="J43" i="20"/>
  <c r="J35" i="20"/>
  <c r="F45" i="20"/>
  <c r="G30" i="22"/>
  <c r="G43" i="22"/>
  <c r="I32" i="22"/>
  <c r="G35" i="22"/>
  <c r="D38" i="22"/>
  <c r="E10" i="18"/>
  <c r="D22" i="15"/>
  <c r="G21" i="15"/>
  <c r="F27" i="15"/>
  <c r="D11" i="12"/>
  <c r="F15" i="15"/>
  <c r="D24" i="15"/>
  <c r="G18" i="16"/>
  <c r="E10" i="15"/>
  <c r="H12" i="15"/>
  <c r="E27" i="15"/>
  <c r="G9" i="16"/>
  <c r="H25" i="18"/>
  <c r="I25" i="15"/>
  <c r="E40" i="5"/>
  <c r="J17" i="16"/>
  <c r="E78" i="5"/>
  <c r="D26" i="18"/>
  <c r="G26" i="19"/>
  <c r="I15" i="18"/>
  <c r="E373" i="5"/>
  <c r="D14" i="21"/>
  <c r="F22" i="15"/>
  <c r="I24" i="15"/>
  <c r="H27" i="15"/>
  <c r="J9" i="18"/>
  <c r="D16" i="19"/>
  <c r="C13" i="8"/>
  <c r="G11" i="16"/>
  <c r="K553" i="5"/>
  <c r="C553" i="5"/>
  <c r="K516" i="5"/>
  <c r="C516" i="5"/>
  <c r="K441" i="5"/>
  <c r="C441" i="5"/>
  <c r="K442" i="5"/>
  <c r="C442" i="5"/>
  <c r="K479" i="5"/>
  <c r="C479" i="5"/>
  <c r="B552" i="5"/>
  <c r="B515" i="5"/>
  <c r="B478" i="5"/>
  <c r="B440" i="5"/>
  <c r="K406" i="5"/>
  <c r="C406" i="5"/>
  <c r="B405" i="5"/>
  <c r="B9" i="11"/>
  <c r="C259" i="5"/>
  <c r="O230" i="5"/>
  <c r="P230" i="5"/>
  <c r="I230" i="5"/>
  <c r="F230" i="5"/>
  <c r="N230" i="5"/>
  <c r="K230" i="5"/>
  <c r="R230" i="5"/>
  <c r="M230" i="5"/>
  <c r="H230" i="5"/>
  <c r="C230" i="5"/>
  <c r="I257" i="5"/>
  <c r="H257" i="5"/>
  <c r="G257" i="5"/>
  <c r="R257" i="5"/>
  <c r="F257" i="5"/>
  <c r="Q257" i="5"/>
  <c r="E257" i="5"/>
  <c r="P257" i="5"/>
  <c r="D257" i="5"/>
  <c r="O257" i="5"/>
  <c r="C257" i="5"/>
  <c r="N257" i="5"/>
  <c r="M257" i="5"/>
  <c r="L257" i="5"/>
  <c r="J257" i="5"/>
  <c r="G24" i="22"/>
  <c r="G12" i="22"/>
  <c r="I15" i="22"/>
  <c r="H12" i="22"/>
  <c r="H9" i="22"/>
  <c r="F25" i="22"/>
  <c r="H29" i="22"/>
  <c r="H555" i="5" s="1"/>
  <c r="F19" i="22"/>
  <c r="E25" i="22"/>
  <c r="F24" i="22"/>
  <c r="D18" i="22"/>
  <c r="F16" i="22"/>
  <c r="E16" i="22"/>
  <c r="J23" i="22"/>
  <c r="E13" i="22"/>
  <c r="F12" i="22"/>
  <c r="E21" i="22"/>
  <c r="F28" i="22"/>
  <c r="I12" i="22"/>
  <c r="H27" i="22"/>
  <c r="H553" i="5" s="1"/>
  <c r="J11" i="22"/>
  <c r="E12" i="22"/>
  <c r="H18" i="22"/>
  <c r="F13" i="22"/>
  <c r="E28" i="22"/>
  <c r="E10" i="22"/>
  <c r="I29" i="22"/>
  <c r="I555" i="5" s="1"/>
  <c r="I20" i="22"/>
  <c r="I11" i="22"/>
  <c r="G29" i="22"/>
  <c r="G555" i="5" s="1"/>
  <c r="G17" i="22"/>
  <c r="E26" i="22"/>
  <c r="E17" i="22"/>
  <c r="F10" i="22"/>
  <c r="I27" i="22"/>
  <c r="I553" i="5" s="1"/>
  <c r="I9" i="22"/>
  <c r="D28" i="22"/>
  <c r="G21" i="22"/>
  <c r="G9" i="22"/>
  <c r="F21" i="22"/>
  <c r="F9" i="22"/>
  <c r="D27" i="22"/>
  <c r="D15" i="22"/>
  <c r="I25" i="22"/>
  <c r="I16" i="22"/>
  <c r="J24" i="22"/>
  <c r="J20" i="22"/>
  <c r="H26" i="22"/>
  <c r="H14" i="22"/>
  <c r="J15" i="22"/>
  <c r="I24" i="22"/>
  <c r="D25" i="22"/>
  <c r="E27" i="22"/>
  <c r="E18" i="22"/>
  <c r="E9" i="22"/>
  <c r="G26" i="22"/>
  <c r="G552" i="5" s="1"/>
  <c r="G14" i="22"/>
  <c r="E22" i="22"/>
  <c r="H24" i="22"/>
  <c r="G18" i="22"/>
  <c r="F18" i="22"/>
  <c r="I26" i="22"/>
  <c r="I552" i="5" s="1"/>
  <c r="I17" i="22"/>
  <c r="D24" i="22"/>
  <c r="D12" i="22"/>
  <c r="E23" i="22"/>
  <c r="E14" i="22"/>
  <c r="J27" i="22"/>
  <c r="I21" i="22"/>
  <c r="D22" i="22"/>
  <c r="J29" i="22"/>
  <c r="J555" i="5" s="1"/>
  <c r="J17" i="22"/>
  <c r="H23" i="22"/>
  <c r="H11" i="22"/>
  <c r="I22" i="22"/>
  <c r="I13" i="22"/>
  <c r="J18" i="22"/>
  <c r="E19" i="22"/>
  <c r="H21" i="22"/>
  <c r="G23" i="22"/>
  <c r="J9" i="22"/>
  <c r="I18" i="22"/>
  <c r="D19" i="22"/>
  <c r="G27" i="22"/>
  <c r="G553" i="5" s="1"/>
  <c r="G15" i="22"/>
  <c r="F27" i="22"/>
  <c r="F15" i="22"/>
  <c r="E24" i="22"/>
  <c r="E15" i="22"/>
  <c r="D21" i="22"/>
  <c r="D9" i="22"/>
  <c r="J26" i="22"/>
  <c r="J552" i="5" s="1"/>
  <c r="J14" i="22"/>
  <c r="I23" i="22"/>
  <c r="I14" i="22"/>
  <c r="H20" i="22"/>
  <c r="G13" i="22"/>
  <c r="H28" i="22"/>
  <c r="H554" i="5" s="1"/>
  <c r="H19" i="22"/>
  <c r="D11" i="22"/>
  <c r="D16" i="22"/>
  <c r="D13" i="22"/>
  <c r="D10" i="22"/>
  <c r="H25" i="22"/>
  <c r="H16" i="22"/>
  <c r="H10" i="22"/>
  <c r="G25" i="22"/>
  <c r="G16" i="22"/>
  <c r="D26" i="22"/>
  <c r="D23" i="22"/>
  <c r="G28" i="22"/>
  <c r="G554" i="5" s="1"/>
  <c r="G10" i="22"/>
  <c r="H22" i="22"/>
  <c r="D14" i="22"/>
  <c r="G22" i="22"/>
  <c r="F29" i="22"/>
  <c r="F555" i="5" s="1"/>
  <c r="J28" i="22"/>
  <c r="J554" i="5" s="1"/>
  <c r="F26" i="22"/>
  <c r="F552" i="5" s="1"/>
  <c r="J25" i="22"/>
  <c r="F23" i="22"/>
  <c r="J22" i="22"/>
  <c r="F20" i="22"/>
  <c r="J19" i="22"/>
  <c r="F17" i="22"/>
  <c r="J16" i="22"/>
  <c r="F14" i="22"/>
  <c r="J13" i="22"/>
  <c r="F11" i="22"/>
  <c r="J10" i="22"/>
  <c r="D17" i="22"/>
  <c r="G19" i="22"/>
  <c r="D29" i="22"/>
  <c r="D555" i="5" s="1"/>
  <c r="D20" i="22"/>
  <c r="H13" i="22"/>
  <c r="C2" i="22"/>
  <c r="C1" i="22"/>
  <c r="C4" i="22"/>
  <c r="C3" i="22"/>
  <c r="E20" i="22"/>
  <c r="E11" i="22"/>
  <c r="J21" i="22"/>
  <c r="F22" i="22"/>
  <c r="H15" i="22"/>
  <c r="G20" i="22"/>
  <c r="E29" i="22"/>
  <c r="E555" i="5" s="1"/>
  <c r="I19" i="22"/>
  <c r="I10" i="22"/>
  <c r="J12" i="22"/>
  <c r="I28" i="22"/>
  <c r="I554" i="5" s="1"/>
  <c r="D12" i="21"/>
  <c r="G24" i="21"/>
  <c r="F22" i="21"/>
  <c r="D26" i="21"/>
  <c r="I24" i="21"/>
  <c r="D23" i="21"/>
  <c r="F13" i="21"/>
  <c r="E22" i="21"/>
  <c r="I26" i="21"/>
  <c r="F20" i="21"/>
  <c r="H22" i="21"/>
  <c r="D9" i="21"/>
  <c r="F10" i="21"/>
  <c r="E19" i="21"/>
  <c r="F27" i="21"/>
  <c r="E24" i="21"/>
  <c r="G11" i="21"/>
  <c r="D17" i="21"/>
  <c r="F23" i="21"/>
  <c r="F15" i="21"/>
  <c r="I14" i="21"/>
  <c r="J19" i="21"/>
  <c r="H13" i="21"/>
  <c r="J26" i="21"/>
  <c r="D28" i="21"/>
  <c r="F12" i="21"/>
  <c r="E12" i="21"/>
  <c r="F11" i="21"/>
  <c r="I23" i="21"/>
  <c r="H27" i="21"/>
  <c r="F9" i="21"/>
  <c r="I11" i="21"/>
  <c r="G26" i="21"/>
  <c r="H24" i="21"/>
  <c r="H26" i="21"/>
  <c r="J24" i="21"/>
  <c r="D22" i="21"/>
  <c r="D24" i="21"/>
  <c r="G23" i="21"/>
  <c r="J9" i="21"/>
  <c r="I18" i="21"/>
  <c r="D21" i="21"/>
  <c r="J21" i="21"/>
  <c r="H14" i="21"/>
  <c r="J27" i="21"/>
  <c r="J14" i="21"/>
  <c r="E27" i="21"/>
  <c r="E15" i="21"/>
  <c r="J22" i="21"/>
  <c r="J10" i="21"/>
  <c r="H25" i="21"/>
  <c r="H16" i="21"/>
  <c r="I21" i="21"/>
  <c r="D25" i="21"/>
  <c r="J29" i="21"/>
  <c r="J518" i="5" s="1"/>
  <c r="J11" i="21"/>
  <c r="H23" i="21"/>
  <c r="H11" i="21"/>
  <c r="E16" i="21"/>
  <c r="H21" i="21"/>
  <c r="F24" i="21"/>
  <c r="H20" i="21"/>
  <c r="E29" i="21"/>
  <c r="E518" i="5" s="1"/>
  <c r="I10" i="21"/>
  <c r="I22" i="21"/>
  <c r="I13" i="21"/>
  <c r="D16" i="21"/>
  <c r="H15" i="21"/>
  <c r="D13" i="21"/>
  <c r="H12" i="21"/>
  <c r="D10" i="21"/>
  <c r="H9" i="21"/>
  <c r="E23" i="21"/>
  <c r="E17" i="21"/>
  <c r="E11" i="21"/>
  <c r="G21" i="21"/>
  <c r="G18" i="21"/>
  <c r="G15" i="21"/>
  <c r="G12" i="21"/>
  <c r="G9" i="21"/>
  <c r="E26" i="21"/>
  <c r="I16" i="21"/>
  <c r="I25" i="21"/>
  <c r="I28" i="21"/>
  <c r="E20" i="21"/>
  <c r="E14" i="21"/>
  <c r="I19" i="21"/>
  <c r="G28" i="21"/>
  <c r="G25" i="21"/>
  <c r="G22" i="21"/>
  <c r="G19" i="21"/>
  <c r="G16" i="21"/>
  <c r="G13" i="21"/>
  <c r="G10" i="21"/>
  <c r="C2" i="21"/>
  <c r="C1" i="21"/>
  <c r="C4" i="21"/>
  <c r="C3" i="21"/>
  <c r="F29" i="21"/>
  <c r="F518" i="5" s="1"/>
  <c r="F17" i="21"/>
  <c r="I15" i="21"/>
  <c r="D19" i="21"/>
  <c r="J23" i="21"/>
  <c r="E21" i="21"/>
  <c r="G20" i="21"/>
  <c r="J28" i="21"/>
  <c r="J517" i="5" s="1"/>
  <c r="J16" i="21"/>
  <c r="F25" i="21"/>
  <c r="E13" i="21"/>
  <c r="H18" i="21"/>
  <c r="F21" i="21"/>
  <c r="I20" i="21"/>
  <c r="E9" i="21"/>
  <c r="D18" i="21"/>
  <c r="D20" i="21"/>
  <c r="D11" i="21"/>
  <c r="F28" i="21"/>
  <c r="F517" i="5" s="1"/>
  <c r="I12" i="21"/>
  <c r="J20" i="21"/>
  <c r="H29" i="21"/>
  <c r="H518" i="5" s="1"/>
  <c r="H17" i="21"/>
  <c r="F26" i="21"/>
  <c r="F515" i="5" s="1"/>
  <c r="F14" i="21"/>
  <c r="D29" i="21"/>
  <c r="D518" i="5" s="1"/>
  <c r="H19" i="21"/>
  <c r="H10" i="21"/>
  <c r="J12" i="21"/>
  <c r="F19" i="21"/>
  <c r="E28" i="21"/>
  <c r="E517" i="5" s="1"/>
  <c r="E10" i="21"/>
  <c r="F18" i="21"/>
  <c r="E18" i="21"/>
  <c r="G29" i="21"/>
  <c r="G518" i="5" s="1"/>
  <c r="G17" i="21"/>
  <c r="J25" i="21"/>
  <c r="J13" i="21"/>
  <c r="J15" i="21"/>
  <c r="J18" i="21"/>
  <c r="F16" i="21"/>
  <c r="I27" i="21"/>
  <c r="I9" i="21"/>
  <c r="G27" i="21"/>
  <c r="G516" i="5" s="1"/>
  <c r="J17" i="21"/>
  <c r="I29" i="21"/>
  <c r="I518" i="5" s="1"/>
  <c r="I17" i="21"/>
  <c r="D27" i="21"/>
  <c r="D516" i="5" s="1"/>
  <c r="D15" i="21"/>
  <c r="H28" i="21"/>
  <c r="H517" i="5" s="1"/>
  <c r="D10" i="20"/>
  <c r="J28" i="20"/>
  <c r="I23" i="20"/>
  <c r="D28" i="20"/>
  <c r="F26" i="20"/>
  <c r="E21" i="20"/>
  <c r="F23" i="20"/>
  <c r="E23" i="20"/>
  <c r="I20" i="20"/>
  <c r="E17" i="20"/>
  <c r="E18" i="20"/>
  <c r="E15" i="20"/>
  <c r="H29" i="20"/>
  <c r="H481" i="5" s="1"/>
  <c r="E24" i="20"/>
  <c r="I14" i="20"/>
  <c r="H26" i="20"/>
  <c r="E12" i="20"/>
  <c r="D18" i="20"/>
  <c r="D16" i="20"/>
  <c r="I11" i="20"/>
  <c r="H17" i="20"/>
  <c r="E9" i="20"/>
  <c r="H14" i="20"/>
  <c r="H10" i="20"/>
  <c r="E27" i="20"/>
  <c r="H11" i="20"/>
  <c r="D12" i="20"/>
  <c r="G26" i="20"/>
  <c r="J25" i="20"/>
  <c r="E11" i="20"/>
  <c r="G16" i="20"/>
  <c r="F25" i="20"/>
  <c r="D9" i="20"/>
  <c r="G23" i="20"/>
  <c r="J22" i="20"/>
  <c r="F13" i="20"/>
  <c r="F20" i="20"/>
  <c r="I24" i="20"/>
  <c r="G21" i="20"/>
  <c r="D27" i="20"/>
  <c r="D22" i="20"/>
  <c r="J19" i="20"/>
  <c r="I12" i="20"/>
  <c r="G17" i="20"/>
  <c r="F17" i="20"/>
  <c r="H18" i="20"/>
  <c r="H23" i="20"/>
  <c r="J16" i="20"/>
  <c r="H28" i="20"/>
  <c r="H480" i="5" s="1"/>
  <c r="H9" i="20"/>
  <c r="D21" i="20"/>
  <c r="G14" i="20"/>
  <c r="F14" i="20"/>
  <c r="D23" i="20"/>
  <c r="G12" i="20"/>
  <c r="H20" i="20"/>
  <c r="J13" i="20"/>
  <c r="H19" i="20"/>
  <c r="F21" i="20"/>
  <c r="F29" i="20"/>
  <c r="F481" i="5" s="1"/>
  <c r="F11" i="20"/>
  <c r="E29" i="20"/>
  <c r="E481" i="5" s="1"/>
  <c r="D14" i="20"/>
  <c r="F9" i="20"/>
  <c r="I22" i="20"/>
  <c r="I10" i="20"/>
  <c r="G13" i="20"/>
  <c r="J24" i="20"/>
  <c r="J12" i="20"/>
  <c r="E22" i="20"/>
  <c r="E10" i="20"/>
  <c r="J20" i="20"/>
  <c r="D26" i="20"/>
  <c r="D17" i="20"/>
  <c r="D25" i="20"/>
  <c r="I21" i="20"/>
  <c r="I9" i="20"/>
  <c r="J10" i="20"/>
  <c r="E20" i="20"/>
  <c r="H24" i="20"/>
  <c r="H25" i="20"/>
  <c r="H16" i="20"/>
  <c r="G28" i="20"/>
  <c r="G10" i="20"/>
  <c r="F22" i="20"/>
  <c r="F10" i="20"/>
  <c r="F18" i="20"/>
  <c r="I26" i="20"/>
  <c r="G29" i="20"/>
  <c r="G481" i="5" s="1"/>
  <c r="G20" i="20"/>
  <c r="G11" i="20"/>
  <c r="I19" i="20"/>
  <c r="J21" i="20"/>
  <c r="J9" i="20"/>
  <c r="E19" i="20"/>
  <c r="H21" i="20"/>
  <c r="G27" i="20"/>
  <c r="G479" i="5" s="1"/>
  <c r="G18" i="20"/>
  <c r="G9" i="20"/>
  <c r="J29" i="20"/>
  <c r="J481" i="5" s="1"/>
  <c r="J17" i="20"/>
  <c r="G25" i="20"/>
  <c r="H27" i="20"/>
  <c r="H479" i="5" s="1"/>
  <c r="I18" i="20"/>
  <c r="D19" i="20"/>
  <c r="F19" i="20"/>
  <c r="D13" i="20"/>
  <c r="F27" i="20"/>
  <c r="F479" i="5" s="1"/>
  <c r="F15" i="20"/>
  <c r="C1" i="20"/>
  <c r="C4" i="20"/>
  <c r="C3" i="20"/>
  <c r="C2" i="20"/>
  <c r="I28" i="20"/>
  <c r="I480" i="5" s="1"/>
  <c r="I16" i="20"/>
  <c r="H22" i="20"/>
  <c r="H13" i="20"/>
  <c r="G22" i="20"/>
  <c r="H15" i="20"/>
  <c r="J18" i="20"/>
  <c r="E28" i="20"/>
  <c r="E480" i="5" s="1"/>
  <c r="E16" i="20"/>
  <c r="J26" i="20"/>
  <c r="J478" i="5" s="1"/>
  <c r="J14" i="20"/>
  <c r="I27" i="20"/>
  <c r="I479" i="5" s="1"/>
  <c r="I15" i="20"/>
  <c r="G24" i="20"/>
  <c r="G15" i="20"/>
  <c r="E26" i="20"/>
  <c r="E14" i="20"/>
  <c r="G19" i="20"/>
  <c r="F28" i="20"/>
  <c r="F480" i="5" s="1"/>
  <c r="F16" i="20"/>
  <c r="F24" i="20"/>
  <c r="F12" i="20"/>
  <c r="I17" i="20"/>
  <c r="D24" i="20"/>
  <c r="D15" i="20"/>
  <c r="H12" i="20"/>
  <c r="I25" i="20"/>
  <c r="I13" i="20"/>
  <c r="D29" i="20"/>
  <c r="D481" i="5" s="1"/>
  <c r="D20" i="20"/>
  <c r="D11" i="20"/>
  <c r="J27" i="20"/>
  <c r="J479" i="5" s="1"/>
  <c r="J15" i="20"/>
  <c r="E25" i="20"/>
  <c r="E13" i="20"/>
  <c r="J23" i="20"/>
  <c r="J11" i="20"/>
  <c r="I9" i="19"/>
  <c r="J10" i="19"/>
  <c r="I28" i="19"/>
  <c r="I23" i="19"/>
  <c r="D13" i="19"/>
  <c r="E24" i="19"/>
  <c r="D9" i="19"/>
  <c r="E26" i="19"/>
  <c r="G23" i="19"/>
  <c r="I22" i="19"/>
  <c r="D10" i="19"/>
  <c r="F24" i="19"/>
  <c r="E21" i="19"/>
  <c r="F10" i="19"/>
  <c r="I16" i="19"/>
  <c r="J23" i="19"/>
  <c r="I20" i="19"/>
  <c r="E14" i="19"/>
  <c r="J20" i="19"/>
  <c r="E12" i="19"/>
  <c r="G17" i="19"/>
  <c r="I10" i="19"/>
  <c r="H25" i="19"/>
  <c r="G22" i="19"/>
  <c r="F18" i="19"/>
  <c r="I11" i="19"/>
  <c r="H13" i="19"/>
  <c r="F12" i="19"/>
  <c r="E9" i="19"/>
  <c r="H29" i="19"/>
  <c r="H444" i="5" s="1"/>
  <c r="G14" i="19"/>
  <c r="J28" i="19"/>
  <c r="I24" i="19"/>
  <c r="J11" i="19"/>
  <c r="J24" i="19"/>
  <c r="D27" i="19"/>
  <c r="F26" i="19"/>
  <c r="D25" i="19"/>
  <c r="I18" i="19"/>
  <c r="J27" i="19"/>
  <c r="E28" i="19"/>
  <c r="E25" i="19"/>
  <c r="D21" i="19"/>
  <c r="J22" i="19"/>
  <c r="G13" i="19"/>
  <c r="D19" i="19"/>
  <c r="I12" i="19"/>
  <c r="F22" i="19"/>
  <c r="E19" i="19"/>
  <c r="H20" i="19"/>
  <c r="F19" i="19"/>
  <c r="J16" i="19"/>
  <c r="J12" i="19"/>
  <c r="H18" i="19"/>
  <c r="F16" i="19"/>
  <c r="I15" i="19"/>
  <c r="H17" i="19"/>
  <c r="F14" i="19"/>
  <c r="E13" i="19"/>
  <c r="H15" i="19"/>
  <c r="G21" i="19"/>
  <c r="G12" i="19"/>
  <c r="F21" i="19"/>
  <c r="F9" i="19"/>
  <c r="D18" i="19"/>
  <c r="J25" i="19"/>
  <c r="J13" i="19"/>
  <c r="I25" i="19"/>
  <c r="I13" i="19"/>
  <c r="D26" i="19"/>
  <c r="D14" i="19"/>
  <c r="F23" i="19"/>
  <c r="F11" i="19"/>
  <c r="E23" i="19"/>
  <c r="E11" i="19"/>
  <c r="F13" i="19"/>
  <c r="D23" i="19"/>
  <c r="D11" i="19"/>
  <c r="D28" i="19"/>
  <c r="H9" i="19"/>
  <c r="G27" i="19"/>
  <c r="G18" i="19"/>
  <c r="G9" i="19"/>
  <c r="J29" i="19"/>
  <c r="J444" i="5" s="1"/>
  <c r="J17" i="19"/>
  <c r="E18" i="19"/>
  <c r="H26" i="19"/>
  <c r="H441" i="5" s="1"/>
  <c r="H14" i="19"/>
  <c r="J9" i="19"/>
  <c r="H22" i="19"/>
  <c r="H10" i="19"/>
  <c r="H27" i="19"/>
  <c r="H442" i="5" s="1"/>
  <c r="I29" i="19"/>
  <c r="I444" i="5" s="1"/>
  <c r="I17" i="19"/>
  <c r="F20" i="19"/>
  <c r="E20" i="19"/>
  <c r="I27" i="19"/>
  <c r="I442" i="5" s="1"/>
  <c r="G28" i="19"/>
  <c r="G19" i="19"/>
  <c r="G10" i="19"/>
  <c r="H24" i="19"/>
  <c r="F27" i="19"/>
  <c r="F15" i="19"/>
  <c r="D24" i="19"/>
  <c r="D12" i="19"/>
  <c r="J19" i="19"/>
  <c r="F25" i="19"/>
  <c r="I19" i="19"/>
  <c r="E22" i="19"/>
  <c r="D20" i="19"/>
  <c r="D22" i="19"/>
  <c r="J26" i="19"/>
  <c r="J441" i="5" s="1"/>
  <c r="J14" i="19"/>
  <c r="E27" i="19"/>
  <c r="E15" i="19"/>
  <c r="H23" i="19"/>
  <c r="H11" i="19"/>
  <c r="G29" i="19"/>
  <c r="G444" i="5" s="1"/>
  <c r="G20" i="19"/>
  <c r="G11" i="19"/>
  <c r="J18" i="19"/>
  <c r="E16" i="19"/>
  <c r="H19" i="19"/>
  <c r="H21" i="19"/>
  <c r="G24" i="19"/>
  <c r="G15" i="19"/>
  <c r="I26" i="19"/>
  <c r="I441" i="5" s="1"/>
  <c r="I14" i="19"/>
  <c r="F29" i="19"/>
  <c r="F444" i="5" s="1"/>
  <c r="F17" i="19"/>
  <c r="E29" i="19"/>
  <c r="E444" i="5" s="1"/>
  <c r="E17" i="19"/>
  <c r="E10" i="19"/>
  <c r="F28" i="19"/>
  <c r="F443" i="5" s="1"/>
  <c r="D29" i="19"/>
  <c r="D444" i="5" s="1"/>
  <c r="D17" i="19"/>
  <c r="J21" i="19"/>
  <c r="G25" i="19"/>
  <c r="G440" i="5" s="1"/>
  <c r="G16" i="19"/>
  <c r="C2" i="19"/>
  <c r="C1" i="19"/>
  <c r="C4" i="19"/>
  <c r="C3" i="19"/>
  <c r="H28" i="19"/>
  <c r="H443" i="5" s="1"/>
  <c r="H16" i="19"/>
  <c r="J15" i="19"/>
  <c r="I21" i="19"/>
  <c r="E25" i="18"/>
  <c r="C4" i="18"/>
  <c r="E11" i="18"/>
  <c r="D19" i="18"/>
  <c r="J24" i="18"/>
  <c r="F25" i="18"/>
  <c r="H24" i="18"/>
  <c r="E29" i="18"/>
  <c r="E407" i="5" s="1"/>
  <c r="F28" i="18"/>
  <c r="F406" i="5" s="1"/>
  <c r="I10" i="18"/>
  <c r="G28" i="18"/>
  <c r="G406" i="5" s="1"/>
  <c r="D27" i="18"/>
  <c r="H15" i="18"/>
  <c r="G18" i="18"/>
  <c r="F18" i="18"/>
  <c r="I14" i="18"/>
  <c r="F29" i="18"/>
  <c r="F407" i="5" s="1"/>
  <c r="G11" i="18"/>
  <c r="J16" i="18"/>
  <c r="H26" i="18"/>
  <c r="G26" i="18"/>
  <c r="D13" i="18"/>
  <c r="J17" i="18"/>
  <c r="E9" i="18"/>
  <c r="I28" i="18"/>
  <c r="I406" i="5" s="1"/>
  <c r="F11" i="18"/>
  <c r="D23" i="18"/>
  <c r="J25" i="18"/>
  <c r="H12" i="18"/>
  <c r="G15" i="18"/>
  <c r="J14" i="18"/>
  <c r="D25" i="18"/>
  <c r="J10" i="18"/>
  <c r="F23" i="18"/>
  <c r="F22" i="18"/>
  <c r="D10" i="18"/>
  <c r="F12" i="18"/>
  <c r="D21" i="18"/>
  <c r="I22" i="18"/>
  <c r="I24" i="18"/>
  <c r="J21" i="18"/>
  <c r="E22" i="18"/>
  <c r="J29" i="18"/>
  <c r="J407" i="5" s="1"/>
  <c r="H9" i="18"/>
  <c r="H20" i="18"/>
  <c r="J20" i="18"/>
  <c r="G20" i="18"/>
  <c r="J18" i="18"/>
  <c r="E19" i="18"/>
  <c r="F26" i="18"/>
  <c r="G9" i="18"/>
  <c r="D15" i="18"/>
  <c r="E28" i="18"/>
  <c r="E406" i="5" s="1"/>
  <c r="H18" i="18"/>
  <c r="E18" i="18"/>
  <c r="E24" i="18"/>
  <c r="D16" i="18"/>
  <c r="H23" i="18"/>
  <c r="J15" i="18"/>
  <c r="E16" i="18"/>
  <c r="I25" i="18"/>
  <c r="I29" i="18"/>
  <c r="I407" i="5" s="1"/>
  <c r="G29" i="18"/>
  <c r="G407" i="5" s="1"/>
  <c r="H14" i="18"/>
  <c r="G23" i="18"/>
  <c r="F27" i="18"/>
  <c r="I23" i="18"/>
  <c r="I17" i="18"/>
  <c r="J12" i="18"/>
  <c r="E13" i="18"/>
  <c r="D22" i="18"/>
  <c r="E26" i="18"/>
  <c r="D9" i="18"/>
  <c r="J22" i="18"/>
  <c r="I26" i="18"/>
  <c r="C1" i="18"/>
  <c r="J28" i="18"/>
  <c r="J406" i="5" s="1"/>
  <c r="G24" i="18"/>
  <c r="D12" i="18"/>
  <c r="E20" i="18"/>
  <c r="D20" i="18"/>
  <c r="F16" i="18"/>
  <c r="J23" i="18"/>
  <c r="H11" i="18"/>
  <c r="G17" i="18"/>
  <c r="F20" i="18"/>
  <c r="I19" i="18"/>
  <c r="H19" i="18"/>
  <c r="I9" i="18"/>
  <c r="C2" i="18"/>
  <c r="C3" i="18"/>
  <c r="H29" i="18"/>
  <c r="H407" i="5" s="1"/>
  <c r="F15" i="18"/>
  <c r="E15" i="18"/>
  <c r="J19" i="18"/>
  <c r="D17" i="18"/>
  <c r="E23" i="18"/>
  <c r="G14" i="18"/>
  <c r="E17" i="18"/>
  <c r="H16" i="18"/>
  <c r="H22" i="18"/>
  <c r="G16" i="18"/>
  <c r="G10" i="18"/>
  <c r="G13" i="18"/>
  <c r="G19" i="18"/>
  <c r="D29" i="18"/>
  <c r="D407" i="5" s="1"/>
  <c r="F17" i="18"/>
  <c r="I16" i="18"/>
  <c r="D14" i="18"/>
  <c r="F19" i="18"/>
  <c r="D28" i="18"/>
  <c r="D406" i="5" s="1"/>
  <c r="H13" i="18"/>
  <c r="I12" i="18"/>
  <c r="I21" i="18"/>
  <c r="J11" i="18"/>
  <c r="E21" i="18"/>
  <c r="E12" i="18"/>
  <c r="D18" i="18"/>
  <c r="H28" i="18"/>
  <c r="H406" i="5" s="1"/>
  <c r="I27" i="18"/>
  <c r="H27" i="18"/>
  <c r="E14" i="18"/>
  <c r="G27" i="18"/>
  <c r="D11" i="18"/>
  <c r="G21" i="18"/>
  <c r="G12" i="18"/>
  <c r="G22" i="18"/>
  <c r="I20" i="18"/>
  <c r="I11" i="18"/>
  <c r="H17" i="18"/>
  <c r="J27" i="18"/>
  <c r="F14" i="18"/>
  <c r="I13" i="18"/>
  <c r="J26" i="18"/>
  <c r="H10" i="18"/>
  <c r="I18" i="18"/>
  <c r="E27" i="18"/>
  <c r="F21" i="18"/>
  <c r="F9" i="18"/>
  <c r="F24" i="18"/>
  <c r="G25" i="18"/>
  <c r="J13" i="18"/>
  <c r="D24" i="18"/>
  <c r="F13" i="18"/>
  <c r="F10" i="18"/>
  <c r="B146" i="5"/>
  <c r="C13" i="9"/>
  <c r="K110" i="5"/>
  <c r="C110" i="5"/>
  <c r="B109" i="5"/>
  <c r="B72" i="5"/>
  <c r="C73" i="5"/>
  <c r="J27" i="17"/>
  <c r="C2" i="17"/>
  <c r="H27" i="17"/>
  <c r="H18" i="17"/>
  <c r="I27" i="17"/>
  <c r="H9" i="17"/>
  <c r="J20" i="17"/>
  <c r="I9" i="17"/>
  <c r="H29" i="17"/>
  <c r="H148" i="5" s="1"/>
  <c r="H17" i="17"/>
  <c r="F20" i="17"/>
  <c r="J9" i="17"/>
  <c r="E25" i="17"/>
  <c r="F21" i="17"/>
  <c r="F9" i="17"/>
  <c r="I29" i="17"/>
  <c r="I148" i="5" s="1"/>
  <c r="J19" i="17"/>
  <c r="F22" i="17"/>
  <c r="E28" i="17"/>
  <c r="E27" i="17"/>
  <c r="D15" i="17"/>
  <c r="E22" i="17"/>
  <c r="D25" i="17"/>
  <c r="D16" i="17"/>
  <c r="G24" i="17"/>
  <c r="G15" i="17"/>
  <c r="C1" i="17"/>
  <c r="H26" i="17"/>
  <c r="H14" i="17"/>
  <c r="F29" i="17"/>
  <c r="F148" i="5" s="1"/>
  <c r="J18" i="17"/>
  <c r="I26" i="17"/>
  <c r="D27" i="17"/>
  <c r="F25" i="17"/>
  <c r="I21" i="17"/>
  <c r="H24" i="17"/>
  <c r="H15" i="17"/>
  <c r="F18" i="17"/>
  <c r="J28" i="17"/>
  <c r="F28" i="17"/>
  <c r="F147" i="5" s="1"/>
  <c r="E19" i="17"/>
  <c r="J29" i="17"/>
  <c r="J148" i="5" s="1"/>
  <c r="J17" i="17"/>
  <c r="D24" i="17"/>
  <c r="D12" i="17"/>
  <c r="F10" i="17"/>
  <c r="J21" i="17"/>
  <c r="I18" i="17"/>
  <c r="H23" i="17"/>
  <c r="H11" i="17"/>
  <c r="F26" i="17"/>
  <c r="J15" i="17"/>
  <c r="E16" i="17"/>
  <c r="D22" i="17"/>
  <c r="D13" i="17"/>
  <c r="G21" i="17"/>
  <c r="G12" i="17"/>
  <c r="F27" i="17"/>
  <c r="F146" i="5" s="1"/>
  <c r="F15" i="17"/>
  <c r="J25" i="17"/>
  <c r="J24" i="17"/>
  <c r="F13" i="17"/>
  <c r="I15" i="17"/>
  <c r="H21" i="17"/>
  <c r="H12" i="17"/>
  <c r="J26" i="17"/>
  <c r="J14" i="17"/>
  <c r="D21" i="17"/>
  <c r="D9" i="17"/>
  <c r="I24" i="17"/>
  <c r="E13" i="17"/>
  <c r="H20" i="17"/>
  <c r="I13" i="17"/>
  <c r="G13" i="17"/>
  <c r="G28" i="17"/>
  <c r="G29" i="17"/>
  <c r="G148" i="5" s="1"/>
  <c r="G23" i="17"/>
  <c r="G17" i="17"/>
  <c r="G14" i="17"/>
  <c r="E24" i="17"/>
  <c r="I23" i="17"/>
  <c r="E21" i="17"/>
  <c r="I20" i="17"/>
  <c r="E18" i="17"/>
  <c r="I17" i="17"/>
  <c r="E15" i="17"/>
  <c r="I14" i="17"/>
  <c r="E12" i="17"/>
  <c r="I11" i="17"/>
  <c r="E9" i="17"/>
  <c r="G22" i="17"/>
  <c r="G26" i="17"/>
  <c r="G20" i="17"/>
  <c r="G11" i="17"/>
  <c r="F17" i="17"/>
  <c r="J16" i="17"/>
  <c r="F14" i="17"/>
  <c r="J13" i="17"/>
  <c r="F11" i="17"/>
  <c r="J10" i="17"/>
  <c r="E29" i="17"/>
  <c r="E148" i="5" s="1"/>
  <c r="I28" i="17"/>
  <c r="I147" i="5" s="1"/>
  <c r="E26" i="17"/>
  <c r="I25" i="17"/>
  <c r="E23" i="17"/>
  <c r="I22" i="17"/>
  <c r="E20" i="17"/>
  <c r="I19" i="17"/>
  <c r="E17" i="17"/>
  <c r="I16" i="17"/>
  <c r="E14" i="17"/>
  <c r="E11" i="17"/>
  <c r="I10" i="17"/>
  <c r="G19" i="17"/>
  <c r="D29" i="17"/>
  <c r="D148" i="5" s="1"/>
  <c r="H28" i="17"/>
  <c r="H147" i="5" s="1"/>
  <c r="D26" i="17"/>
  <c r="H25" i="17"/>
  <c r="D23" i="17"/>
  <c r="H22" i="17"/>
  <c r="D20" i="17"/>
  <c r="H19" i="17"/>
  <c r="D17" i="17"/>
  <c r="H16" i="17"/>
  <c r="D14" i="17"/>
  <c r="H13" i="17"/>
  <c r="D11" i="17"/>
  <c r="H10" i="17"/>
  <c r="G25" i="17"/>
  <c r="G16" i="17"/>
  <c r="G10" i="17"/>
  <c r="F23" i="17"/>
  <c r="I12" i="17"/>
  <c r="C3" i="17"/>
  <c r="C4" i="17"/>
  <c r="F24" i="17"/>
  <c r="F12" i="17"/>
  <c r="J22" i="17"/>
  <c r="F19" i="17"/>
  <c r="E10" i="17"/>
  <c r="D28" i="17"/>
  <c r="D147" i="5" s="1"/>
  <c r="D19" i="17"/>
  <c r="D10" i="17"/>
  <c r="G27" i="17"/>
  <c r="G146" i="5" s="1"/>
  <c r="G18" i="17"/>
  <c r="G9" i="17"/>
  <c r="J23" i="17"/>
  <c r="J11" i="17"/>
  <c r="D18" i="17"/>
  <c r="F16" i="17"/>
  <c r="J12" i="17"/>
  <c r="E25" i="16"/>
  <c r="E12" i="16"/>
  <c r="H23" i="16"/>
  <c r="H11" i="16"/>
  <c r="I24" i="16"/>
  <c r="F27" i="16"/>
  <c r="F15" i="16"/>
  <c r="H25" i="16"/>
  <c r="G23" i="16"/>
  <c r="E23" i="16"/>
  <c r="H16" i="16"/>
  <c r="E22" i="16"/>
  <c r="J26" i="16"/>
  <c r="I20" i="16"/>
  <c r="F20" i="16"/>
  <c r="I21" i="16"/>
  <c r="E19" i="16"/>
  <c r="E20" i="16"/>
  <c r="D21" i="16"/>
  <c r="D9" i="16"/>
  <c r="C2" i="16"/>
  <c r="C1" i="16"/>
  <c r="C4" i="16"/>
  <c r="C3" i="16"/>
  <c r="J19" i="16"/>
  <c r="E17" i="16"/>
  <c r="E16" i="16"/>
  <c r="F24" i="16"/>
  <c r="F12" i="16"/>
  <c r="H20" i="16"/>
  <c r="F28" i="16"/>
  <c r="D28" i="16"/>
  <c r="H27" i="16"/>
  <c r="D25" i="16"/>
  <c r="H24" i="16"/>
  <c r="D22" i="16"/>
  <c r="H21" i="16"/>
  <c r="D19" i="16"/>
  <c r="H18" i="16"/>
  <c r="D16" i="16"/>
  <c r="H15" i="16"/>
  <c r="D13" i="16"/>
  <c r="H12" i="16"/>
  <c r="D10" i="16"/>
  <c r="H9" i="16"/>
  <c r="J9" i="16"/>
  <c r="F19" i="16"/>
  <c r="I16" i="16"/>
  <c r="G10" i="16"/>
  <c r="J18" i="16"/>
  <c r="F13" i="16"/>
  <c r="J27" i="16"/>
  <c r="F16" i="16"/>
  <c r="I19" i="16"/>
  <c r="F25" i="16"/>
  <c r="J12" i="16"/>
  <c r="G25" i="16"/>
  <c r="G13" i="16"/>
  <c r="J24" i="16"/>
  <c r="I28" i="16"/>
  <c r="I25" i="16"/>
  <c r="I22" i="16"/>
  <c r="I13" i="16"/>
  <c r="I10" i="16"/>
  <c r="G16" i="16"/>
  <c r="F22" i="16"/>
  <c r="J15" i="16"/>
  <c r="F10" i="16"/>
  <c r="G28" i="16"/>
  <c r="G22" i="16"/>
  <c r="G19" i="16"/>
  <c r="J21" i="16"/>
  <c r="G20" i="16"/>
  <c r="E14" i="16"/>
  <c r="D23" i="16"/>
  <c r="D14" i="16"/>
  <c r="I12" i="16"/>
  <c r="E13" i="16"/>
  <c r="J23" i="16"/>
  <c r="J11" i="16"/>
  <c r="E27" i="16"/>
  <c r="E18" i="16"/>
  <c r="E9" i="16"/>
  <c r="F29" i="16"/>
  <c r="F111" i="5" s="1"/>
  <c r="F17" i="16"/>
  <c r="H22" i="16"/>
  <c r="H13" i="16"/>
  <c r="I18" i="16"/>
  <c r="E10" i="16"/>
  <c r="I26" i="16"/>
  <c r="I17" i="16"/>
  <c r="D18" i="16"/>
  <c r="J28" i="16"/>
  <c r="J16" i="16"/>
  <c r="E11" i="16"/>
  <c r="G27" i="16"/>
  <c r="G15" i="16"/>
  <c r="F21" i="16"/>
  <c r="F9" i="16"/>
  <c r="H29" i="16"/>
  <c r="H111" i="5" s="1"/>
  <c r="H17" i="16"/>
  <c r="G29" i="16"/>
  <c r="G111" i="5" s="1"/>
  <c r="G17" i="16"/>
  <c r="I27" i="16"/>
  <c r="I11" i="16"/>
  <c r="J20" i="16"/>
  <c r="F26" i="16"/>
  <c r="F14" i="16"/>
  <c r="D29" i="16"/>
  <c r="D111" i="5" s="1"/>
  <c r="D20" i="16"/>
  <c r="D11" i="16"/>
  <c r="I15" i="16"/>
  <c r="J14" i="16"/>
  <c r="I29" i="16"/>
  <c r="I111" i="5" s="1"/>
  <c r="E24" i="16"/>
  <c r="E15" i="16"/>
  <c r="D27" i="16"/>
  <c r="D15" i="16"/>
  <c r="J25" i="16"/>
  <c r="J13" i="16"/>
  <c r="E29" i="16"/>
  <c r="E111" i="5" s="1"/>
  <c r="H28" i="16"/>
  <c r="H110" i="5" s="1"/>
  <c r="H19" i="16"/>
  <c r="H10" i="16"/>
  <c r="I9" i="16"/>
  <c r="G24" i="16"/>
  <c r="G12" i="16"/>
  <c r="F18" i="16"/>
  <c r="I23" i="16"/>
  <c r="I14" i="16"/>
  <c r="H26" i="16"/>
  <c r="H14" i="16"/>
  <c r="G26" i="16"/>
  <c r="G14" i="16"/>
  <c r="J29" i="16"/>
  <c r="J111" i="5" s="1"/>
  <c r="F23" i="16"/>
  <c r="F11" i="16"/>
  <c r="E26" i="16"/>
  <c r="E28" i="16"/>
  <c r="E110" i="5" s="1"/>
  <c r="D24" i="16"/>
  <c r="D12" i="16"/>
  <c r="J22" i="16"/>
  <c r="J10" i="16"/>
  <c r="D26" i="16"/>
  <c r="D17" i="16"/>
  <c r="I29" i="15"/>
  <c r="J20" i="15"/>
  <c r="F18" i="15"/>
  <c r="I10" i="15"/>
  <c r="J11" i="15"/>
  <c r="D21" i="15"/>
  <c r="F9" i="15"/>
  <c r="H20" i="15"/>
  <c r="E24" i="15"/>
  <c r="F10" i="15"/>
  <c r="E28" i="15"/>
  <c r="H18" i="15"/>
  <c r="J26" i="15"/>
  <c r="J28" i="15"/>
  <c r="J73" i="5" s="1"/>
  <c r="D23" i="15"/>
  <c r="J25" i="15"/>
  <c r="D14" i="15"/>
  <c r="J16" i="15"/>
  <c r="J13" i="15"/>
  <c r="D12" i="15"/>
  <c r="D9" i="15"/>
  <c r="I28" i="15"/>
  <c r="I72" i="5" s="1"/>
  <c r="G28" i="15"/>
  <c r="F24" i="15"/>
  <c r="E23" i="15"/>
  <c r="J27" i="15"/>
  <c r="F16" i="15"/>
  <c r="E13" i="15"/>
  <c r="D28" i="15"/>
  <c r="D10" i="15"/>
  <c r="G24" i="15"/>
  <c r="F21" i="15"/>
  <c r="I23" i="15"/>
  <c r="H23" i="15"/>
  <c r="H11" i="15"/>
  <c r="G26" i="15"/>
  <c r="G14" i="15"/>
  <c r="E26" i="15"/>
  <c r="H22" i="15"/>
  <c r="H13" i="15"/>
  <c r="G25" i="15"/>
  <c r="J9" i="15"/>
  <c r="F26" i="15"/>
  <c r="F14" i="15"/>
  <c r="G9" i="15"/>
  <c r="G15" i="15"/>
  <c r="G12" i="15"/>
  <c r="E21" i="15"/>
  <c r="I20" i="15"/>
  <c r="E18" i="15"/>
  <c r="I17" i="15"/>
  <c r="E15" i="15"/>
  <c r="I14" i="15"/>
  <c r="E12" i="15"/>
  <c r="I11" i="15"/>
  <c r="E9" i="15"/>
  <c r="G10" i="15"/>
  <c r="G13" i="15"/>
  <c r="G22" i="15"/>
  <c r="G19" i="15"/>
  <c r="G16" i="15"/>
  <c r="G23" i="15"/>
  <c r="G11" i="15"/>
  <c r="I22" i="15"/>
  <c r="D29" i="15"/>
  <c r="D20" i="15"/>
  <c r="D11" i="15"/>
  <c r="J12" i="15"/>
  <c r="F28" i="15"/>
  <c r="F23" i="15"/>
  <c r="F11" i="15"/>
  <c r="E20" i="15"/>
  <c r="H28" i="15"/>
  <c r="H19" i="15"/>
  <c r="H10" i="15"/>
  <c r="J15" i="15"/>
  <c r="H21" i="15"/>
  <c r="J14" i="15"/>
  <c r="D18" i="15"/>
  <c r="C2" i="15"/>
  <c r="C1" i="15"/>
  <c r="C3" i="15"/>
  <c r="C4" i="15"/>
  <c r="J22" i="15"/>
  <c r="J10" i="15"/>
  <c r="I19" i="15"/>
  <c r="J21" i="15"/>
  <c r="E22" i="15"/>
  <c r="D19" i="15"/>
  <c r="F12" i="15"/>
  <c r="H29" i="15"/>
  <c r="H17" i="15"/>
  <c r="G20" i="15"/>
  <c r="E17" i="15"/>
  <c r="J18" i="15"/>
  <c r="F20" i="15"/>
  <c r="I16" i="15"/>
  <c r="D26" i="15"/>
  <c r="D17" i="15"/>
  <c r="J19" i="15"/>
  <c r="E14" i="15"/>
  <c r="H25" i="15"/>
  <c r="H16" i="15"/>
  <c r="H26" i="15"/>
  <c r="H14" i="15"/>
  <c r="G29" i="15"/>
  <c r="G17" i="15"/>
  <c r="I13" i="15"/>
  <c r="J24" i="15"/>
  <c r="F29" i="15"/>
  <c r="F17" i="15"/>
  <c r="E29" i="15"/>
  <c r="E11" i="15"/>
  <c r="D10" i="12"/>
  <c r="D12" i="12"/>
  <c r="C11" i="8"/>
  <c r="C12" i="8"/>
  <c r="D9" i="12"/>
  <c r="D15" i="11"/>
  <c r="C13" i="6"/>
  <c r="C13" i="7"/>
  <c r="D13" i="11"/>
  <c r="D11" i="11"/>
  <c r="C11" i="7"/>
  <c r="D12" i="11"/>
  <c r="C9" i="6"/>
  <c r="C10" i="6"/>
  <c r="G51" i="4"/>
  <c r="C10" i="9"/>
  <c r="C10" i="8"/>
  <c r="C4" i="8" s="1"/>
  <c r="B3" i="8"/>
  <c r="C11" i="9"/>
  <c r="C9" i="9"/>
  <c r="J51" i="4"/>
  <c r="B1" i="6"/>
  <c r="C12" i="6"/>
  <c r="D51" i="4"/>
  <c r="C11" i="6"/>
  <c r="B4" i="7"/>
  <c r="G57" i="4"/>
  <c r="B4" i="8"/>
  <c r="B2" i="8"/>
  <c r="C12" i="9"/>
  <c r="C9" i="7"/>
  <c r="C9" i="11"/>
  <c r="D9" i="11" s="1"/>
  <c r="B2" i="7"/>
  <c r="B2" i="9"/>
  <c r="B1" i="9"/>
  <c r="B3" i="7"/>
  <c r="B4" i="9"/>
  <c r="B3" i="9"/>
  <c r="C10" i="7"/>
  <c r="C12" i="7"/>
  <c r="Q57" i="4"/>
  <c r="D50" i="4"/>
  <c r="N50" i="4"/>
  <c r="H57" i="4"/>
  <c r="E57" i="4"/>
  <c r="B1" i="8"/>
  <c r="F57" i="4"/>
  <c r="B1" i="7"/>
  <c r="K58" i="4"/>
  <c r="H54" i="4"/>
  <c r="D54" i="4"/>
  <c r="E52" i="4"/>
  <c r="H51" i="4"/>
  <c r="I52" i="4"/>
  <c r="L53" i="4"/>
  <c r="F53" i="4"/>
  <c r="I51" i="4"/>
  <c r="Q51" i="4"/>
  <c r="E51" i="4"/>
  <c r="O53" i="4"/>
  <c r="F51" i="4"/>
  <c r="O51" i="4"/>
  <c r="N51" i="4"/>
  <c r="M51" i="4"/>
  <c r="G52" i="4"/>
  <c r="J53" i="4"/>
  <c r="L51" i="4"/>
  <c r="Q52" i="4"/>
  <c r="P49" i="4"/>
  <c r="P52" i="4"/>
  <c r="O52" i="4"/>
  <c r="L50" i="4"/>
  <c r="G49" i="4"/>
  <c r="N52" i="4"/>
  <c r="H58" i="4"/>
  <c r="E49" i="4"/>
  <c r="D52" i="4"/>
  <c r="F52" i="4"/>
  <c r="H52" i="4"/>
  <c r="D49" i="4"/>
  <c r="G58" i="4"/>
  <c r="O50" i="4"/>
  <c r="O55" i="4"/>
  <c r="F58" i="4"/>
  <c r="G54" i="4"/>
  <c r="L54" i="4"/>
  <c r="K54" i="4"/>
  <c r="F56" i="4"/>
  <c r="H56" i="4"/>
  <c r="G56" i="4"/>
  <c r="F54" i="4"/>
  <c r="P55" i="4"/>
  <c r="E56" i="4"/>
  <c r="I54" i="4"/>
  <c r="N56" i="4"/>
  <c r="E54" i="4"/>
  <c r="O56" i="4"/>
  <c r="J58" i="4"/>
  <c r="J57" i="4"/>
  <c r="Q58" i="4"/>
  <c r="Q59" i="4"/>
  <c r="J54" i="4"/>
  <c r="I58" i="4"/>
  <c r="I57" i="4"/>
  <c r="E48" i="4"/>
  <c r="M55" i="4"/>
  <c r="P58" i="4"/>
  <c r="D58" i="4"/>
  <c r="H49" i="4"/>
  <c r="I49" i="4"/>
  <c r="J52" i="4"/>
  <c r="N58" i="4"/>
  <c r="O54" i="4"/>
  <c r="L52" i="4"/>
  <c r="I59" i="4"/>
  <c r="J56" i="4"/>
  <c r="Q54" i="4"/>
  <c r="O58" i="4"/>
  <c r="P54" i="4"/>
  <c r="M52" i="4"/>
  <c r="O49" i="4"/>
  <c r="D57" i="4"/>
  <c r="E59" i="4"/>
  <c r="M58" i="4"/>
  <c r="N54" i="4"/>
  <c r="K52" i="4"/>
  <c r="K60" i="4"/>
  <c r="D56" i="4"/>
  <c r="E58" i="4"/>
  <c r="L58" i="4"/>
  <c r="D53" i="4"/>
  <c r="E60" i="4"/>
  <c r="F55" i="4"/>
  <c r="H53" i="4"/>
  <c r="I60" i="4"/>
  <c r="I48" i="4"/>
  <c r="J55" i="4"/>
  <c r="Q56" i="4"/>
  <c r="L55" i="4"/>
  <c r="N53" i="4"/>
  <c r="P51" i="4"/>
  <c r="K50" i="4"/>
  <c r="P56" i="4"/>
  <c r="K55" i="4"/>
  <c r="M53" i="4"/>
  <c r="Q49" i="4"/>
  <c r="K53" i="4"/>
  <c r="M56" i="4"/>
  <c r="E55" i="4"/>
  <c r="F50" i="4"/>
  <c r="G55" i="4"/>
  <c r="I55" i="4"/>
  <c r="J50" i="4"/>
  <c r="L56" i="4"/>
  <c r="M49" i="4"/>
  <c r="F49" i="4"/>
  <c r="J49" i="4"/>
  <c r="K56" i="4"/>
  <c r="Q50" i="4"/>
  <c r="L49" i="4"/>
  <c r="I56" i="4"/>
  <c r="N49" i="4"/>
  <c r="E53" i="4"/>
  <c r="G53" i="4"/>
  <c r="I53" i="4"/>
  <c r="Q55" i="4"/>
  <c r="P50" i="4"/>
  <c r="Q53" i="4"/>
  <c r="D55" i="4"/>
  <c r="E50" i="4"/>
  <c r="G50" i="4"/>
  <c r="H55" i="4"/>
  <c r="I50" i="4"/>
  <c r="N55" i="4"/>
  <c r="B2" i="6"/>
  <c r="B3" i="6"/>
  <c r="B4" i="6"/>
  <c r="C37" i="5"/>
  <c r="P59" i="4"/>
  <c r="K48" i="4"/>
  <c r="D59" i="4"/>
  <c r="H59" i="4"/>
  <c r="N59" i="4"/>
  <c r="P57" i="4"/>
  <c r="M59" i="4"/>
  <c r="O57" i="4"/>
  <c r="O59" i="4"/>
  <c r="G60" i="4"/>
  <c r="G48" i="4"/>
  <c r="Q60" i="4"/>
  <c r="L59" i="4"/>
  <c r="N57" i="4"/>
  <c r="Q48" i="4"/>
  <c r="D48" i="4"/>
  <c r="G59" i="4"/>
  <c r="P60" i="4"/>
  <c r="K59" i="4"/>
  <c r="M57" i="4"/>
  <c r="P48" i="4"/>
  <c r="O60" i="4"/>
  <c r="L57" i="4"/>
  <c r="O48" i="4"/>
  <c r="F60" i="4"/>
  <c r="F48" i="4"/>
  <c r="J60" i="4"/>
  <c r="J48" i="4"/>
  <c r="N60" i="4"/>
  <c r="N48" i="4"/>
  <c r="H48" i="4"/>
  <c r="F59" i="4"/>
  <c r="J59" i="4"/>
  <c r="M60" i="4"/>
  <c r="M48" i="4"/>
  <c r="D60" i="4"/>
  <c r="H60" i="4"/>
  <c r="G1" i="3"/>
  <c r="G2" i="3"/>
  <c r="G3" i="3"/>
  <c r="B9" i="4"/>
  <c r="C9" i="4" s="1"/>
  <c r="G4" i="3"/>
  <c r="B36" i="5"/>
  <c r="J110" i="5" l="1"/>
  <c r="G110" i="5"/>
  <c r="I110" i="5"/>
  <c r="D110" i="5"/>
  <c r="F110" i="5"/>
  <c r="G147" i="5"/>
  <c r="J147" i="5"/>
  <c r="D146" i="5"/>
  <c r="E146" i="5"/>
  <c r="E147" i="5"/>
  <c r="I146" i="5"/>
  <c r="H146" i="5"/>
  <c r="J146" i="5"/>
  <c r="E442" i="5"/>
  <c r="F440" i="5"/>
  <c r="F442" i="5"/>
  <c r="G443" i="5"/>
  <c r="G442" i="5"/>
  <c r="D443" i="5"/>
  <c r="D441" i="5"/>
  <c r="I440" i="5"/>
  <c r="J440" i="5"/>
  <c r="E440" i="5"/>
  <c r="E443" i="5"/>
  <c r="J442" i="5"/>
  <c r="F441" i="5"/>
  <c r="D442" i="5"/>
  <c r="J443" i="5"/>
  <c r="H440" i="5"/>
  <c r="E441" i="5"/>
  <c r="I443" i="5"/>
  <c r="G480" i="5"/>
  <c r="D478" i="5"/>
  <c r="D479" i="5"/>
  <c r="E479" i="5"/>
  <c r="D480" i="5"/>
  <c r="J480" i="5"/>
  <c r="I516" i="5"/>
  <c r="G517" i="5"/>
  <c r="I517" i="5"/>
  <c r="E516" i="5"/>
  <c r="J516" i="5"/>
  <c r="H516" i="5"/>
  <c r="D517" i="5"/>
  <c r="F516" i="5"/>
  <c r="D552" i="5"/>
  <c r="F553" i="5"/>
  <c r="J553" i="5"/>
  <c r="E553" i="5"/>
  <c r="D553" i="5"/>
  <c r="D554" i="5"/>
  <c r="E552" i="5"/>
  <c r="E554" i="5"/>
  <c r="F554" i="5"/>
  <c r="G441" i="5"/>
  <c r="C146" i="5"/>
  <c r="K146" i="5"/>
  <c r="C2" i="8"/>
  <c r="P42" i="19"/>
  <c r="L37" i="19"/>
  <c r="K35" i="19"/>
  <c r="N42" i="19"/>
  <c r="N38" i="19"/>
  <c r="P30" i="19"/>
  <c r="L46" i="19"/>
  <c r="M38" i="19"/>
  <c r="M30" i="19"/>
  <c r="N41" i="19"/>
  <c r="K38" i="19"/>
  <c r="L30" i="19"/>
  <c r="O46" i="19"/>
  <c r="K41" i="19"/>
  <c r="P36" i="19"/>
  <c r="Q34" i="19"/>
  <c r="N44" i="19"/>
  <c r="Q41" i="19"/>
  <c r="O34" i="19"/>
  <c r="K44" i="19"/>
  <c r="L40" i="19"/>
  <c r="M32" i="19"/>
  <c r="Q44" i="19"/>
  <c r="Q38" i="19"/>
  <c r="L32" i="19"/>
  <c r="O40" i="19"/>
  <c r="Q37" i="19"/>
  <c r="N36" i="19"/>
  <c r="P39" i="19"/>
  <c r="O37" i="19"/>
  <c r="Q35" i="19"/>
  <c r="O43" i="19"/>
  <c r="N39" i="19"/>
  <c r="N37" i="19"/>
  <c r="N35" i="19"/>
  <c r="Q30" i="19"/>
  <c r="P45" i="19"/>
  <c r="O45" i="19"/>
  <c r="L33" i="19"/>
  <c r="O41" i="19"/>
  <c r="L34" i="19"/>
  <c r="P33" i="19"/>
  <c r="K30" i="19"/>
  <c r="L45" i="19"/>
  <c r="K33" i="19"/>
  <c r="O30" i="19"/>
  <c r="M41" i="19"/>
  <c r="M42" i="19"/>
  <c r="M40" i="19"/>
  <c r="P46" i="19"/>
  <c r="Q42" i="19"/>
  <c r="K45" i="19"/>
  <c r="P34" i="19"/>
  <c r="K31" i="19"/>
  <c r="L41" i="19"/>
  <c r="K40" i="19"/>
  <c r="Q43" i="19"/>
  <c r="O32" i="19"/>
  <c r="M36" i="19"/>
  <c r="M35" i="19"/>
  <c r="M45" i="19"/>
  <c r="P32" i="19"/>
  <c r="O42" i="19"/>
  <c r="M37" i="19"/>
  <c r="P43" i="19"/>
  <c r="L42" i="19"/>
  <c r="N40" i="19"/>
  <c r="L31" i="19"/>
  <c r="P44" i="19"/>
  <c r="K37" i="19"/>
  <c r="N31" i="19"/>
  <c r="Q40" i="19"/>
  <c r="P35" i="19"/>
  <c r="Q39" i="19"/>
  <c r="K42" i="19"/>
  <c r="N32" i="19"/>
  <c r="N34" i="19"/>
  <c r="N30" i="19"/>
  <c r="N43" i="19"/>
  <c r="P38" i="19"/>
  <c r="O44" i="19"/>
  <c r="Q36" i="19"/>
  <c r="P40" i="19"/>
  <c r="M46" i="19"/>
  <c r="Q31" i="19"/>
  <c r="M33" i="19"/>
  <c r="O35" i="19"/>
  <c r="O39" i="19"/>
  <c r="M44" i="19"/>
  <c r="P37" i="19"/>
  <c r="K46" i="19"/>
  <c r="L43" i="19"/>
  <c r="L35" i="19"/>
  <c r="L39" i="19"/>
  <c r="Q32" i="19"/>
  <c r="N46" i="19"/>
  <c r="O38" i="19"/>
  <c r="L44" i="19"/>
  <c r="O36" i="19"/>
  <c r="Q46" i="19"/>
  <c r="L38" i="19"/>
  <c r="M39" i="19"/>
  <c r="M34" i="19"/>
  <c r="K34" i="19"/>
  <c r="O31" i="19"/>
  <c r="K32" i="19"/>
  <c r="P41" i="19"/>
  <c r="M43" i="19"/>
  <c r="Q33" i="19"/>
  <c r="K43" i="19"/>
  <c r="P31" i="19"/>
  <c r="O33" i="19"/>
  <c r="N45" i="19"/>
  <c r="K39" i="19"/>
  <c r="N33" i="19"/>
  <c r="M31" i="19"/>
  <c r="Q45" i="19"/>
  <c r="L36" i="19"/>
  <c r="K36" i="19"/>
  <c r="O40" i="20"/>
  <c r="K39" i="20"/>
  <c r="O37" i="20"/>
  <c r="M32" i="20"/>
  <c r="Q45" i="20"/>
  <c r="N40" i="20"/>
  <c r="L32" i="20"/>
  <c r="O45" i="20"/>
  <c r="M40" i="20"/>
  <c r="Q44" i="20"/>
  <c r="L40" i="20"/>
  <c r="P36" i="20"/>
  <c r="K40" i="20"/>
  <c r="N43" i="20"/>
  <c r="Q41" i="20"/>
  <c r="O46" i="20"/>
  <c r="O41" i="20"/>
  <c r="N39" i="20"/>
  <c r="Q35" i="20"/>
  <c r="N46" i="20"/>
  <c r="K41" i="20"/>
  <c r="M46" i="20"/>
  <c r="Q39" i="20"/>
  <c r="Q32" i="20"/>
  <c r="K46" i="20"/>
  <c r="P39" i="20"/>
  <c r="Q38" i="20"/>
  <c r="O34" i="20"/>
  <c r="O39" i="20"/>
  <c r="P32" i="20"/>
  <c r="N41" i="20"/>
  <c r="M39" i="20"/>
  <c r="O32" i="20"/>
  <c r="Q30" i="20"/>
  <c r="Q46" i="20"/>
  <c r="K30" i="20"/>
  <c r="L41" i="20"/>
  <c r="L30" i="20"/>
  <c r="M30" i="20"/>
  <c r="P38" i="20"/>
  <c r="P34" i="20"/>
  <c r="N44" i="20"/>
  <c r="K36" i="20"/>
  <c r="O31" i="20"/>
  <c r="P46" i="20"/>
  <c r="K37" i="20"/>
  <c r="Q43" i="20"/>
  <c r="N33" i="20"/>
  <c r="O33" i="20"/>
  <c r="Q33" i="20"/>
  <c r="M38" i="20"/>
  <c r="M45" i="20"/>
  <c r="N31" i="20"/>
  <c r="K32" i="20"/>
  <c r="K38" i="20"/>
  <c r="M34" i="20"/>
  <c r="N34" i="20"/>
  <c r="P35" i="20"/>
  <c r="L38" i="20"/>
  <c r="Q37" i="20"/>
  <c r="P43" i="20"/>
  <c r="N35" i="20"/>
  <c r="O35" i="20"/>
  <c r="O42" i="20"/>
  <c r="Q42" i="20"/>
  <c r="L43" i="20"/>
  <c r="N32" i="20"/>
  <c r="N36" i="20"/>
  <c r="O36" i="20"/>
  <c r="Q40" i="20"/>
  <c r="P44" i="20"/>
  <c r="M35" i="20"/>
  <c r="P37" i="20"/>
  <c r="P42" i="20"/>
  <c r="M43" i="20"/>
  <c r="N45" i="20"/>
  <c r="O43" i="20"/>
  <c r="K45" i="20"/>
  <c r="M33" i="20"/>
  <c r="M37" i="20"/>
  <c r="N37" i="20"/>
  <c r="L35" i="20"/>
  <c r="P30" i="20"/>
  <c r="O44" i="20"/>
  <c r="M31" i="20"/>
  <c r="K43" i="20"/>
  <c r="L34" i="20"/>
  <c r="O38" i="20"/>
  <c r="P40" i="20"/>
  <c r="M44" i="20"/>
  <c r="L36" i="20"/>
  <c r="O30" i="20"/>
  <c r="K44" i="20"/>
  <c r="L31" i="20"/>
  <c r="K35" i="20"/>
  <c r="L44" i="20"/>
  <c r="K31" i="20"/>
  <c r="K42" i="20"/>
  <c r="N42" i="20"/>
  <c r="Q31" i="20"/>
  <c r="M36" i="20"/>
  <c r="P41" i="20"/>
  <c r="N30" i="20"/>
  <c r="L39" i="20"/>
  <c r="P45" i="20"/>
  <c r="L33" i="20"/>
  <c r="M41" i="20"/>
  <c r="Q34" i="20"/>
  <c r="Q36" i="20"/>
  <c r="K33" i="20"/>
  <c r="P31" i="20"/>
  <c r="P33" i="20"/>
  <c r="K34" i="20"/>
  <c r="L37" i="20"/>
  <c r="L42" i="20"/>
  <c r="M42" i="20"/>
  <c r="N38" i="20"/>
  <c r="L46" i="20"/>
  <c r="L45" i="20"/>
  <c r="M39" i="18"/>
  <c r="O36" i="18"/>
  <c r="K32" i="18"/>
  <c r="L39" i="18"/>
  <c r="N36" i="18"/>
  <c r="Q34" i="18"/>
  <c r="P45" i="18"/>
  <c r="Q40" i="18"/>
  <c r="M36" i="18"/>
  <c r="O34" i="18"/>
  <c r="Q44" i="18"/>
  <c r="O40" i="18"/>
  <c r="Q37" i="18"/>
  <c r="K36" i="18"/>
  <c r="N34" i="18"/>
  <c r="P44" i="18"/>
  <c r="N42" i="18"/>
  <c r="L40" i="18"/>
  <c r="O37" i="18"/>
  <c r="K34" i="18"/>
  <c r="O44" i="18"/>
  <c r="K40" i="18"/>
  <c r="N37" i="18"/>
  <c r="K44" i="18"/>
  <c r="P41" i="18"/>
  <c r="P38" i="18"/>
  <c r="L37" i="18"/>
  <c r="P35" i="18"/>
  <c r="O41" i="18"/>
  <c r="O38" i="18"/>
  <c r="O35" i="18"/>
  <c r="N41" i="18"/>
  <c r="N38" i="18"/>
  <c r="N35" i="18"/>
  <c r="Q32" i="18"/>
  <c r="K41" i="18"/>
  <c r="M38" i="18"/>
  <c r="K35" i="18"/>
  <c r="N32" i="18"/>
  <c r="P39" i="18"/>
  <c r="M32" i="18"/>
  <c r="N43" i="18"/>
  <c r="N39" i="18"/>
  <c r="P36" i="18"/>
  <c r="L32" i="18"/>
  <c r="K30" i="18"/>
  <c r="L43" i="18"/>
  <c r="P34" i="18"/>
  <c r="M40" i="18"/>
  <c r="L33" i="18"/>
  <c r="K37" i="18"/>
  <c r="Q42" i="18"/>
  <c r="M37" i="18"/>
  <c r="P40" i="18"/>
  <c r="O31" i="18"/>
  <c r="N46" i="18"/>
  <c r="K38" i="18"/>
  <c r="L45" i="18"/>
  <c r="P37" i="18"/>
  <c r="Q30" i="18"/>
  <c r="P31" i="18"/>
  <c r="K45" i="18"/>
  <c r="K39" i="18"/>
  <c r="Q43" i="18"/>
  <c r="M45" i="18"/>
  <c r="N40" i="18"/>
  <c r="N31" i="18"/>
  <c r="K46" i="18"/>
  <c r="L46" i="18"/>
  <c r="P42" i="18"/>
  <c r="L35" i="18"/>
  <c r="L30" i="18"/>
  <c r="K42" i="18"/>
  <c r="L41" i="18"/>
  <c r="K43" i="18"/>
  <c r="Q35" i="18"/>
  <c r="N30" i="18"/>
  <c r="L38" i="18"/>
  <c r="M41" i="18"/>
  <c r="O30" i="18"/>
  <c r="P30" i="18"/>
  <c r="O32" i="18"/>
  <c r="M44" i="18"/>
  <c r="Q33" i="18"/>
  <c r="P33" i="18"/>
  <c r="K31" i="18"/>
  <c r="Q38" i="18"/>
  <c r="Q41" i="18"/>
  <c r="L31" i="18"/>
  <c r="M31" i="18"/>
  <c r="P32" i="18"/>
  <c r="N45" i="18"/>
  <c r="N33" i="18"/>
  <c r="M42" i="18"/>
  <c r="K33" i="18"/>
  <c r="M46" i="18"/>
  <c r="M30" i="18"/>
  <c r="L44" i="18"/>
  <c r="Q39" i="18"/>
  <c r="M43" i="18"/>
  <c r="M33" i="18"/>
  <c r="O46" i="18"/>
  <c r="Q46" i="18"/>
  <c r="L42" i="18"/>
  <c r="O33" i="18"/>
  <c r="P46" i="18"/>
  <c r="N44" i="18"/>
  <c r="Q36" i="18"/>
  <c r="P43" i="18"/>
  <c r="L34" i="18"/>
  <c r="O39" i="18"/>
  <c r="O43" i="18"/>
  <c r="Q31" i="18"/>
  <c r="M34" i="18"/>
  <c r="O45" i="18"/>
  <c r="Q45" i="18"/>
  <c r="M35" i="18"/>
  <c r="L36" i="18"/>
  <c r="O42" i="18"/>
  <c r="L46" i="15"/>
  <c r="K46" i="15"/>
  <c r="N41" i="15"/>
  <c r="N37" i="15"/>
  <c r="Q40" i="15"/>
  <c r="N46" i="15"/>
  <c r="M38" i="15"/>
  <c r="P36" i="15"/>
  <c r="P43" i="15"/>
  <c r="L38" i="15"/>
  <c r="P34" i="15"/>
  <c r="L43" i="15"/>
  <c r="L34" i="15"/>
  <c r="Q37" i="15"/>
  <c r="P37" i="15"/>
  <c r="Q46" i="15"/>
  <c r="L37" i="15"/>
  <c r="P46" i="15"/>
  <c r="K37" i="15"/>
  <c r="P42" i="15"/>
  <c r="M30" i="15"/>
  <c r="O42" i="15"/>
  <c r="K30" i="15"/>
  <c r="P45" i="15"/>
  <c r="O33" i="15"/>
  <c r="L32" i="15"/>
  <c r="O32" i="15"/>
  <c r="P35" i="15"/>
  <c r="P32" i="15"/>
  <c r="L44" i="15"/>
  <c r="N44" i="15"/>
  <c r="K31" i="15"/>
  <c r="P41" i="15"/>
  <c r="P44" i="15"/>
  <c r="N36" i="15"/>
  <c r="O30" i="15"/>
  <c r="L40" i="15"/>
  <c r="Q30" i="15"/>
  <c r="P40" i="15"/>
  <c r="Q36" i="15"/>
  <c r="O41" i="15"/>
  <c r="M40" i="15"/>
  <c r="N38" i="15"/>
  <c r="O35" i="15"/>
  <c r="Q42" i="15"/>
  <c r="K41" i="15"/>
  <c r="N34" i="15"/>
  <c r="O31" i="15"/>
  <c r="Q31" i="15"/>
  <c r="K35" i="15"/>
  <c r="O44" i="15"/>
  <c r="K40" i="15"/>
  <c r="P30" i="15"/>
  <c r="M36" i="15"/>
  <c r="Q45" i="15"/>
  <c r="P39" i="15"/>
  <c r="Q32" i="15"/>
  <c r="Q39" i="15"/>
  <c r="K44" i="15"/>
  <c r="L41" i="15"/>
  <c r="M41" i="15"/>
  <c r="O36" i="15"/>
  <c r="M42" i="15"/>
  <c r="M44" i="15"/>
  <c r="L36" i="15"/>
  <c r="N42" i="15"/>
  <c r="O38" i="15"/>
  <c r="M31" i="15"/>
  <c r="Q44" i="15"/>
  <c r="M43" i="15"/>
  <c r="N30" i="15"/>
  <c r="L42" i="15"/>
  <c r="M35" i="15"/>
  <c r="M46" i="15"/>
  <c r="K34" i="15"/>
  <c r="K36" i="15"/>
  <c r="M45" i="15"/>
  <c r="N43" i="15"/>
  <c r="O40" i="15"/>
  <c r="Q43" i="15"/>
  <c r="Q35" i="15"/>
  <c r="O45" i="15"/>
  <c r="K38" i="15"/>
  <c r="K43" i="15"/>
  <c r="Q34" i="15"/>
  <c r="L31" i="15"/>
  <c r="M39" i="15"/>
  <c r="Q33" i="15"/>
  <c r="N45" i="15"/>
  <c r="Q38" i="15"/>
  <c r="K42" i="15"/>
  <c r="M37" i="15"/>
  <c r="N35" i="15"/>
  <c r="L45" i="15"/>
  <c r="M32" i="15"/>
  <c r="L39" i="15"/>
  <c r="M34" i="15"/>
  <c r="M33" i="15"/>
  <c r="L35" i="15"/>
  <c r="O39" i="15"/>
  <c r="K45" i="15"/>
  <c r="P33" i="15"/>
  <c r="O37" i="15"/>
  <c r="O34" i="15"/>
  <c r="N31" i="15"/>
  <c r="N32" i="15"/>
  <c r="K39" i="15"/>
  <c r="L33" i="15"/>
  <c r="P38" i="15"/>
  <c r="N40" i="15"/>
  <c r="K32" i="15"/>
  <c r="P31" i="15"/>
  <c r="L30" i="15"/>
  <c r="O43" i="15"/>
  <c r="K33" i="15"/>
  <c r="O46" i="15"/>
  <c r="N39" i="15"/>
  <c r="Q41" i="15"/>
  <c r="N33" i="15"/>
  <c r="O40" i="16"/>
  <c r="N40" i="16"/>
  <c r="M40" i="16"/>
  <c r="P42" i="16"/>
  <c r="L40" i="16"/>
  <c r="Q43" i="16"/>
  <c r="N41" i="16"/>
  <c r="O43" i="16"/>
  <c r="M41" i="16"/>
  <c r="N43" i="16"/>
  <c r="L41" i="16"/>
  <c r="Q39" i="16"/>
  <c r="O31" i="16"/>
  <c r="M43" i="16"/>
  <c r="K41" i="16"/>
  <c r="M38" i="16"/>
  <c r="Q31" i="16"/>
  <c r="M30" i="16"/>
  <c r="L43" i="16"/>
  <c r="Q40" i="16"/>
  <c r="P37" i="16"/>
  <c r="P31" i="16"/>
  <c r="K30" i="16"/>
  <c r="P43" i="16"/>
  <c r="P39" i="16"/>
  <c r="N35" i="16"/>
  <c r="L31" i="16"/>
  <c r="Q42" i="16"/>
  <c r="N39" i="16"/>
  <c r="M35" i="16"/>
  <c r="K31" i="16"/>
  <c r="N42" i="16"/>
  <c r="P40" i="16"/>
  <c r="L35" i="16"/>
  <c r="M34" i="16"/>
  <c r="P33" i="16"/>
  <c r="N44" i="16"/>
  <c r="M32" i="16"/>
  <c r="L34" i="16"/>
  <c r="O34" i="16"/>
  <c r="Q34" i="16"/>
  <c r="L44" i="16"/>
  <c r="M33" i="16"/>
  <c r="O35" i="16"/>
  <c r="L42" i="16"/>
  <c r="P30" i="16"/>
  <c r="L46" i="16"/>
  <c r="M39" i="16"/>
  <c r="L32" i="16"/>
  <c r="Q37" i="16"/>
  <c r="M42" i="16"/>
  <c r="K40" i="16"/>
  <c r="L33" i="16"/>
  <c r="O44" i="16"/>
  <c r="K42" i="16"/>
  <c r="N32" i="16"/>
  <c r="P38" i="16"/>
  <c r="N46" i="16"/>
  <c r="L39" i="16"/>
  <c r="P36" i="16"/>
  <c r="Q45" i="16"/>
  <c r="N34" i="16"/>
  <c r="K33" i="16"/>
  <c r="K39" i="16"/>
  <c r="P45" i="16"/>
  <c r="Q46" i="16"/>
  <c r="K46" i="16"/>
  <c r="O32" i="16"/>
  <c r="L30" i="16"/>
  <c r="K34" i="16"/>
  <c r="Q30" i="16"/>
  <c r="M46" i="16"/>
  <c r="O38" i="16"/>
  <c r="N31" i="16"/>
  <c r="P46" i="16"/>
  <c r="O36" i="16"/>
  <c r="K43" i="16"/>
  <c r="O30" i="16"/>
  <c r="M31" i="16"/>
  <c r="Q41" i="16"/>
  <c r="P35" i="16"/>
  <c r="O37" i="16"/>
  <c r="P44" i="16"/>
  <c r="Q38" i="16"/>
  <c r="Q36" i="16"/>
  <c r="P34" i="16"/>
  <c r="Q33" i="16"/>
  <c r="M36" i="16"/>
  <c r="P32" i="16"/>
  <c r="K32" i="16"/>
  <c r="L45" i="16"/>
  <c r="O42" i="16"/>
  <c r="N38" i="16"/>
  <c r="N33" i="16"/>
  <c r="O33" i="16"/>
  <c r="L36" i="16"/>
  <c r="L37" i="16"/>
  <c r="P41" i="16"/>
  <c r="K44" i="16"/>
  <c r="K36" i="16"/>
  <c r="L38" i="16"/>
  <c r="N45" i="16"/>
  <c r="K37" i="16"/>
  <c r="M37" i="16"/>
  <c r="K45" i="16"/>
  <c r="O39" i="16"/>
  <c r="O45" i="16"/>
  <c r="Q35" i="16"/>
  <c r="O41" i="16"/>
  <c r="K35" i="16"/>
  <c r="O46" i="16"/>
  <c r="M44" i="16"/>
  <c r="M45" i="16"/>
  <c r="N30" i="16"/>
  <c r="Q44" i="16"/>
  <c r="K38" i="16"/>
  <c r="N37" i="16"/>
  <c r="N36" i="16"/>
  <c r="Q32" i="16"/>
  <c r="O43" i="17"/>
  <c r="K40" i="17"/>
  <c r="K37" i="17"/>
  <c r="Q30" i="17"/>
  <c r="K43" i="17"/>
  <c r="P40" i="17"/>
  <c r="Q32" i="17"/>
  <c r="N32" i="17"/>
  <c r="O30" i="17"/>
  <c r="O42" i="17"/>
  <c r="O39" i="17"/>
  <c r="P32" i="17"/>
  <c r="Q31" i="17"/>
  <c r="M30" i="17"/>
  <c r="O46" i="17"/>
  <c r="N42" i="17"/>
  <c r="N39" i="17"/>
  <c r="O32" i="17"/>
  <c r="M31" i="17"/>
  <c r="L30" i="17"/>
  <c r="K46" i="17"/>
  <c r="L42" i="17"/>
  <c r="L39" i="17"/>
  <c r="M32" i="17"/>
  <c r="L31" i="17"/>
  <c r="K30" i="17"/>
  <c r="P46" i="17"/>
  <c r="K42" i="17"/>
  <c r="K39" i="17"/>
  <c r="P35" i="17"/>
  <c r="L32" i="17"/>
  <c r="K31" i="17"/>
  <c r="K45" i="17"/>
  <c r="P41" i="17"/>
  <c r="P38" i="17"/>
  <c r="O35" i="17"/>
  <c r="P44" i="17"/>
  <c r="O41" i="17"/>
  <c r="O38" i="17"/>
  <c r="N35" i="17"/>
  <c r="O44" i="17"/>
  <c r="N41" i="17"/>
  <c r="N38" i="17"/>
  <c r="M35" i="17"/>
  <c r="N44" i="17"/>
  <c r="M41" i="17"/>
  <c r="M38" i="17"/>
  <c r="L35" i="17"/>
  <c r="M44" i="17"/>
  <c r="L41" i="17"/>
  <c r="L38" i="17"/>
  <c r="O34" i="17"/>
  <c r="L44" i="17"/>
  <c r="O40" i="17"/>
  <c r="O37" i="17"/>
  <c r="K34" i="17"/>
  <c r="N33" i="17"/>
  <c r="L36" i="17"/>
  <c r="N43" i="17"/>
  <c r="P43" i="17"/>
  <c r="P30" i="17"/>
  <c r="Q42" i="17"/>
  <c r="M43" i="17"/>
  <c r="Q46" i="17"/>
  <c r="L45" i="17"/>
  <c r="N46" i="17"/>
  <c r="M46" i="17"/>
  <c r="K33" i="17"/>
  <c r="Q35" i="17"/>
  <c r="O36" i="17"/>
  <c r="O45" i="17"/>
  <c r="N30" i="17"/>
  <c r="P39" i="17"/>
  <c r="K36" i="17"/>
  <c r="P33" i="17"/>
  <c r="M33" i="17"/>
  <c r="P36" i="17"/>
  <c r="O33" i="17"/>
  <c r="M40" i="17"/>
  <c r="M39" i="17"/>
  <c r="Q45" i="17"/>
  <c r="L37" i="17"/>
  <c r="O31" i="17"/>
  <c r="Q37" i="17"/>
  <c r="Q33" i="17"/>
  <c r="Q43" i="17"/>
  <c r="P34" i="17"/>
  <c r="L40" i="17"/>
  <c r="N31" i="17"/>
  <c r="K32" i="17"/>
  <c r="K44" i="17"/>
  <c r="P37" i="17"/>
  <c r="L46" i="17"/>
  <c r="Q36" i="17"/>
  <c r="P45" i="17"/>
  <c r="L43" i="17"/>
  <c r="N36" i="17"/>
  <c r="Q41" i="17"/>
  <c r="M45" i="17"/>
  <c r="K35" i="17"/>
  <c r="Q44" i="17"/>
  <c r="M37" i="17"/>
  <c r="N34" i="17"/>
  <c r="M36" i="17"/>
  <c r="Q34" i="17"/>
  <c r="L33" i="17"/>
  <c r="N37" i="17"/>
  <c r="P42" i="17"/>
  <c r="N40" i="17"/>
  <c r="Q38" i="17"/>
  <c r="M34" i="17"/>
  <c r="P31" i="17"/>
  <c r="K38" i="17"/>
  <c r="Q40" i="17"/>
  <c r="K41" i="17"/>
  <c r="N45" i="17"/>
  <c r="M42" i="17"/>
  <c r="L34" i="17"/>
  <c r="Q39" i="17"/>
  <c r="K43" i="21"/>
  <c r="K34" i="21"/>
  <c r="Q43" i="21"/>
  <c r="Q41" i="21"/>
  <c r="N40" i="21"/>
  <c r="N38" i="21"/>
  <c r="M41" i="21"/>
  <c r="P39" i="21"/>
  <c r="Q37" i="21"/>
  <c r="O36" i="21"/>
  <c r="N39" i="21"/>
  <c r="O37" i="21"/>
  <c r="Q35" i="21"/>
  <c r="N34" i="21"/>
  <c r="M37" i="21"/>
  <c r="M35" i="21"/>
  <c r="Q32" i="21"/>
  <c r="K37" i="21"/>
  <c r="Q31" i="21"/>
  <c r="N41" i="21"/>
  <c r="P31" i="21"/>
  <c r="N31" i="21"/>
  <c r="Q40" i="21"/>
  <c r="O39" i="21"/>
  <c r="O31" i="21"/>
  <c r="O40" i="21"/>
  <c r="Q38" i="21"/>
  <c r="N37" i="21"/>
  <c r="N35" i="21"/>
  <c r="M31" i="21"/>
  <c r="O43" i="21"/>
  <c r="M40" i="21"/>
  <c r="M38" i="21"/>
  <c r="P36" i="21"/>
  <c r="Q34" i="21"/>
  <c r="L31" i="21"/>
  <c r="M43" i="21"/>
  <c r="K40" i="21"/>
  <c r="N36" i="21"/>
  <c r="O34" i="21"/>
  <c r="K31" i="21"/>
  <c r="L43" i="21"/>
  <c r="M34" i="21"/>
  <c r="K36" i="21"/>
  <c r="K44" i="21"/>
  <c r="M44" i="21"/>
  <c r="Q46" i="21"/>
  <c r="L40" i="21"/>
  <c r="L42" i="21"/>
  <c r="P33" i="21"/>
  <c r="M32" i="21"/>
  <c r="O35" i="21"/>
  <c r="P40" i="21"/>
  <c r="P30" i="21"/>
  <c r="M46" i="21"/>
  <c r="N46" i="21"/>
  <c r="O46" i="21"/>
  <c r="K41" i="21"/>
  <c r="L45" i="21"/>
  <c r="M45" i="21"/>
  <c r="M42" i="21"/>
  <c r="N32" i="21"/>
  <c r="N45" i="21"/>
  <c r="Q36" i="21"/>
  <c r="L35" i="21"/>
  <c r="N43" i="21"/>
  <c r="N44" i="21"/>
  <c r="L39" i="21"/>
  <c r="P41" i="21"/>
  <c r="Q44" i="21"/>
  <c r="O32" i="21"/>
  <c r="P45" i="21"/>
  <c r="Q45" i="21"/>
  <c r="L32" i="21"/>
  <c r="K39" i="21"/>
  <c r="Q42" i="21"/>
  <c r="P37" i="21"/>
  <c r="O41" i="21"/>
  <c r="M33" i="21"/>
  <c r="K30" i="21"/>
  <c r="P42" i="21"/>
  <c r="N30" i="21"/>
  <c r="Q39" i="21"/>
  <c r="O30" i="21"/>
  <c r="L41" i="21"/>
  <c r="P44" i="21"/>
  <c r="L34" i="21"/>
  <c r="N42" i="21"/>
  <c r="M30" i="21"/>
  <c r="O33" i="21"/>
  <c r="L33" i="21"/>
  <c r="P38" i="21"/>
  <c r="Q30" i="21"/>
  <c r="K35" i="21"/>
  <c r="K42" i="21"/>
  <c r="L30" i="21"/>
  <c r="K33" i="21"/>
  <c r="L46" i="21"/>
  <c r="O44" i="21"/>
  <c r="M36" i="21"/>
  <c r="K45" i="21"/>
  <c r="K32" i="21"/>
  <c r="P34" i="21"/>
  <c r="O38" i="21"/>
  <c r="L44" i="21"/>
  <c r="L37" i="21"/>
  <c r="O45" i="21"/>
  <c r="Q33" i="21"/>
  <c r="K38" i="21"/>
  <c r="L36" i="21"/>
  <c r="P43" i="21"/>
  <c r="K46" i="21"/>
  <c r="P32" i="21"/>
  <c r="O42" i="21"/>
  <c r="P46" i="21"/>
  <c r="N33" i="21"/>
  <c r="P35" i="21"/>
  <c r="M39" i="21"/>
  <c r="L38" i="21"/>
  <c r="Q46" i="22"/>
  <c r="M43" i="22"/>
  <c r="O37" i="22"/>
  <c r="P34" i="22"/>
  <c r="P46" i="22"/>
  <c r="L43" i="22"/>
  <c r="N37" i="22"/>
  <c r="N34" i="22"/>
  <c r="O46" i="22"/>
  <c r="K41" i="22"/>
  <c r="M37" i="22"/>
  <c r="M34" i="22"/>
  <c r="N46" i="22"/>
  <c r="M46" i="22"/>
  <c r="P39" i="22"/>
  <c r="Q42" i="22"/>
  <c r="N41" i="22"/>
  <c r="Q36" i="22"/>
  <c r="O34" i="22"/>
  <c r="P42" i="22"/>
  <c r="Q40" i="22"/>
  <c r="P36" i="22"/>
  <c r="P33" i="22"/>
  <c r="N42" i="22"/>
  <c r="M35" i="22"/>
  <c r="Q31" i="22"/>
  <c r="O31" i="22"/>
  <c r="Q43" i="22"/>
  <c r="L35" i="22"/>
  <c r="P31" i="22"/>
  <c r="L30" i="22"/>
  <c r="P43" i="22"/>
  <c r="M31" i="22"/>
  <c r="K30" i="22"/>
  <c r="O43" i="22"/>
  <c r="P40" i="22"/>
  <c r="Q37" i="22"/>
  <c r="L31" i="22"/>
  <c r="N43" i="22"/>
  <c r="Q39" i="22"/>
  <c r="P37" i="22"/>
  <c r="N35" i="22"/>
  <c r="K31" i="22"/>
  <c r="L45" i="22"/>
  <c r="Q34" i="22"/>
  <c r="K38" i="22"/>
  <c r="L46" i="22"/>
  <c r="L39" i="22"/>
  <c r="O32" i="22"/>
  <c r="M30" i="22"/>
  <c r="O38" i="22"/>
  <c r="N30" i="22"/>
  <c r="K45" i="22"/>
  <c r="Q35" i="22"/>
  <c r="N39" i="22"/>
  <c r="K32" i="22"/>
  <c r="K39" i="22"/>
  <c r="K44" i="22"/>
  <c r="M32" i="22"/>
  <c r="O33" i="22"/>
  <c r="L40" i="22"/>
  <c r="Q44" i="22"/>
  <c r="O40" i="22"/>
  <c r="K40" i="22"/>
  <c r="Q32" i="22"/>
  <c r="M33" i="22"/>
  <c r="L41" i="22"/>
  <c r="P35" i="22"/>
  <c r="O42" i="22"/>
  <c r="N45" i="22"/>
  <c r="P32" i="22"/>
  <c r="N44" i="22"/>
  <c r="K37" i="22"/>
  <c r="K33" i="22"/>
  <c r="O35" i="22"/>
  <c r="P44" i="22"/>
  <c r="M42" i="22"/>
  <c r="K46" i="22"/>
  <c r="Q33" i="22"/>
  <c r="N31" i="22"/>
  <c r="L42" i="22"/>
  <c r="O36" i="22"/>
  <c r="O44" i="22"/>
  <c r="K42" i="22"/>
  <c r="L37" i="22"/>
  <c r="M38" i="22"/>
  <c r="M44" i="22"/>
  <c r="L32" i="22"/>
  <c r="M36" i="22"/>
  <c r="M40" i="22"/>
  <c r="L38" i="22"/>
  <c r="Q41" i="22"/>
  <c r="L34" i="22"/>
  <c r="N33" i="22"/>
  <c r="Q45" i="22"/>
  <c r="L36" i="22"/>
  <c r="O30" i="22"/>
  <c r="M41" i="22"/>
  <c r="N40" i="22"/>
  <c r="K35" i="22"/>
  <c r="N38" i="22"/>
  <c r="L33" i="22"/>
  <c r="N32" i="22"/>
  <c r="Q38" i="22"/>
  <c r="K36" i="22"/>
  <c r="K34" i="22"/>
  <c r="P30" i="22"/>
  <c r="K43" i="22"/>
  <c r="P41" i="22"/>
  <c r="N36" i="22"/>
  <c r="O41" i="22"/>
  <c r="L44" i="22"/>
  <c r="O45" i="22"/>
  <c r="M45" i="22"/>
  <c r="P45" i="22"/>
  <c r="O39" i="22"/>
  <c r="M39" i="22"/>
  <c r="Q30" i="22"/>
  <c r="P38" i="22"/>
  <c r="K552" i="5"/>
  <c r="C552" i="5"/>
  <c r="H552" i="5"/>
  <c r="E515" i="5"/>
  <c r="G515" i="5"/>
  <c r="I515" i="5"/>
  <c r="D515" i="5"/>
  <c r="K515" i="5"/>
  <c r="C515" i="5"/>
  <c r="J515" i="5"/>
  <c r="H515" i="5"/>
  <c r="K440" i="5"/>
  <c r="C440" i="5"/>
  <c r="D440" i="5"/>
  <c r="K478" i="5"/>
  <c r="C478" i="5"/>
  <c r="E478" i="5"/>
  <c r="F478" i="5"/>
  <c r="I478" i="5"/>
  <c r="G478" i="5"/>
  <c r="H478" i="5"/>
  <c r="B551" i="5"/>
  <c r="D551" i="5" s="1"/>
  <c r="B514" i="5"/>
  <c r="F514" i="5" s="1"/>
  <c r="B477" i="5"/>
  <c r="B439" i="5"/>
  <c r="I439" i="5" s="1"/>
  <c r="C405" i="5"/>
  <c r="E405" i="5"/>
  <c r="K405" i="5"/>
  <c r="J405" i="5"/>
  <c r="I405" i="5"/>
  <c r="H405" i="5"/>
  <c r="D405" i="5"/>
  <c r="G405" i="5"/>
  <c r="F405" i="5"/>
  <c r="B404" i="5"/>
  <c r="K259" i="5"/>
  <c r="K258" i="5"/>
  <c r="K257" i="5"/>
  <c r="M256" i="5"/>
  <c r="O256" i="5"/>
  <c r="L256" i="5"/>
  <c r="K256" i="5"/>
  <c r="C256" i="5"/>
  <c r="J256" i="5"/>
  <c r="I256" i="5"/>
  <c r="H256" i="5"/>
  <c r="G256" i="5"/>
  <c r="R256" i="5"/>
  <c r="F256" i="5"/>
  <c r="Q256" i="5"/>
  <c r="E256" i="5"/>
  <c r="P256" i="5"/>
  <c r="D256" i="5"/>
  <c r="N256" i="5"/>
  <c r="L24" i="22"/>
  <c r="L18" i="22"/>
  <c r="P11" i="22"/>
  <c r="K18" i="22"/>
  <c r="M29" i="22"/>
  <c r="N555" i="5" s="1"/>
  <c r="Q28" i="22"/>
  <c r="M26" i="22"/>
  <c r="N552" i="5" s="1"/>
  <c r="Q25" i="22"/>
  <c r="M23" i="22"/>
  <c r="Q22" i="22"/>
  <c r="M20" i="22"/>
  <c r="Q19" i="22"/>
  <c r="M17" i="22"/>
  <c r="Q16" i="22"/>
  <c r="M14" i="22"/>
  <c r="Q13" i="22"/>
  <c r="M11" i="22"/>
  <c r="Q10" i="22"/>
  <c r="O23" i="22"/>
  <c r="O20" i="22"/>
  <c r="L29" i="22"/>
  <c r="M555" i="5" s="1"/>
  <c r="P28" i="22"/>
  <c r="L26" i="22"/>
  <c r="M552" i="5" s="1"/>
  <c r="P25" i="22"/>
  <c r="L23" i="22"/>
  <c r="P22" i="22"/>
  <c r="L20" i="22"/>
  <c r="P19" i="22"/>
  <c r="L17" i="22"/>
  <c r="P16" i="22"/>
  <c r="L14" i="22"/>
  <c r="P13" i="22"/>
  <c r="L11" i="22"/>
  <c r="P10" i="22"/>
  <c r="P29" i="22"/>
  <c r="Q555" i="5" s="1"/>
  <c r="L9" i="22"/>
  <c r="O14" i="22"/>
  <c r="P26" i="22"/>
  <c r="Q552" i="5" s="1"/>
  <c r="L21" i="22"/>
  <c r="L15" i="22"/>
  <c r="K24" i="22"/>
  <c r="O17" i="22"/>
  <c r="K12" i="22"/>
  <c r="K9" i="22"/>
  <c r="P17" i="22"/>
  <c r="O29" i="22"/>
  <c r="P555" i="5" s="1"/>
  <c r="L28" i="22"/>
  <c r="M554" i="5" s="1"/>
  <c r="L25" i="22"/>
  <c r="L22" i="22"/>
  <c r="L19" i="22"/>
  <c r="L16" i="22"/>
  <c r="L13" i="22"/>
  <c r="L10" i="22"/>
  <c r="P14" i="22"/>
  <c r="K28" i="22"/>
  <c r="K25" i="22"/>
  <c r="K22" i="22"/>
  <c r="K19" i="22"/>
  <c r="K16" i="22"/>
  <c r="K13" i="22"/>
  <c r="K10" i="22"/>
  <c r="K27" i="22"/>
  <c r="K15" i="22"/>
  <c r="L27" i="22"/>
  <c r="M553" i="5" s="1"/>
  <c r="P23" i="22"/>
  <c r="P20" i="22"/>
  <c r="L12" i="22"/>
  <c r="O26" i="22"/>
  <c r="P552" i="5" s="1"/>
  <c r="K21" i="22"/>
  <c r="O11" i="22"/>
  <c r="P18" i="22"/>
  <c r="M13" i="22"/>
  <c r="M22" i="22"/>
  <c r="N13" i="22"/>
  <c r="N25" i="22"/>
  <c r="K11" i="22"/>
  <c r="N26" i="22"/>
  <c r="Q29" i="22"/>
  <c r="R555" i="5" s="1"/>
  <c r="K14" i="22"/>
  <c r="K26" i="22"/>
  <c r="K23" i="22"/>
  <c r="M18" i="22"/>
  <c r="Q12" i="22"/>
  <c r="O13" i="22"/>
  <c r="Q11" i="22"/>
  <c r="Q20" i="22"/>
  <c r="O9" i="22"/>
  <c r="O21" i="22"/>
  <c r="O22" i="22"/>
  <c r="M12" i="22"/>
  <c r="M21" i="22"/>
  <c r="P9" i="22"/>
  <c r="P21" i="22"/>
  <c r="Q15" i="22"/>
  <c r="Q24" i="22"/>
  <c r="N16" i="22"/>
  <c r="N28" i="22"/>
  <c r="N29" i="22"/>
  <c r="O555" i="5" s="1"/>
  <c r="Q21" i="22"/>
  <c r="N17" i="22"/>
  <c r="M16" i="22"/>
  <c r="M25" i="22"/>
  <c r="K17" i="22"/>
  <c r="K29" i="22"/>
  <c r="L555" i="5" s="1"/>
  <c r="N27" i="22"/>
  <c r="O553" i="5" s="1"/>
  <c r="N14" i="22"/>
  <c r="N9" i="22"/>
  <c r="O12" i="22"/>
  <c r="O24" i="22"/>
  <c r="N24" i="22"/>
  <c r="O10" i="22"/>
  <c r="N23" i="22"/>
  <c r="Q14" i="22"/>
  <c r="Q23" i="22"/>
  <c r="N12" i="22"/>
  <c r="P12" i="22"/>
  <c r="P24" i="22"/>
  <c r="N19" i="22"/>
  <c r="Q26" i="22"/>
  <c r="R552" i="5" s="1"/>
  <c r="M27" i="22"/>
  <c r="N553" i="5" s="1"/>
  <c r="O19" i="22"/>
  <c r="M15" i="22"/>
  <c r="M24" i="22"/>
  <c r="N15" i="22"/>
  <c r="Q9" i="22"/>
  <c r="Q18" i="22"/>
  <c r="Q27" i="22"/>
  <c r="R553" i="5" s="1"/>
  <c r="K20" i="22"/>
  <c r="Q17" i="22"/>
  <c r="O18" i="22"/>
  <c r="O28" i="22"/>
  <c r="P554" i="5" s="1"/>
  <c r="N18" i="22"/>
  <c r="O15" i="22"/>
  <c r="O27" i="22"/>
  <c r="P553" i="5" s="1"/>
  <c r="M10" i="22"/>
  <c r="M19" i="22"/>
  <c r="M28" i="22"/>
  <c r="N554" i="5" s="1"/>
  <c r="O25" i="22"/>
  <c r="N11" i="22"/>
  <c r="O16" i="22"/>
  <c r="N21" i="22"/>
  <c r="P15" i="22"/>
  <c r="P27" i="22"/>
  <c r="Q553" i="5" s="1"/>
  <c r="N10" i="22"/>
  <c r="N22" i="22"/>
  <c r="N20" i="22"/>
  <c r="M9" i="22"/>
  <c r="Q20" i="21"/>
  <c r="M15" i="21"/>
  <c r="M29" i="21"/>
  <c r="N518" i="5" s="1"/>
  <c r="Q28" i="21"/>
  <c r="M26" i="21"/>
  <c r="N515" i="5" s="1"/>
  <c r="Q25" i="21"/>
  <c r="M23" i="21"/>
  <c r="Q22" i="21"/>
  <c r="M20" i="21"/>
  <c r="Q19" i="21"/>
  <c r="M17" i="21"/>
  <c r="Q16" i="21"/>
  <c r="M14" i="21"/>
  <c r="Q13" i="21"/>
  <c r="M11" i="21"/>
  <c r="Q10" i="21"/>
  <c r="M27" i="21"/>
  <c r="N516" i="5" s="1"/>
  <c r="L29" i="21"/>
  <c r="M518" i="5" s="1"/>
  <c r="P28" i="21"/>
  <c r="L26" i="21"/>
  <c r="M515" i="5" s="1"/>
  <c r="P25" i="21"/>
  <c r="L23" i="21"/>
  <c r="P22" i="21"/>
  <c r="L20" i="21"/>
  <c r="P19" i="21"/>
  <c r="L17" i="21"/>
  <c r="P16" i="21"/>
  <c r="L14" i="21"/>
  <c r="P13" i="21"/>
  <c r="L11" i="21"/>
  <c r="P10" i="21"/>
  <c r="Q26" i="21"/>
  <c r="K29" i="21"/>
  <c r="L518" i="5" s="1"/>
  <c r="O28" i="21"/>
  <c r="K26" i="21"/>
  <c r="L515" i="5" s="1"/>
  <c r="O25" i="21"/>
  <c r="K23" i="21"/>
  <c r="O22" i="21"/>
  <c r="K20" i="21"/>
  <c r="O19" i="21"/>
  <c r="K17" i="21"/>
  <c r="O16" i="21"/>
  <c r="K14" i="21"/>
  <c r="O13" i="21"/>
  <c r="K11" i="21"/>
  <c r="O10" i="21"/>
  <c r="M18" i="21"/>
  <c r="Q14" i="21"/>
  <c r="M9" i="21"/>
  <c r="M21" i="21"/>
  <c r="M28" i="21"/>
  <c r="N517" i="5" s="1"/>
  <c r="M25" i="21"/>
  <c r="M22" i="21"/>
  <c r="M19" i="21"/>
  <c r="M16" i="21"/>
  <c r="M13" i="21"/>
  <c r="Q23" i="21"/>
  <c r="L28" i="21"/>
  <c r="M517" i="5" s="1"/>
  <c r="L25" i="21"/>
  <c r="L22" i="21"/>
  <c r="L19" i="21"/>
  <c r="L16" i="21"/>
  <c r="L13" i="21"/>
  <c r="L10" i="21"/>
  <c r="Q29" i="21"/>
  <c r="R518" i="5" s="1"/>
  <c r="Q17" i="21"/>
  <c r="Q11" i="21"/>
  <c r="K28" i="21"/>
  <c r="L517" i="5" s="1"/>
  <c r="K25" i="21"/>
  <c r="K22" i="21"/>
  <c r="K19" i="21"/>
  <c r="K16" i="21"/>
  <c r="K13" i="21"/>
  <c r="K10" i="21"/>
  <c r="M24" i="21"/>
  <c r="M12" i="21"/>
  <c r="O29" i="21"/>
  <c r="P518" i="5" s="1"/>
  <c r="K27" i="21"/>
  <c r="L516" i="5" s="1"/>
  <c r="O26" i="21"/>
  <c r="P515" i="5" s="1"/>
  <c r="K24" i="21"/>
  <c r="O23" i="21"/>
  <c r="K21" i="21"/>
  <c r="O20" i="21"/>
  <c r="K18" i="21"/>
  <c r="O17" i="21"/>
  <c r="K15" i="21"/>
  <c r="O14" i="21"/>
  <c r="K12" i="21"/>
  <c r="O11" i="21"/>
  <c r="K9" i="21"/>
  <c r="N11" i="21"/>
  <c r="P17" i="21"/>
  <c r="P26" i="21"/>
  <c r="N12" i="21"/>
  <c r="N24" i="21"/>
  <c r="O15" i="21"/>
  <c r="O27" i="21"/>
  <c r="P516" i="5" s="1"/>
  <c r="N28" i="21"/>
  <c r="P21" i="21"/>
  <c r="L9" i="21"/>
  <c r="L18" i="21"/>
  <c r="L27" i="21"/>
  <c r="M516" i="5" s="1"/>
  <c r="P15" i="21"/>
  <c r="P27" i="21"/>
  <c r="N10" i="21"/>
  <c r="N19" i="21"/>
  <c r="Q18" i="21"/>
  <c r="N26" i="21"/>
  <c r="P29" i="21"/>
  <c r="Q518" i="5" s="1"/>
  <c r="N15" i="21"/>
  <c r="N27" i="21"/>
  <c r="O18" i="21"/>
  <c r="P9" i="21"/>
  <c r="N13" i="21"/>
  <c r="N16" i="21"/>
  <c r="P11" i="21"/>
  <c r="P20" i="21"/>
  <c r="P18" i="21"/>
  <c r="Q9" i="21"/>
  <c r="N20" i="21"/>
  <c r="N23" i="21"/>
  <c r="L12" i="21"/>
  <c r="L21" i="21"/>
  <c r="M10" i="21"/>
  <c r="Q21" i="21"/>
  <c r="N18" i="21"/>
  <c r="O9" i="21"/>
  <c r="O21" i="21"/>
  <c r="N14" i="21"/>
  <c r="N17" i="21"/>
  <c r="P14" i="21"/>
  <c r="P23" i="21"/>
  <c r="Q12" i="21"/>
  <c r="Q24" i="21"/>
  <c r="L15" i="21"/>
  <c r="L24" i="21"/>
  <c r="N9" i="21"/>
  <c r="N21" i="21"/>
  <c r="O12" i="21"/>
  <c r="O24" i="21"/>
  <c r="Q15" i="21"/>
  <c r="N22" i="21"/>
  <c r="N25" i="21"/>
  <c r="P12" i="21"/>
  <c r="P24" i="21"/>
  <c r="N29" i="21"/>
  <c r="O518" i="5" s="1"/>
  <c r="Q27" i="21"/>
  <c r="R516" i="5" s="1"/>
  <c r="L29" i="20"/>
  <c r="M481" i="5" s="1"/>
  <c r="L14" i="20"/>
  <c r="L23" i="20"/>
  <c r="L17" i="20"/>
  <c r="L11" i="20"/>
  <c r="O29" i="20"/>
  <c r="P481" i="5" s="1"/>
  <c r="O26" i="20"/>
  <c r="P478" i="5" s="1"/>
  <c r="O23" i="20"/>
  <c r="O20" i="20"/>
  <c r="O17" i="20"/>
  <c r="O14" i="20"/>
  <c r="O11" i="20"/>
  <c r="L20" i="20"/>
  <c r="M29" i="20"/>
  <c r="N481" i="5" s="1"/>
  <c r="M26" i="20"/>
  <c r="N478" i="5" s="1"/>
  <c r="M23" i="20"/>
  <c r="M20" i="20"/>
  <c r="M17" i="20"/>
  <c r="M14" i="20"/>
  <c r="M11" i="20"/>
  <c r="L26" i="20"/>
  <c r="M478" i="5" s="1"/>
  <c r="Q11" i="20"/>
  <c r="O13" i="20"/>
  <c r="O22" i="20"/>
  <c r="K18" i="20"/>
  <c r="P19" i="20"/>
  <c r="N15" i="20"/>
  <c r="N27" i="20"/>
  <c r="O15" i="20"/>
  <c r="O24" i="20"/>
  <c r="N22" i="20"/>
  <c r="Q20" i="20"/>
  <c r="Q17" i="20"/>
  <c r="K14" i="20"/>
  <c r="K23" i="20"/>
  <c r="Q13" i="20"/>
  <c r="Q25" i="20"/>
  <c r="P11" i="20"/>
  <c r="P20" i="20"/>
  <c r="P29" i="20"/>
  <c r="Q481" i="5" s="1"/>
  <c r="P10" i="20"/>
  <c r="K16" i="20"/>
  <c r="K25" i="20"/>
  <c r="P15" i="20"/>
  <c r="P24" i="20"/>
  <c r="N14" i="20"/>
  <c r="Q29" i="20"/>
  <c r="R481" i="5" s="1"/>
  <c r="Q26" i="20"/>
  <c r="R478" i="5" s="1"/>
  <c r="N13" i="20"/>
  <c r="N25" i="20"/>
  <c r="N17" i="20"/>
  <c r="N29" i="20"/>
  <c r="O481" i="5" s="1"/>
  <c r="K21" i="20"/>
  <c r="L12" i="20"/>
  <c r="L21" i="20"/>
  <c r="M15" i="20"/>
  <c r="M27" i="20"/>
  <c r="N479" i="5" s="1"/>
  <c r="L16" i="20"/>
  <c r="L25" i="20"/>
  <c r="L9" i="20"/>
  <c r="L22" i="20"/>
  <c r="N10" i="20"/>
  <c r="Q12" i="20"/>
  <c r="Q21" i="20"/>
  <c r="N18" i="20"/>
  <c r="Q22" i="20"/>
  <c r="L27" i="20"/>
  <c r="M479" i="5" s="1"/>
  <c r="P13" i="20"/>
  <c r="M13" i="20"/>
  <c r="Q9" i="20"/>
  <c r="O16" i="20"/>
  <c r="O25" i="20"/>
  <c r="Q16" i="20"/>
  <c r="Q28" i="20"/>
  <c r="R480" i="5" s="1"/>
  <c r="P28" i="20"/>
  <c r="Q480" i="5" s="1"/>
  <c r="K24" i="20"/>
  <c r="O9" i="20"/>
  <c r="O18" i="20"/>
  <c r="O27" i="20"/>
  <c r="P479" i="5" s="1"/>
  <c r="L18" i="20"/>
  <c r="L13" i="20"/>
  <c r="M25" i="20"/>
  <c r="M22" i="20"/>
  <c r="Q18" i="20"/>
  <c r="N16" i="20"/>
  <c r="N28" i="20"/>
  <c r="O480" i="5" s="1"/>
  <c r="K17" i="20"/>
  <c r="K26" i="20"/>
  <c r="P16" i="20"/>
  <c r="N20" i="20"/>
  <c r="P14" i="20"/>
  <c r="P23" i="20"/>
  <c r="M18" i="20"/>
  <c r="K10" i="20"/>
  <c r="K19" i="20"/>
  <c r="K28" i="20"/>
  <c r="P9" i="20"/>
  <c r="P18" i="20"/>
  <c r="P27" i="20"/>
  <c r="Q479" i="5" s="1"/>
  <c r="P22" i="20"/>
  <c r="Q14" i="20"/>
  <c r="Q27" i="20"/>
  <c r="R479" i="5" s="1"/>
  <c r="K9" i="20"/>
  <c r="K27" i="20"/>
  <c r="L15" i="20"/>
  <c r="L24" i="20"/>
  <c r="N9" i="20"/>
  <c r="N21" i="20"/>
  <c r="L10" i="20"/>
  <c r="L19" i="20"/>
  <c r="L28" i="20"/>
  <c r="M480" i="5" s="1"/>
  <c r="P25" i="20"/>
  <c r="Q23" i="20"/>
  <c r="M10" i="20"/>
  <c r="Q19" i="20"/>
  <c r="Q15" i="20"/>
  <c r="M19" i="20"/>
  <c r="N19" i="20"/>
  <c r="O10" i="20"/>
  <c r="O19" i="20"/>
  <c r="O28" i="20"/>
  <c r="P480" i="5" s="1"/>
  <c r="N11" i="20"/>
  <c r="N23" i="20"/>
  <c r="K12" i="20"/>
  <c r="M9" i="20"/>
  <c r="M21" i="20"/>
  <c r="O12" i="20"/>
  <c r="O21" i="20"/>
  <c r="K15" i="20"/>
  <c r="N26" i="20"/>
  <c r="O478" i="5" s="1"/>
  <c r="M12" i="20"/>
  <c r="Q24" i="20"/>
  <c r="M28" i="20"/>
  <c r="N480" i="5" s="1"/>
  <c r="K11" i="20"/>
  <c r="K20" i="20"/>
  <c r="K29" i="20"/>
  <c r="L481" i="5" s="1"/>
  <c r="P17" i="20"/>
  <c r="P26" i="20"/>
  <c r="Q478" i="5" s="1"/>
  <c r="N12" i="20"/>
  <c r="N24" i="20"/>
  <c r="K13" i="20"/>
  <c r="K22" i="20"/>
  <c r="P12" i="20"/>
  <c r="P21" i="20"/>
  <c r="M16" i="20"/>
  <c r="Q10" i="20"/>
  <c r="M24" i="20"/>
  <c r="Q22" i="19"/>
  <c r="Q10" i="19"/>
  <c r="Q19" i="19"/>
  <c r="Q13" i="19"/>
  <c r="P27" i="19"/>
  <c r="P24" i="19"/>
  <c r="P21" i="19"/>
  <c r="P18" i="19"/>
  <c r="P15" i="19"/>
  <c r="P12" i="19"/>
  <c r="P9" i="19"/>
  <c r="Q28" i="19"/>
  <c r="M23" i="19"/>
  <c r="M20" i="19"/>
  <c r="M17" i="19"/>
  <c r="M11" i="19"/>
  <c r="M29" i="19"/>
  <c r="N444" i="5" s="1"/>
  <c r="Q16" i="19"/>
  <c r="M27" i="19"/>
  <c r="N442" i="5" s="1"/>
  <c r="M24" i="19"/>
  <c r="M21" i="19"/>
  <c r="M18" i="19"/>
  <c r="M15" i="19"/>
  <c r="M12" i="19"/>
  <c r="M9" i="19"/>
  <c r="L27" i="19"/>
  <c r="L24" i="19"/>
  <c r="L21" i="19"/>
  <c r="L18" i="19"/>
  <c r="L15" i="19"/>
  <c r="L12" i="19"/>
  <c r="L9" i="19"/>
  <c r="M26" i="19"/>
  <c r="N441" i="5" s="1"/>
  <c r="M14" i="19"/>
  <c r="Q25" i="19"/>
  <c r="Q15" i="19"/>
  <c r="P22" i="19"/>
  <c r="K15" i="19"/>
  <c r="K24" i="19"/>
  <c r="Q14" i="19"/>
  <c r="Q26" i="19"/>
  <c r="N15" i="19"/>
  <c r="N27" i="19"/>
  <c r="O13" i="19"/>
  <c r="O22" i="19"/>
  <c r="P16" i="19"/>
  <c r="Q27" i="19"/>
  <c r="N14" i="19"/>
  <c r="O9" i="19"/>
  <c r="O18" i="19"/>
  <c r="O27" i="19"/>
  <c r="M13" i="19"/>
  <c r="M25" i="19"/>
  <c r="N440" i="5" s="1"/>
  <c r="K14" i="19"/>
  <c r="K23" i="19"/>
  <c r="Q11" i="19"/>
  <c r="K11" i="19"/>
  <c r="P28" i="19"/>
  <c r="P10" i="19"/>
  <c r="N20" i="19"/>
  <c r="P17" i="19"/>
  <c r="P29" i="19"/>
  <c r="Q444" i="5" s="1"/>
  <c r="N11" i="19"/>
  <c r="K10" i="19"/>
  <c r="K19" i="19"/>
  <c r="K28" i="19"/>
  <c r="L10" i="19"/>
  <c r="L22" i="19"/>
  <c r="N13" i="19"/>
  <c r="N25" i="19"/>
  <c r="N17" i="19"/>
  <c r="L17" i="19"/>
  <c r="L11" i="19"/>
  <c r="N23" i="19"/>
  <c r="O17" i="19"/>
  <c r="O26" i="19"/>
  <c r="Q17" i="19"/>
  <c r="Q29" i="19"/>
  <c r="N18" i="19"/>
  <c r="N26" i="19"/>
  <c r="L29" i="19"/>
  <c r="M444" i="5" s="1"/>
  <c r="L23" i="19"/>
  <c r="K9" i="19"/>
  <c r="K18" i="19"/>
  <c r="K27" i="19"/>
  <c r="M16" i="19"/>
  <c r="M28" i="19"/>
  <c r="N443" i="5" s="1"/>
  <c r="N29" i="19"/>
  <c r="O444" i="5" s="1"/>
  <c r="O16" i="19"/>
  <c r="O25" i="19"/>
  <c r="N12" i="19"/>
  <c r="O15" i="19"/>
  <c r="Q18" i="19"/>
  <c r="Q12" i="19"/>
  <c r="P20" i="19"/>
  <c r="O12" i="19"/>
  <c r="O21" i="19"/>
  <c r="L13" i="19"/>
  <c r="L25" i="19"/>
  <c r="M440" i="5" s="1"/>
  <c r="N16" i="19"/>
  <c r="N28" i="19"/>
  <c r="O443" i="5" s="1"/>
  <c r="K17" i="19"/>
  <c r="K26" i="19"/>
  <c r="K29" i="19"/>
  <c r="L444" i="5" s="1"/>
  <c r="Q24" i="19"/>
  <c r="Q20" i="19"/>
  <c r="N9" i="19"/>
  <c r="N21" i="19"/>
  <c r="K13" i="19"/>
  <c r="K22" i="19"/>
  <c r="L14" i="19"/>
  <c r="P19" i="19"/>
  <c r="P13" i="19"/>
  <c r="O11" i="19"/>
  <c r="O20" i="19"/>
  <c r="O29" i="19"/>
  <c r="P444" i="5" s="1"/>
  <c r="M19" i="19"/>
  <c r="Q23" i="19"/>
  <c r="K20" i="19"/>
  <c r="P25" i="19"/>
  <c r="Q440" i="5" s="1"/>
  <c r="K12" i="19"/>
  <c r="K21" i="19"/>
  <c r="P11" i="19"/>
  <c r="P23" i="19"/>
  <c r="L16" i="19"/>
  <c r="L28" i="19"/>
  <c r="M443" i="5" s="1"/>
  <c r="N19" i="19"/>
  <c r="O10" i="19"/>
  <c r="O19" i="19"/>
  <c r="O28" i="19"/>
  <c r="P443" i="5" s="1"/>
  <c r="L20" i="19"/>
  <c r="N24" i="19"/>
  <c r="O24" i="19"/>
  <c r="Q9" i="19"/>
  <c r="L26" i="19"/>
  <c r="M441" i="5" s="1"/>
  <c r="K16" i="19"/>
  <c r="K25" i="19"/>
  <c r="L440" i="5" s="1"/>
  <c r="M10" i="19"/>
  <c r="M22" i="19"/>
  <c r="Q21" i="19"/>
  <c r="O14" i="19"/>
  <c r="O23" i="19"/>
  <c r="P14" i="19"/>
  <c r="P26" i="19"/>
  <c r="Q441" i="5" s="1"/>
  <c r="L19" i="19"/>
  <c r="N10" i="19"/>
  <c r="N22" i="19"/>
  <c r="I73" i="5"/>
  <c r="I74" i="5"/>
  <c r="H73" i="5"/>
  <c r="H74" i="5"/>
  <c r="L29" i="18"/>
  <c r="M407" i="5" s="1"/>
  <c r="K25" i="18"/>
  <c r="Q23" i="18"/>
  <c r="M28" i="18"/>
  <c r="N406" i="5" s="1"/>
  <c r="P27" i="18"/>
  <c r="Q405" i="5" s="1"/>
  <c r="N23" i="18"/>
  <c r="L20" i="18"/>
  <c r="L17" i="18"/>
  <c r="L14" i="18"/>
  <c r="L11" i="18"/>
  <c r="M23" i="18"/>
  <c r="K28" i="18"/>
  <c r="L406" i="5" s="1"/>
  <c r="N27" i="18"/>
  <c r="O405" i="5" s="1"/>
  <c r="Q26" i="18"/>
  <c r="L23" i="18"/>
  <c r="O14" i="18"/>
  <c r="K12" i="18"/>
  <c r="K9" i="18"/>
  <c r="M27" i="18"/>
  <c r="N405" i="5" s="1"/>
  <c r="K23" i="18"/>
  <c r="Q21" i="18"/>
  <c r="K15" i="18"/>
  <c r="L27" i="18"/>
  <c r="M405" i="5" s="1"/>
  <c r="N26" i="18"/>
  <c r="Q25" i="18"/>
  <c r="P21" i="18"/>
  <c r="P18" i="18"/>
  <c r="P15" i="18"/>
  <c r="P12" i="18"/>
  <c r="P9" i="18"/>
  <c r="M26" i="18"/>
  <c r="P25" i="18"/>
  <c r="O21" i="18"/>
  <c r="O18" i="18"/>
  <c r="O15" i="18"/>
  <c r="O12" i="18"/>
  <c r="O9" i="18"/>
  <c r="K26" i="18"/>
  <c r="N25" i="18"/>
  <c r="M21" i="18"/>
  <c r="M18" i="18"/>
  <c r="M15" i="18"/>
  <c r="O17" i="18"/>
  <c r="O11" i="18"/>
  <c r="N29" i="18"/>
  <c r="O407" i="5" s="1"/>
  <c r="Q28" i="18"/>
  <c r="R406" i="5" s="1"/>
  <c r="M25" i="18"/>
  <c r="L21" i="18"/>
  <c r="P20" i="18"/>
  <c r="L18" i="18"/>
  <c r="P17" i="18"/>
  <c r="L15" i="18"/>
  <c r="P14" i="18"/>
  <c r="L12" i="18"/>
  <c r="P11" i="18"/>
  <c r="L9" i="18"/>
  <c r="K18" i="18"/>
  <c r="M29" i="18"/>
  <c r="N407" i="5" s="1"/>
  <c r="P28" i="18"/>
  <c r="Q406" i="5" s="1"/>
  <c r="L25" i="18"/>
  <c r="K21" i="18"/>
  <c r="O20" i="18"/>
  <c r="N20" i="18"/>
  <c r="Q11" i="18"/>
  <c r="N12" i="18"/>
  <c r="Q9" i="18"/>
  <c r="Q18" i="18"/>
  <c r="O10" i="18"/>
  <c r="O19" i="18"/>
  <c r="P19" i="18"/>
  <c r="K29" i="18"/>
  <c r="L407" i="5" s="1"/>
  <c r="Q20" i="18"/>
  <c r="L13" i="18"/>
  <c r="M17" i="18"/>
  <c r="N11" i="18"/>
  <c r="P24" i="18"/>
  <c r="M12" i="18"/>
  <c r="L16" i="18"/>
  <c r="M10" i="18"/>
  <c r="M19" i="18"/>
  <c r="K11" i="18"/>
  <c r="K20" i="18"/>
  <c r="Q19" i="18"/>
  <c r="Q24" i="18"/>
  <c r="O25" i="18"/>
  <c r="N10" i="18"/>
  <c r="M20" i="18"/>
  <c r="O28" i="18"/>
  <c r="P406" i="5" s="1"/>
  <c r="N24" i="18"/>
  <c r="N14" i="18"/>
  <c r="L26" i="18"/>
  <c r="N15" i="18"/>
  <c r="K10" i="18"/>
  <c r="O22" i="18"/>
  <c r="P10" i="18"/>
  <c r="Q22" i="18"/>
  <c r="N17" i="18"/>
  <c r="Q14" i="18"/>
  <c r="L19" i="18"/>
  <c r="Q12" i="18"/>
  <c r="O13" i="18"/>
  <c r="P22" i="18"/>
  <c r="L24" i="18"/>
  <c r="Q10" i="18"/>
  <c r="O23" i="18"/>
  <c r="L22" i="18"/>
  <c r="N19" i="18"/>
  <c r="N28" i="18"/>
  <c r="O406" i="5" s="1"/>
  <c r="O29" i="18"/>
  <c r="P407" i="5" s="1"/>
  <c r="K13" i="18"/>
  <c r="M13" i="18"/>
  <c r="N13" i="18"/>
  <c r="K14" i="18"/>
  <c r="M11" i="18"/>
  <c r="Q27" i="18"/>
  <c r="R405" i="5" s="1"/>
  <c r="N18" i="18"/>
  <c r="Q29" i="18"/>
  <c r="R407" i="5" s="1"/>
  <c r="O26" i="18"/>
  <c r="P13" i="18"/>
  <c r="P23" i="18"/>
  <c r="N22" i="18"/>
  <c r="Q17" i="18"/>
  <c r="P29" i="18"/>
  <c r="Q407" i="5" s="1"/>
  <c r="K16" i="18"/>
  <c r="L10" i="18"/>
  <c r="M22" i="18"/>
  <c r="Q13" i="18"/>
  <c r="M24" i="18"/>
  <c r="K24" i="18"/>
  <c r="Q15" i="18"/>
  <c r="P26" i="18"/>
  <c r="N16" i="18"/>
  <c r="O16" i="18"/>
  <c r="K27" i="18"/>
  <c r="L405" i="5" s="1"/>
  <c r="M14" i="18"/>
  <c r="O24" i="18"/>
  <c r="M9" i="18"/>
  <c r="N9" i="18"/>
  <c r="N21" i="18"/>
  <c r="K19" i="18"/>
  <c r="M16" i="18"/>
  <c r="K17" i="18"/>
  <c r="O27" i="18"/>
  <c r="P405" i="5" s="1"/>
  <c r="P16" i="18"/>
  <c r="K22" i="18"/>
  <c r="L28" i="18"/>
  <c r="M406" i="5" s="1"/>
  <c r="Q16" i="18"/>
  <c r="B145" i="5"/>
  <c r="C109" i="5"/>
  <c r="E109" i="5"/>
  <c r="D109" i="5"/>
  <c r="K109" i="5"/>
  <c r="J109" i="5"/>
  <c r="I109" i="5"/>
  <c r="H109" i="5"/>
  <c r="G109" i="5"/>
  <c r="F109" i="5"/>
  <c r="B108" i="5"/>
  <c r="C72" i="5"/>
  <c r="F72" i="5"/>
  <c r="D72" i="5"/>
  <c r="B71" i="5"/>
  <c r="J72" i="5"/>
  <c r="G72" i="5"/>
  <c r="H72" i="5"/>
  <c r="K72" i="5"/>
  <c r="E72" i="5"/>
  <c r="G74" i="5"/>
  <c r="G73" i="5"/>
  <c r="D74" i="5"/>
  <c r="D73" i="5"/>
  <c r="E74" i="5"/>
  <c r="E73" i="5"/>
  <c r="F74" i="5"/>
  <c r="F73" i="5"/>
  <c r="K28" i="17"/>
  <c r="K19" i="17"/>
  <c r="O15" i="17"/>
  <c r="O12" i="17"/>
  <c r="O29" i="17"/>
  <c r="P148" i="5" s="1"/>
  <c r="K24" i="17"/>
  <c r="K21" i="17"/>
  <c r="K18" i="17"/>
  <c r="K15" i="17"/>
  <c r="M29" i="17"/>
  <c r="N148" i="5" s="1"/>
  <c r="Q28" i="17"/>
  <c r="M26" i="17"/>
  <c r="N145" i="5" s="1"/>
  <c r="Q25" i="17"/>
  <c r="M23" i="17"/>
  <c r="Q22" i="17"/>
  <c r="M20" i="17"/>
  <c r="Q19" i="17"/>
  <c r="M17" i="17"/>
  <c r="Q16" i="17"/>
  <c r="M14" i="17"/>
  <c r="Q13" i="17"/>
  <c r="M11" i="17"/>
  <c r="Q10" i="17"/>
  <c r="O17" i="17"/>
  <c r="K9" i="17"/>
  <c r="O24" i="17"/>
  <c r="M12" i="17"/>
  <c r="Q14" i="17"/>
  <c r="K12" i="17"/>
  <c r="O21" i="17"/>
  <c r="O18" i="17"/>
  <c r="O9" i="17"/>
  <c r="Q11" i="17"/>
  <c r="O14" i="17"/>
  <c r="O11" i="17"/>
  <c r="M28" i="17"/>
  <c r="N147" i="5" s="1"/>
  <c r="Q27" i="17"/>
  <c r="M25" i="17"/>
  <c r="Q24" i="17"/>
  <c r="M22" i="17"/>
  <c r="Q21" i="17"/>
  <c r="M19" i="17"/>
  <c r="Q18" i="17"/>
  <c r="M16" i="17"/>
  <c r="Q15" i="17"/>
  <c r="M13" i="17"/>
  <c r="Q12" i="17"/>
  <c r="M10" i="17"/>
  <c r="Q9" i="17"/>
  <c r="O27" i="17"/>
  <c r="P146" i="5" s="1"/>
  <c r="K25" i="17"/>
  <c r="K10" i="17"/>
  <c r="M9" i="17"/>
  <c r="O26" i="17"/>
  <c r="P145" i="5" s="1"/>
  <c r="L28" i="17"/>
  <c r="L25" i="17"/>
  <c r="L22" i="17"/>
  <c r="L19" i="17"/>
  <c r="L16" i="17"/>
  <c r="L13" i="17"/>
  <c r="L10" i="17"/>
  <c r="K22" i="17"/>
  <c r="K16" i="17"/>
  <c r="K13" i="17"/>
  <c r="M15" i="17"/>
  <c r="K27" i="17"/>
  <c r="O23" i="17"/>
  <c r="O20" i="17"/>
  <c r="Q29" i="17"/>
  <c r="R148" i="5" s="1"/>
  <c r="M27" i="17"/>
  <c r="N146" i="5" s="1"/>
  <c r="Q26" i="17"/>
  <c r="R145" i="5" s="1"/>
  <c r="M24" i="17"/>
  <c r="Q23" i="17"/>
  <c r="M21" i="17"/>
  <c r="Q20" i="17"/>
  <c r="M18" i="17"/>
  <c r="Q17" i="17"/>
  <c r="P29" i="17"/>
  <c r="Q148" i="5" s="1"/>
  <c r="L27" i="17"/>
  <c r="P26" i="17"/>
  <c r="Q145" i="5" s="1"/>
  <c r="L24" i="17"/>
  <c r="P23" i="17"/>
  <c r="L21" i="17"/>
  <c r="P20" i="17"/>
  <c r="L18" i="17"/>
  <c r="P17" i="17"/>
  <c r="L15" i="17"/>
  <c r="P14" i="17"/>
  <c r="L12" i="17"/>
  <c r="P11" i="17"/>
  <c r="L9" i="17"/>
  <c r="N21" i="17"/>
  <c r="N29" i="17"/>
  <c r="O148" i="5" s="1"/>
  <c r="P18" i="17"/>
  <c r="P10" i="17"/>
  <c r="P19" i="17"/>
  <c r="P28" i="17"/>
  <c r="Q147" i="5" s="1"/>
  <c r="N20" i="17"/>
  <c r="N13" i="17"/>
  <c r="N25" i="17"/>
  <c r="O10" i="17"/>
  <c r="O19" i="17"/>
  <c r="O28" i="17"/>
  <c r="P147" i="5" s="1"/>
  <c r="L11" i="17"/>
  <c r="L20" i="17"/>
  <c r="L29" i="17"/>
  <c r="M148" i="5" s="1"/>
  <c r="N18" i="17"/>
  <c r="N17" i="17"/>
  <c r="N24" i="17"/>
  <c r="K11" i="17"/>
  <c r="K20" i="17"/>
  <c r="K29" i="17"/>
  <c r="L148" i="5" s="1"/>
  <c r="P9" i="17"/>
  <c r="P21" i="17"/>
  <c r="P25" i="17"/>
  <c r="N14" i="17"/>
  <c r="N16" i="17"/>
  <c r="N28" i="17"/>
  <c r="O147" i="5" s="1"/>
  <c r="P13" i="17"/>
  <c r="P22" i="17"/>
  <c r="N9" i="17"/>
  <c r="N27" i="17"/>
  <c r="O146" i="5" s="1"/>
  <c r="O13" i="17"/>
  <c r="O22" i="17"/>
  <c r="L14" i="17"/>
  <c r="L23" i="17"/>
  <c r="N11" i="17"/>
  <c r="N12" i="17"/>
  <c r="P12" i="17"/>
  <c r="P24" i="17"/>
  <c r="K14" i="17"/>
  <c r="K23" i="17"/>
  <c r="N15" i="17"/>
  <c r="N19" i="17"/>
  <c r="N23" i="17"/>
  <c r="P16" i="17"/>
  <c r="P15" i="17"/>
  <c r="P27" i="17"/>
  <c r="Q146" i="5" s="1"/>
  <c r="O16" i="17"/>
  <c r="O25" i="17"/>
  <c r="L17" i="17"/>
  <c r="L26" i="17"/>
  <c r="M145" i="5" s="1"/>
  <c r="N26" i="17"/>
  <c r="O145" i="5" s="1"/>
  <c r="N10" i="17"/>
  <c r="N22" i="17"/>
  <c r="K17" i="17"/>
  <c r="K26" i="17"/>
  <c r="L145" i="5" s="1"/>
  <c r="Q28" i="16"/>
  <c r="Q25" i="16"/>
  <c r="Q22" i="16"/>
  <c r="Q19" i="16"/>
  <c r="Q16" i="16"/>
  <c r="Q13" i="16"/>
  <c r="Q10" i="16"/>
  <c r="P28" i="16"/>
  <c r="P25" i="16"/>
  <c r="P22" i="16"/>
  <c r="P19" i="16"/>
  <c r="P16" i="16"/>
  <c r="P13" i="16"/>
  <c r="P10" i="16"/>
  <c r="K27" i="16"/>
  <c r="K18" i="16"/>
  <c r="K9" i="16"/>
  <c r="K15" i="16"/>
  <c r="L28" i="16"/>
  <c r="L25" i="16"/>
  <c r="L22" i="16"/>
  <c r="L19" i="16"/>
  <c r="L16" i="16"/>
  <c r="L13" i="16"/>
  <c r="L10" i="16"/>
  <c r="K28" i="16"/>
  <c r="K25" i="16"/>
  <c r="K22" i="16"/>
  <c r="K19" i="16"/>
  <c r="K16" i="16"/>
  <c r="K13" i="16"/>
  <c r="K10" i="16"/>
  <c r="M21" i="16"/>
  <c r="K21" i="16"/>
  <c r="K12" i="16"/>
  <c r="M27" i="16"/>
  <c r="M24" i="16"/>
  <c r="M18" i="16"/>
  <c r="M15" i="16"/>
  <c r="M12" i="16"/>
  <c r="M9" i="16"/>
  <c r="K24" i="16"/>
  <c r="O19" i="16"/>
  <c r="O25" i="16"/>
  <c r="Q23" i="16"/>
  <c r="Q12" i="16"/>
  <c r="Q21" i="16"/>
  <c r="N16" i="16"/>
  <c r="N28" i="16"/>
  <c r="L11" i="16"/>
  <c r="M14" i="16"/>
  <c r="P17" i="16"/>
  <c r="P26" i="16"/>
  <c r="O12" i="16"/>
  <c r="O24" i="16"/>
  <c r="P12" i="16"/>
  <c r="P24" i="16"/>
  <c r="M13" i="16"/>
  <c r="M22" i="16"/>
  <c r="K11" i="16"/>
  <c r="K23" i="16"/>
  <c r="N14" i="16"/>
  <c r="L14" i="16"/>
  <c r="M20" i="16"/>
  <c r="M26" i="16"/>
  <c r="L9" i="16"/>
  <c r="L18" i="16"/>
  <c r="L27" i="16"/>
  <c r="Q26" i="16"/>
  <c r="N12" i="16"/>
  <c r="N24" i="16"/>
  <c r="L17" i="16"/>
  <c r="N9" i="16"/>
  <c r="N23" i="16"/>
  <c r="O22" i="16"/>
  <c r="O17" i="16"/>
  <c r="N19" i="16"/>
  <c r="L20" i="16"/>
  <c r="L24" i="16"/>
  <c r="P9" i="16"/>
  <c r="N20" i="16"/>
  <c r="O10" i="16"/>
  <c r="Q29" i="16"/>
  <c r="R111" i="5" s="1"/>
  <c r="O15" i="16"/>
  <c r="O27" i="16"/>
  <c r="P15" i="16"/>
  <c r="P27" i="16"/>
  <c r="Q15" i="16"/>
  <c r="Q24" i="16"/>
  <c r="K14" i="16"/>
  <c r="K26" i="16"/>
  <c r="L26" i="16"/>
  <c r="M11" i="16"/>
  <c r="O26" i="16"/>
  <c r="P11" i="16"/>
  <c r="P20" i="16"/>
  <c r="P29" i="16"/>
  <c r="Q111" i="5" s="1"/>
  <c r="N15" i="16"/>
  <c r="N27" i="16"/>
  <c r="M16" i="16"/>
  <c r="M25" i="16"/>
  <c r="O11" i="16"/>
  <c r="L29" i="16"/>
  <c r="M111" i="5" s="1"/>
  <c r="L23" i="16"/>
  <c r="K20" i="16"/>
  <c r="M23" i="16"/>
  <c r="O16" i="16"/>
  <c r="L12" i="16"/>
  <c r="L21" i="16"/>
  <c r="Q20" i="16"/>
  <c r="N10" i="16"/>
  <c r="N22" i="16"/>
  <c r="O14" i="16"/>
  <c r="O28" i="16"/>
  <c r="O29" i="16"/>
  <c r="P111" i="5" s="1"/>
  <c r="Q11" i="16"/>
  <c r="O18" i="16"/>
  <c r="P18" i="16"/>
  <c r="O20" i="16"/>
  <c r="K17" i="16"/>
  <c r="K29" i="16"/>
  <c r="L111" i="5" s="1"/>
  <c r="L15" i="16"/>
  <c r="O13" i="16"/>
  <c r="M17" i="16"/>
  <c r="N17" i="16"/>
  <c r="N11" i="16"/>
  <c r="N18" i="16"/>
  <c r="Q9" i="16"/>
  <c r="Q18" i="16"/>
  <c r="Q27" i="16"/>
  <c r="R109" i="5" s="1"/>
  <c r="O23" i="16"/>
  <c r="N21" i="16"/>
  <c r="M29" i="16"/>
  <c r="N111" i="5" s="1"/>
  <c r="P14" i="16"/>
  <c r="P23" i="16"/>
  <c r="N26" i="16"/>
  <c r="M10" i="16"/>
  <c r="M19" i="16"/>
  <c r="M28" i="16"/>
  <c r="N110" i="5" s="1"/>
  <c r="N13" i="16"/>
  <c r="N25" i="16"/>
  <c r="N29" i="16"/>
  <c r="O111" i="5" s="1"/>
  <c r="Q17" i="16"/>
  <c r="Q14" i="16"/>
  <c r="O9" i="16"/>
  <c r="O21" i="16"/>
  <c r="P21" i="16"/>
  <c r="M29" i="15"/>
  <c r="N74" i="5" s="1"/>
  <c r="Q28" i="15"/>
  <c r="M26" i="15"/>
  <c r="Q25" i="15"/>
  <c r="M23" i="15"/>
  <c r="Q22" i="15"/>
  <c r="M20" i="15"/>
  <c r="Q19" i="15"/>
  <c r="M17" i="15"/>
  <c r="Q16" i="15"/>
  <c r="M14" i="15"/>
  <c r="Q13" i="15"/>
  <c r="M11" i="15"/>
  <c r="Q10" i="15"/>
  <c r="L29" i="15"/>
  <c r="M74" i="5" s="1"/>
  <c r="P28" i="15"/>
  <c r="L26" i="15"/>
  <c r="P25" i="15"/>
  <c r="L23" i="15"/>
  <c r="P22" i="15"/>
  <c r="L20" i="15"/>
  <c r="P19" i="15"/>
  <c r="L17" i="15"/>
  <c r="P16" i="15"/>
  <c r="L14" i="15"/>
  <c r="P13" i="15"/>
  <c r="L11" i="15"/>
  <c r="P10" i="15"/>
  <c r="K29" i="15"/>
  <c r="L74" i="5" s="1"/>
  <c r="O28" i="15"/>
  <c r="K26" i="15"/>
  <c r="O25" i="15"/>
  <c r="K23" i="15"/>
  <c r="O22" i="15"/>
  <c r="K20" i="15"/>
  <c r="O19" i="15"/>
  <c r="K17" i="15"/>
  <c r="O16" i="15"/>
  <c r="K14" i="15"/>
  <c r="O13" i="15"/>
  <c r="K11" i="15"/>
  <c r="O10" i="15"/>
  <c r="Q27" i="15"/>
  <c r="M25" i="15"/>
  <c r="Q24" i="15"/>
  <c r="M22" i="15"/>
  <c r="Q21" i="15"/>
  <c r="M19" i="15"/>
  <c r="Q18" i="15"/>
  <c r="M16" i="15"/>
  <c r="Q15" i="15"/>
  <c r="M13" i="15"/>
  <c r="Q12" i="15"/>
  <c r="M10" i="15"/>
  <c r="Q9" i="15"/>
  <c r="M28" i="15"/>
  <c r="N73" i="5" s="1"/>
  <c r="L28" i="15"/>
  <c r="M73" i="5" s="1"/>
  <c r="L25" i="15"/>
  <c r="L22" i="15"/>
  <c r="L19" i="15"/>
  <c r="L16" i="15"/>
  <c r="L13" i="15"/>
  <c r="L10" i="15"/>
  <c r="K28" i="15"/>
  <c r="L73" i="5" s="1"/>
  <c r="K25" i="15"/>
  <c r="K22" i="15"/>
  <c r="K19" i="15"/>
  <c r="K16" i="15"/>
  <c r="K13" i="15"/>
  <c r="K10" i="15"/>
  <c r="K9" i="15"/>
  <c r="Q29" i="15"/>
  <c r="R74" i="5" s="1"/>
  <c r="M27" i="15"/>
  <c r="N72" i="5" s="1"/>
  <c r="Q26" i="15"/>
  <c r="M24" i="15"/>
  <c r="Q23" i="15"/>
  <c r="M21" i="15"/>
  <c r="Q20" i="15"/>
  <c r="M18" i="15"/>
  <c r="Q17" i="15"/>
  <c r="M15" i="15"/>
  <c r="Q14" i="15"/>
  <c r="M12" i="15"/>
  <c r="Q11" i="15"/>
  <c r="M9" i="15"/>
  <c r="K21" i="15"/>
  <c r="O29" i="15"/>
  <c r="P74" i="5" s="1"/>
  <c r="K27" i="15"/>
  <c r="L72" i="5" s="1"/>
  <c r="O26" i="15"/>
  <c r="P71" i="5" s="1"/>
  <c r="K24" i="15"/>
  <c r="O23" i="15"/>
  <c r="O20" i="15"/>
  <c r="K18" i="15"/>
  <c r="O17" i="15"/>
  <c r="K15" i="15"/>
  <c r="O14" i="15"/>
  <c r="K12" i="15"/>
  <c r="O11" i="15"/>
  <c r="N20" i="15"/>
  <c r="N17" i="15"/>
  <c r="P14" i="15"/>
  <c r="P23" i="15"/>
  <c r="O15" i="15"/>
  <c r="O27" i="15"/>
  <c r="P72" i="5" s="1"/>
  <c r="P12" i="15"/>
  <c r="P24" i="15"/>
  <c r="N14" i="15"/>
  <c r="L15" i="15"/>
  <c r="L24" i="15"/>
  <c r="N18" i="15"/>
  <c r="N22" i="15"/>
  <c r="N25" i="15"/>
  <c r="N29" i="15"/>
  <c r="O74" i="5" s="1"/>
  <c r="N11" i="15"/>
  <c r="O18" i="15"/>
  <c r="P15" i="15"/>
  <c r="P27" i="15"/>
  <c r="N13" i="15"/>
  <c r="P17" i="15"/>
  <c r="P26" i="15"/>
  <c r="N9" i="15"/>
  <c r="N21" i="15"/>
  <c r="N19" i="15"/>
  <c r="L9" i="15"/>
  <c r="L18" i="15"/>
  <c r="L27" i="15"/>
  <c r="M72" i="5" s="1"/>
  <c r="P20" i="15"/>
  <c r="N26" i="15"/>
  <c r="O9" i="15"/>
  <c r="O21" i="15"/>
  <c r="P18" i="15"/>
  <c r="N16" i="15"/>
  <c r="N12" i="15"/>
  <c r="N24" i="15"/>
  <c r="P11" i="15"/>
  <c r="P29" i="15"/>
  <c r="Q74" i="5" s="1"/>
  <c r="N23" i="15"/>
  <c r="N28" i="15"/>
  <c r="O73" i="5" s="1"/>
  <c r="L12" i="15"/>
  <c r="L21" i="15"/>
  <c r="O12" i="15"/>
  <c r="O24" i="15"/>
  <c r="P9" i="15"/>
  <c r="P21" i="15"/>
  <c r="N10" i="15"/>
  <c r="N15" i="15"/>
  <c r="N27" i="15"/>
  <c r="O72" i="5" s="1"/>
  <c r="C2" i="9"/>
  <c r="C1" i="8"/>
  <c r="C3" i="9"/>
  <c r="C3" i="8"/>
  <c r="C4" i="7"/>
  <c r="C1" i="7"/>
  <c r="C2" i="7"/>
  <c r="C3" i="7"/>
  <c r="C4" i="9"/>
  <c r="C1" i="9"/>
  <c r="C1" i="6"/>
  <c r="C3" i="6"/>
  <c r="C4" i="6"/>
  <c r="C2" i="6"/>
  <c r="B4" i="4"/>
  <c r="B3" i="4"/>
  <c r="B2" i="4"/>
  <c r="E4" i="5" s="1"/>
  <c r="B1" i="4"/>
  <c r="C36" i="5"/>
  <c r="B35" i="5"/>
  <c r="Q72" i="5" l="1"/>
  <c r="R72" i="5"/>
  <c r="P73" i="5"/>
  <c r="Q73" i="5"/>
  <c r="R73" i="5"/>
  <c r="P110" i="5"/>
  <c r="O109" i="5"/>
  <c r="Q109" i="5"/>
  <c r="P109" i="5"/>
  <c r="M109" i="5"/>
  <c r="O110" i="5"/>
  <c r="N109" i="5"/>
  <c r="L110" i="5"/>
  <c r="M110" i="5"/>
  <c r="L109" i="5"/>
  <c r="Q110" i="5"/>
  <c r="R110" i="5"/>
  <c r="M146" i="5"/>
  <c r="L146" i="5"/>
  <c r="M147" i="5"/>
  <c r="R146" i="5"/>
  <c r="R147" i="5"/>
  <c r="L147" i="5"/>
  <c r="L441" i="5"/>
  <c r="P440" i="5"/>
  <c r="L442" i="5"/>
  <c r="O441" i="5"/>
  <c r="R444" i="5"/>
  <c r="R440" i="5"/>
  <c r="P441" i="5"/>
  <c r="O440" i="5"/>
  <c r="L443" i="5"/>
  <c r="Q443" i="5"/>
  <c r="P442" i="5"/>
  <c r="R442" i="5"/>
  <c r="O442" i="5"/>
  <c r="R441" i="5"/>
  <c r="M442" i="5"/>
  <c r="R443" i="5"/>
  <c r="Q442" i="5"/>
  <c r="L479" i="5"/>
  <c r="L480" i="5"/>
  <c r="L478" i="5"/>
  <c r="O479" i="5"/>
  <c r="O516" i="5"/>
  <c r="O515" i="5"/>
  <c r="Q516" i="5"/>
  <c r="O517" i="5"/>
  <c r="Q515" i="5"/>
  <c r="P517" i="5"/>
  <c r="R515" i="5"/>
  <c r="Q517" i="5"/>
  <c r="R517" i="5"/>
  <c r="O554" i="5"/>
  <c r="L552" i="5"/>
  <c r="O552" i="5"/>
  <c r="L553" i="5"/>
  <c r="L554" i="5"/>
  <c r="Q554" i="5"/>
  <c r="R554" i="5"/>
  <c r="C145" i="5"/>
  <c r="K145" i="5"/>
  <c r="D145" i="5"/>
  <c r="E145" i="5"/>
  <c r="G145" i="5"/>
  <c r="J145" i="5"/>
  <c r="F145" i="5"/>
  <c r="I145" i="5"/>
  <c r="H145" i="5"/>
  <c r="F477" i="5"/>
  <c r="I477" i="5"/>
  <c r="J477" i="5"/>
  <c r="E47" i="4"/>
  <c r="I47" i="4"/>
  <c r="D47" i="4"/>
  <c r="H47" i="4"/>
  <c r="G47" i="4"/>
  <c r="F47" i="4"/>
  <c r="J47" i="4"/>
  <c r="H41" i="4"/>
  <c r="I40" i="4"/>
  <c r="J42" i="4"/>
  <c r="E44" i="4"/>
  <c r="D38" i="4"/>
  <c r="D39" i="4"/>
  <c r="G37" i="4"/>
  <c r="I42" i="4"/>
  <c r="D42" i="4"/>
  <c r="G41" i="4"/>
  <c r="H44" i="4"/>
  <c r="J38" i="4"/>
  <c r="H39" i="4"/>
  <c r="F44" i="4"/>
  <c r="F43" i="4"/>
  <c r="E37" i="4"/>
  <c r="E43" i="4"/>
  <c r="I44" i="4"/>
  <c r="G43" i="4"/>
  <c r="D46" i="4"/>
  <c r="F46" i="4"/>
  <c r="G44" i="4"/>
  <c r="H45" i="4"/>
  <c r="F39" i="4"/>
  <c r="I43" i="4"/>
  <c r="I41" i="4"/>
  <c r="J39" i="4"/>
  <c r="G46" i="4"/>
  <c r="H46" i="4"/>
  <c r="I46" i="4"/>
  <c r="G40" i="4"/>
  <c r="G42" i="4"/>
  <c r="E46" i="4"/>
  <c r="J46" i="4"/>
  <c r="J41" i="4"/>
  <c r="D37" i="4"/>
  <c r="H38" i="4"/>
  <c r="J40" i="4"/>
  <c r="F40" i="4"/>
  <c r="H43" i="4"/>
  <c r="J43" i="4"/>
  <c r="I38" i="4"/>
  <c r="E39" i="4"/>
  <c r="F38" i="4"/>
  <c r="H37" i="4"/>
  <c r="D44" i="4"/>
  <c r="D40" i="4"/>
  <c r="J37" i="4"/>
  <c r="H42" i="4"/>
  <c r="D43" i="4"/>
  <c r="G38" i="4"/>
  <c r="J45" i="4"/>
  <c r="F42" i="4"/>
  <c r="E45" i="4"/>
  <c r="F37" i="4"/>
  <c r="I39" i="4"/>
  <c r="G45" i="4"/>
  <c r="I45" i="4"/>
  <c r="E42" i="4"/>
  <c r="H40" i="4"/>
  <c r="F45" i="4"/>
  <c r="D45" i="4"/>
  <c r="I37" i="4"/>
  <c r="G39" i="4"/>
  <c r="E40" i="4"/>
  <c r="E38" i="4"/>
  <c r="J44" i="4"/>
  <c r="F41" i="4"/>
  <c r="E41" i="4"/>
  <c r="D41" i="4"/>
  <c r="L71" i="5"/>
  <c r="E551" i="5"/>
  <c r="I551" i="5"/>
  <c r="G551" i="5"/>
  <c r="J551" i="5"/>
  <c r="F551" i="5"/>
  <c r="C551" i="5"/>
  <c r="R551" i="5"/>
  <c r="Q551" i="5"/>
  <c r="P551" i="5"/>
  <c r="O551" i="5"/>
  <c r="K551" i="5"/>
  <c r="N551" i="5"/>
  <c r="M551" i="5"/>
  <c r="L551" i="5"/>
  <c r="H551" i="5"/>
  <c r="I514" i="5"/>
  <c r="R514" i="5"/>
  <c r="Q514" i="5"/>
  <c r="P514" i="5"/>
  <c r="O514" i="5"/>
  <c r="N514" i="5"/>
  <c r="M514" i="5"/>
  <c r="L514" i="5"/>
  <c r="K514" i="5"/>
  <c r="C514" i="5"/>
  <c r="E514" i="5"/>
  <c r="J514" i="5"/>
  <c r="D514" i="5"/>
  <c r="H514" i="5"/>
  <c r="G514" i="5"/>
  <c r="G439" i="5"/>
  <c r="J439" i="5"/>
  <c r="D439" i="5"/>
  <c r="E439" i="5"/>
  <c r="N439" i="5"/>
  <c r="M439" i="5"/>
  <c r="L439" i="5"/>
  <c r="K439" i="5"/>
  <c r="O439" i="5"/>
  <c r="C439" i="5"/>
  <c r="R439" i="5"/>
  <c r="Q439" i="5"/>
  <c r="P439" i="5"/>
  <c r="F439" i="5"/>
  <c r="H439" i="5"/>
  <c r="D477" i="5"/>
  <c r="Q477" i="5"/>
  <c r="P477" i="5"/>
  <c r="M477" i="5"/>
  <c r="O477" i="5"/>
  <c r="N477" i="5"/>
  <c r="L477" i="5"/>
  <c r="K477" i="5"/>
  <c r="C477" i="5"/>
  <c r="R477" i="5"/>
  <c r="G477" i="5"/>
  <c r="E477" i="5"/>
  <c r="H477" i="5"/>
  <c r="B550" i="5"/>
  <c r="B513" i="5"/>
  <c r="B476" i="5"/>
  <c r="B438" i="5"/>
  <c r="G404" i="5"/>
  <c r="R404" i="5"/>
  <c r="F404" i="5"/>
  <c r="Q404" i="5"/>
  <c r="E404" i="5"/>
  <c r="P404" i="5"/>
  <c r="D404" i="5"/>
  <c r="O404" i="5"/>
  <c r="C404" i="5"/>
  <c r="I404" i="5"/>
  <c r="N404" i="5"/>
  <c r="M404" i="5"/>
  <c r="L404" i="5"/>
  <c r="K404" i="5"/>
  <c r="H404" i="5"/>
  <c r="J404" i="5"/>
  <c r="B403" i="5"/>
  <c r="Q255" i="5"/>
  <c r="E255" i="5"/>
  <c r="P255" i="5"/>
  <c r="D255" i="5"/>
  <c r="G255" i="5"/>
  <c r="O255" i="5"/>
  <c r="C255" i="5"/>
  <c r="N255" i="5"/>
  <c r="M255" i="5"/>
  <c r="L255" i="5"/>
  <c r="K255" i="5"/>
  <c r="J255" i="5"/>
  <c r="I255" i="5"/>
  <c r="H255" i="5"/>
  <c r="R255" i="5"/>
  <c r="F255" i="5"/>
  <c r="B144" i="5"/>
  <c r="G108" i="5"/>
  <c r="R108" i="5"/>
  <c r="F108" i="5"/>
  <c r="Q108" i="5"/>
  <c r="E108" i="5"/>
  <c r="P108" i="5"/>
  <c r="D108" i="5"/>
  <c r="I108" i="5"/>
  <c r="O108" i="5"/>
  <c r="C108" i="5"/>
  <c r="N108" i="5"/>
  <c r="M108" i="5"/>
  <c r="L108" i="5"/>
  <c r="K108" i="5"/>
  <c r="H108" i="5"/>
  <c r="J108" i="5"/>
  <c r="B107" i="5"/>
  <c r="B70" i="5"/>
  <c r="G70" i="5" s="1"/>
  <c r="D71" i="5"/>
  <c r="G71" i="5"/>
  <c r="H71" i="5"/>
  <c r="I71" i="5"/>
  <c r="R71" i="5"/>
  <c r="M71" i="5"/>
  <c r="C71" i="5"/>
  <c r="F71" i="5"/>
  <c r="Q71" i="5"/>
  <c r="J71" i="5"/>
  <c r="K71" i="5"/>
  <c r="N71" i="5"/>
  <c r="O71" i="5"/>
  <c r="E71" i="5"/>
  <c r="K37" i="5"/>
  <c r="K36" i="5"/>
  <c r="C4" i="4"/>
  <c r="C1" i="4"/>
  <c r="C2" i="4"/>
  <c r="C3" i="4"/>
  <c r="E11" i="4"/>
  <c r="H36" i="4"/>
  <c r="D36" i="4"/>
  <c r="E35" i="4"/>
  <c r="H34" i="4"/>
  <c r="G35" i="4"/>
  <c r="H35" i="4"/>
  <c r="J36" i="4"/>
  <c r="F35" i="4"/>
  <c r="H32" i="4"/>
  <c r="F34" i="4"/>
  <c r="I32" i="4"/>
  <c r="J33" i="4"/>
  <c r="G32" i="4"/>
  <c r="E36" i="4"/>
  <c r="H33" i="4"/>
  <c r="I35" i="4"/>
  <c r="E33" i="4"/>
  <c r="G34" i="4"/>
  <c r="F36" i="4"/>
  <c r="F33" i="4"/>
  <c r="D33" i="4"/>
  <c r="J34" i="4"/>
  <c r="J32" i="4"/>
  <c r="D35" i="4"/>
  <c r="D32" i="4"/>
  <c r="E34" i="4"/>
  <c r="I33" i="4"/>
  <c r="F32" i="4"/>
  <c r="E32" i="4"/>
  <c r="G36" i="4"/>
  <c r="I36" i="4"/>
  <c r="D34" i="4"/>
  <c r="G33" i="4"/>
  <c r="J35" i="4"/>
  <c r="I34" i="4"/>
  <c r="G9" i="4"/>
  <c r="D10" i="4"/>
  <c r="J10" i="4"/>
  <c r="I10" i="4"/>
  <c r="I22" i="4"/>
  <c r="G21" i="4"/>
  <c r="I26" i="4"/>
  <c r="D14" i="4"/>
  <c r="D17" i="4"/>
  <c r="D26" i="4"/>
  <c r="I14" i="4"/>
  <c r="D31" i="4"/>
  <c r="D29" i="4"/>
  <c r="H31" i="4"/>
  <c r="J30" i="4"/>
  <c r="D16" i="4"/>
  <c r="I28" i="4"/>
  <c r="G27" i="4"/>
  <c r="J19" i="4"/>
  <c r="H12" i="4"/>
  <c r="F17" i="4"/>
  <c r="E14" i="4"/>
  <c r="J14" i="4"/>
  <c r="F24" i="4"/>
  <c r="I12" i="4"/>
  <c r="E28" i="4"/>
  <c r="F26" i="4"/>
  <c r="G18" i="4"/>
  <c r="H14" i="4"/>
  <c r="E31" i="4"/>
  <c r="H27" i="4"/>
  <c r="J18" i="4"/>
  <c r="J16" i="4"/>
  <c r="D19" i="4"/>
  <c r="G30" i="4"/>
  <c r="E13" i="4"/>
  <c r="I30" i="4"/>
  <c r="J21" i="4"/>
  <c r="I20" i="4"/>
  <c r="J20" i="4"/>
  <c r="H17" i="4"/>
  <c r="G17" i="4"/>
  <c r="I16" i="4"/>
  <c r="G15" i="4"/>
  <c r="F19" i="4"/>
  <c r="I24" i="4"/>
  <c r="I19" i="4"/>
  <c r="F12" i="4"/>
  <c r="E20" i="4"/>
  <c r="E22" i="4"/>
  <c r="D25" i="4"/>
  <c r="G23" i="4"/>
  <c r="J28" i="4"/>
  <c r="D21" i="4"/>
  <c r="J22" i="4"/>
  <c r="G25" i="4"/>
  <c r="E16" i="4"/>
  <c r="F14" i="4"/>
  <c r="F18" i="4"/>
  <c r="F13" i="4"/>
  <c r="G24" i="4"/>
  <c r="J12" i="4"/>
  <c r="H21" i="4"/>
  <c r="H9" i="4"/>
  <c r="J31" i="4"/>
  <c r="I11" i="4"/>
  <c r="H24" i="4"/>
  <c r="F20" i="4"/>
  <c r="G11" i="4"/>
  <c r="J25" i="4"/>
  <c r="E15" i="4"/>
  <c r="D20" i="4"/>
  <c r="D12" i="4"/>
  <c r="H29" i="4"/>
  <c r="H15" i="4"/>
  <c r="G13" i="4"/>
  <c r="E19" i="4"/>
  <c r="H23" i="4"/>
  <c r="I21" i="4"/>
  <c r="E25" i="4"/>
  <c r="J13" i="4"/>
  <c r="H18" i="4"/>
  <c r="D27" i="4"/>
  <c r="E18" i="4"/>
  <c r="D24" i="4"/>
  <c r="H11" i="4"/>
  <c r="F28" i="4"/>
  <c r="I9" i="4"/>
  <c r="G20" i="4"/>
  <c r="G16" i="4"/>
  <c r="D11" i="4"/>
  <c r="H20" i="4"/>
  <c r="G10" i="4"/>
  <c r="J26" i="4"/>
  <c r="G14" i="4"/>
  <c r="I17" i="4"/>
  <c r="G29" i="4"/>
  <c r="D9" i="4"/>
  <c r="H13" i="4"/>
  <c r="E17" i="4"/>
  <c r="H10" i="4"/>
  <c r="I29" i="4"/>
  <c r="G28" i="4"/>
  <c r="D15" i="4"/>
  <c r="I27" i="4"/>
  <c r="H25" i="4"/>
  <c r="D23" i="4"/>
  <c r="I23" i="4"/>
  <c r="F16" i="4"/>
  <c r="E27" i="4"/>
  <c r="J27" i="4"/>
  <c r="F25" i="4"/>
  <c r="I18" i="4"/>
  <c r="J15" i="4"/>
  <c r="D30" i="4"/>
  <c r="I25" i="4"/>
  <c r="G19" i="4"/>
  <c r="D28" i="4"/>
  <c r="E26" i="4"/>
  <c r="F30" i="4"/>
  <c r="I15" i="4"/>
  <c r="E9" i="4"/>
  <c r="F27" i="4"/>
  <c r="F9" i="4"/>
  <c r="E12" i="4"/>
  <c r="H26" i="4"/>
  <c r="E30" i="4"/>
  <c r="G31" i="4"/>
  <c r="E21" i="4"/>
  <c r="E29" i="4"/>
  <c r="J29" i="4"/>
  <c r="G22" i="4"/>
  <c r="D18" i="4"/>
  <c r="J24" i="4"/>
  <c r="H28" i="4"/>
  <c r="J17" i="4"/>
  <c r="F29" i="4"/>
  <c r="G26" i="4"/>
  <c r="I31" i="4"/>
  <c r="H16" i="4"/>
  <c r="F21" i="4"/>
  <c r="I13" i="4"/>
  <c r="G12" i="4"/>
  <c r="H22" i="4"/>
  <c r="F15" i="4"/>
  <c r="E24" i="4"/>
  <c r="H30" i="4"/>
  <c r="F31" i="4"/>
  <c r="D13" i="4"/>
  <c r="H19" i="4"/>
  <c r="D22" i="4"/>
  <c r="E3" i="5"/>
  <c r="F23" i="4"/>
  <c r="F22" i="4"/>
  <c r="F10" i="4"/>
  <c r="J9" i="4"/>
  <c r="F11" i="4"/>
  <c r="E23" i="4"/>
  <c r="J23" i="4"/>
  <c r="E10" i="4"/>
  <c r="J11" i="4"/>
  <c r="K35" i="5"/>
  <c r="C35" i="5"/>
  <c r="B34" i="5"/>
  <c r="C144" i="5" l="1"/>
  <c r="K144" i="5"/>
  <c r="G144" i="5"/>
  <c r="H144" i="5"/>
  <c r="I144" i="5"/>
  <c r="J144" i="5"/>
  <c r="F144" i="5"/>
  <c r="D144" i="5"/>
  <c r="E144" i="5"/>
  <c r="P144" i="5"/>
  <c r="Q144" i="5"/>
  <c r="O144" i="5"/>
  <c r="M144" i="5"/>
  <c r="L144" i="5"/>
  <c r="N144" i="5"/>
  <c r="R144" i="5"/>
  <c r="Q47" i="4"/>
  <c r="P47" i="4"/>
  <c r="O47" i="4"/>
  <c r="N47" i="4"/>
  <c r="M47" i="4"/>
  <c r="L47" i="4"/>
  <c r="K47" i="4"/>
  <c r="N12" i="4"/>
  <c r="O39" i="4"/>
  <c r="L42" i="4"/>
  <c r="L44" i="4"/>
  <c r="K45" i="4"/>
  <c r="K38" i="4"/>
  <c r="Q37" i="4"/>
  <c r="K40" i="4"/>
  <c r="L46" i="4"/>
  <c r="N45" i="4"/>
  <c r="L45" i="4"/>
  <c r="M38" i="4"/>
  <c r="N42" i="4"/>
  <c r="K42" i="4"/>
  <c r="L39" i="4"/>
  <c r="Q39" i="4"/>
  <c r="P43" i="4"/>
  <c r="P44" i="4"/>
  <c r="O45" i="4"/>
  <c r="N37" i="4"/>
  <c r="P38" i="4"/>
  <c r="L38" i="4"/>
  <c r="N40" i="4"/>
  <c r="M45" i="4"/>
  <c r="M39" i="4"/>
  <c r="N46" i="4"/>
  <c r="O40" i="4"/>
  <c r="Q40" i="4"/>
  <c r="Q45" i="4"/>
  <c r="Q41" i="4"/>
  <c r="K43" i="4"/>
  <c r="K37" i="4"/>
  <c r="O43" i="4"/>
  <c r="M41" i="4"/>
  <c r="P39" i="4"/>
  <c r="M46" i="4"/>
  <c r="P40" i="4"/>
  <c r="O46" i="4"/>
  <c r="N44" i="4"/>
  <c r="M40" i="4"/>
  <c r="P46" i="4"/>
  <c r="P41" i="4"/>
  <c r="O44" i="4"/>
  <c r="N39" i="4"/>
  <c r="O38" i="4"/>
  <c r="M44" i="4"/>
  <c r="N41" i="4"/>
  <c r="N38" i="4"/>
  <c r="O42" i="4"/>
  <c r="Q43" i="4"/>
  <c r="Q38" i="4"/>
  <c r="O37" i="4"/>
  <c r="L37" i="4"/>
  <c r="Q42" i="4"/>
  <c r="Q44" i="4"/>
  <c r="L41" i="4"/>
  <c r="P37" i="4"/>
  <c r="K39" i="4"/>
  <c r="L40" i="4"/>
  <c r="P45" i="4"/>
  <c r="M42" i="4"/>
  <c r="K44" i="4"/>
  <c r="Q46" i="4"/>
  <c r="M43" i="4"/>
  <c r="L43" i="4"/>
  <c r="O41" i="4"/>
  <c r="K41" i="4"/>
  <c r="M37" i="4"/>
  <c r="N43" i="4"/>
  <c r="P42" i="4"/>
  <c r="K46" i="4"/>
  <c r="R550" i="5"/>
  <c r="Q550" i="5"/>
  <c r="P550" i="5"/>
  <c r="O550" i="5"/>
  <c r="N550" i="5"/>
  <c r="M550" i="5"/>
  <c r="L550" i="5"/>
  <c r="K550" i="5"/>
  <c r="C550" i="5"/>
  <c r="G550" i="5"/>
  <c r="J550" i="5"/>
  <c r="D550" i="5"/>
  <c r="I550" i="5"/>
  <c r="F550" i="5"/>
  <c r="E550" i="5"/>
  <c r="H550" i="5"/>
  <c r="Q513" i="5"/>
  <c r="P513" i="5"/>
  <c r="R513" i="5"/>
  <c r="O513" i="5"/>
  <c r="N513" i="5"/>
  <c r="M513" i="5"/>
  <c r="L513" i="5"/>
  <c r="K513" i="5"/>
  <c r="C513" i="5"/>
  <c r="D513" i="5"/>
  <c r="G513" i="5"/>
  <c r="H513" i="5"/>
  <c r="J513" i="5"/>
  <c r="F513" i="5"/>
  <c r="E513" i="5"/>
  <c r="I513" i="5"/>
  <c r="K438" i="5"/>
  <c r="C438" i="5"/>
  <c r="R438" i="5"/>
  <c r="Q438" i="5"/>
  <c r="P438" i="5"/>
  <c r="L438" i="5"/>
  <c r="O438" i="5"/>
  <c r="N438" i="5"/>
  <c r="M438" i="5"/>
  <c r="D438" i="5"/>
  <c r="E438" i="5"/>
  <c r="F438" i="5"/>
  <c r="H438" i="5"/>
  <c r="J438" i="5"/>
  <c r="I438" i="5"/>
  <c r="G438" i="5"/>
  <c r="N476" i="5"/>
  <c r="M476" i="5"/>
  <c r="L476" i="5"/>
  <c r="C476" i="5"/>
  <c r="K476" i="5"/>
  <c r="R476" i="5"/>
  <c r="Q476" i="5"/>
  <c r="P476" i="5"/>
  <c r="O476" i="5"/>
  <c r="H476" i="5"/>
  <c r="G476" i="5"/>
  <c r="J476" i="5"/>
  <c r="F476" i="5"/>
  <c r="D476" i="5"/>
  <c r="I476" i="5"/>
  <c r="E476" i="5"/>
  <c r="B549" i="5"/>
  <c r="B512" i="5"/>
  <c r="B475" i="5"/>
  <c r="B437" i="5"/>
  <c r="K403" i="5"/>
  <c r="J403" i="5"/>
  <c r="M403" i="5"/>
  <c r="L403" i="5"/>
  <c r="I403" i="5"/>
  <c r="H403" i="5"/>
  <c r="G403" i="5"/>
  <c r="R403" i="5"/>
  <c r="F403" i="5"/>
  <c r="Q403" i="5"/>
  <c r="E403" i="5"/>
  <c r="P403" i="5"/>
  <c r="D403" i="5"/>
  <c r="O403" i="5"/>
  <c r="C403" i="5"/>
  <c r="N403" i="5"/>
  <c r="B402" i="5"/>
  <c r="I254" i="5"/>
  <c r="H254" i="5"/>
  <c r="G254" i="5"/>
  <c r="R254" i="5"/>
  <c r="F254" i="5"/>
  <c r="Q254" i="5"/>
  <c r="E254" i="5"/>
  <c r="P254" i="5"/>
  <c r="D254" i="5"/>
  <c r="O254" i="5"/>
  <c r="C254" i="5"/>
  <c r="N254" i="5"/>
  <c r="M254" i="5"/>
  <c r="L254" i="5"/>
  <c r="J254" i="5"/>
  <c r="K254" i="5"/>
  <c r="B143" i="5"/>
  <c r="K107" i="5"/>
  <c r="L107" i="5"/>
  <c r="J107" i="5"/>
  <c r="I107" i="5"/>
  <c r="H107" i="5"/>
  <c r="G107" i="5"/>
  <c r="R107" i="5"/>
  <c r="F107" i="5"/>
  <c r="Q107" i="5"/>
  <c r="E107" i="5"/>
  <c r="M107" i="5"/>
  <c r="P107" i="5"/>
  <c r="D107" i="5"/>
  <c r="O107" i="5"/>
  <c r="C107" i="5"/>
  <c r="N107" i="5"/>
  <c r="B106" i="5"/>
  <c r="J70" i="5"/>
  <c r="K70" i="5"/>
  <c r="C70" i="5"/>
  <c r="M70" i="5"/>
  <c r="P70" i="5"/>
  <c r="E70" i="5"/>
  <c r="N70" i="5"/>
  <c r="F70" i="5"/>
  <c r="O70" i="5"/>
  <c r="H70" i="5"/>
  <c r="I70" i="5"/>
  <c r="Q70" i="5"/>
  <c r="D70" i="5"/>
  <c r="B69" i="5"/>
  <c r="I69" i="5" s="1"/>
  <c r="L70" i="5"/>
  <c r="R70" i="5"/>
  <c r="N69" i="5"/>
  <c r="M69" i="5"/>
  <c r="L69" i="5"/>
  <c r="E69" i="5"/>
  <c r="K69" i="5"/>
  <c r="J69" i="5"/>
  <c r="O69" i="5"/>
  <c r="H69" i="5"/>
  <c r="G69" i="5"/>
  <c r="D69" i="5"/>
  <c r="R69" i="5"/>
  <c r="Q69" i="5"/>
  <c r="P69" i="5"/>
  <c r="F69" i="5"/>
  <c r="C69" i="5"/>
  <c r="B68" i="5"/>
  <c r="H35" i="5"/>
  <c r="F35" i="5"/>
  <c r="E35" i="5"/>
  <c r="J35" i="5"/>
  <c r="G37" i="5"/>
  <c r="K20" i="4"/>
  <c r="L10" i="4"/>
  <c r="N28" i="4"/>
  <c r="O18" i="4"/>
  <c r="N21" i="4"/>
  <c r="Q17" i="4"/>
  <c r="N23" i="4"/>
  <c r="Q29" i="4"/>
  <c r="N15" i="4"/>
  <c r="N26" i="4"/>
  <c r="N27" i="4"/>
  <c r="K12" i="4"/>
  <c r="O19" i="4"/>
  <c r="N25" i="4"/>
  <c r="K22" i="4"/>
  <c r="N17" i="4"/>
  <c r="L17" i="4"/>
  <c r="O16" i="4"/>
  <c r="N24" i="4"/>
  <c r="M23" i="4"/>
  <c r="L18" i="4"/>
  <c r="Q30" i="4"/>
  <c r="N10" i="4"/>
  <c r="N18" i="4"/>
  <c r="Q16" i="4"/>
  <c r="N16" i="4"/>
  <c r="N14" i="4"/>
  <c r="M30" i="4"/>
  <c r="N19" i="4"/>
  <c r="K30" i="4"/>
  <c r="P14" i="4"/>
  <c r="O27" i="4"/>
  <c r="N13" i="4"/>
  <c r="P17" i="4"/>
  <c r="L15" i="4"/>
  <c r="N20" i="4"/>
  <c r="M17" i="4"/>
  <c r="P18" i="4"/>
  <c r="M13" i="4"/>
  <c r="M14" i="4"/>
  <c r="L22" i="4"/>
  <c r="M15" i="4"/>
  <c r="M28" i="4"/>
  <c r="M22" i="4"/>
  <c r="M18" i="4"/>
  <c r="P19" i="4"/>
  <c r="O29" i="4"/>
  <c r="P13" i="4"/>
  <c r="O23" i="4"/>
  <c r="P28" i="4"/>
  <c r="N30" i="4"/>
  <c r="N22" i="4"/>
  <c r="P20" i="4"/>
  <c r="M20" i="4"/>
  <c r="N9" i="4"/>
  <c r="M25" i="4"/>
  <c r="Q20" i="4"/>
  <c r="M31" i="4"/>
  <c r="L16" i="4"/>
  <c r="Q27" i="4"/>
  <c r="K27" i="4"/>
  <c r="Q24" i="4"/>
  <c r="L29" i="4"/>
  <c r="Q25" i="4"/>
  <c r="K15" i="4"/>
  <c r="K25" i="4"/>
  <c r="P12" i="4"/>
  <c r="P22" i="4"/>
  <c r="P25" i="4"/>
  <c r="L12" i="4"/>
  <c r="O11" i="4"/>
  <c r="O21" i="4"/>
  <c r="O14" i="4"/>
  <c r="K28" i="4"/>
  <c r="O22" i="4"/>
  <c r="K24" i="4"/>
  <c r="Q23" i="4"/>
  <c r="L27" i="4"/>
  <c r="Q9" i="4"/>
  <c r="Q19" i="4"/>
  <c r="L11" i="4"/>
  <c r="O20" i="4"/>
  <c r="M29" i="4"/>
  <c r="P11" i="4"/>
  <c r="N11" i="4"/>
  <c r="O9" i="4"/>
  <c r="Q22" i="4"/>
  <c r="Q15" i="4"/>
  <c r="N31" i="4"/>
  <c r="Q18" i="4"/>
  <c r="O25" i="4"/>
  <c r="L24" i="4"/>
  <c r="L21" i="4"/>
  <c r="K26" i="4"/>
  <c r="O30" i="4"/>
  <c r="O15" i="4"/>
  <c r="K17" i="4"/>
  <c r="K19" i="4"/>
  <c r="O26" i="4"/>
  <c r="K11" i="4"/>
  <c r="O12" i="4"/>
  <c r="L14" i="4"/>
  <c r="P15" i="4"/>
  <c r="L31" i="4"/>
  <c r="K14" i="4"/>
  <c r="M9" i="4"/>
  <c r="Q13" i="4"/>
  <c r="O13" i="4"/>
  <c r="K10" i="4"/>
  <c r="L20" i="4"/>
  <c r="K13" i="4"/>
  <c r="L23" i="4"/>
  <c r="Q26" i="4"/>
  <c r="K9" i="4"/>
  <c r="M12" i="4"/>
  <c r="Q11" i="4"/>
  <c r="Q28" i="4"/>
  <c r="M11" i="4"/>
  <c r="P9" i="4"/>
  <c r="O10" i="4"/>
  <c r="M10" i="4"/>
  <c r="K29" i="4"/>
  <c r="L25" i="4"/>
  <c r="K18" i="4"/>
  <c r="M26" i="4"/>
  <c r="O28" i="4"/>
  <c r="P30" i="4"/>
  <c r="M27" i="4"/>
  <c r="P23" i="4"/>
  <c r="P21" i="4"/>
  <c r="P26" i="4"/>
  <c r="M16" i="4"/>
  <c r="K23" i="4"/>
  <c r="O24" i="4"/>
  <c r="Q21" i="4"/>
  <c r="L28" i="4"/>
  <c r="L9" i="4"/>
  <c r="K21" i="4"/>
  <c r="L13" i="4"/>
  <c r="O31" i="4"/>
  <c r="M19" i="4"/>
  <c r="N29" i="4"/>
  <c r="Q31" i="4"/>
  <c r="Q12" i="4"/>
  <c r="P24" i="4"/>
  <c r="P29" i="4"/>
  <c r="O17" i="4"/>
  <c r="P27" i="4"/>
  <c r="K31" i="4"/>
  <c r="K16" i="4"/>
  <c r="Q14" i="4"/>
  <c r="P10" i="4"/>
  <c r="M24" i="4"/>
  <c r="P31" i="4"/>
  <c r="M21" i="4"/>
  <c r="P16" i="4"/>
  <c r="Q10" i="4"/>
  <c r="L26" i="4"/>
  <c r="L19" i="4"/>
  <c r="L30" i="4"/>
  <c r="K36" i="4"/>
  <c r="L36" i="4"/>
  <c r="K34" i="4"/>
  <c r="P35" i="4"/>
  <c r="O34" i="4"/>
  <c r="O32" i="4"/>
  <c r="P33" i="4"/>
  <c r="K32" i="4"/>
  <c r="M35" i="4"/>
  <c r="M36" i="4"/>
  <c r="P36" i="4"/>
  <c r="O36" i="4"/>
  <c r="L32" i="4"/>
  <c r="P34" i="4"/>
  <c r="N35" i="4"/>
  <c r="K35" i="4"/>
  <c r="L33" i="4"/>
  <c r="N32" i="4"/>
  <c r="L34" i="4"/>
  <c r="K33" i="4"/>
  <c r="O33" i="4"/>
  <c r="N34" i="4"/>
  <c r="Q35" i="4"/>
  <c r="N36" i="4"/>
  <c r="Q32" i="4"/>
  <c r="M33" i="4"/>
  <c r="M32" i="4"/>
  <c r="Q36" i="4"/>
  <c r="P32" i="4"/>
  <c r="L35" i="4"/>
  <c r="M34" i="4"/>
  <c r="O35" i="4"/>
  <c r="Q34" i="4"/>
  <c r="Q33" i="4"/>
  <c r="N33" i="4"/>
  <c r="G35" i="5"/>
  <c r="G36" i="5"/>
  <c r="I36" i="5"/>
  <c r="I37" i="5"/>
  <c r="H36" i="5"/>
  <c r="H37" i="5"/>
  <c r="J36" i="5"/>
  <c r="J37" i="5"/>
  <c r="F37" i="5"/>
  <c r="F36" i="5"/>
  <c r="E36" i="5"/>
  <c r="E37" i="5"/>
  <c r="D37" i="5"/>
  <c r="D36" i="5"/>
  <c r="I35" i="5"/>
  <c r="D35" i="5"/>
  <c r="K34" i="5"/>
  <c r="C34" i="5"/>
  <c r="E34" i="5"/>
  <c r="H34" i="5"/>
  <c r="B33" i="5"/>
  <c r="D34" i="5"/>
  <c r="J34" i="5"/>
  <c r="I34" i="5"/>
  <c r="F34" i="5"/>
  <c r="G34" i="5"/>
  <c r="C143" i="5" l="1"/>
  <c r="K143" i="5"/>
  <c r="F143" i="5"/>
  <c r="E143" i="5"/>
  <c r="I143" i="5"/>
  <c r="J143" i="5"/>
  <c r="D143" i="5"/>
  <c r="H143" i="5"/>
  <c r="G143" i="5"/>
  <c r="Q143" i="5"/>
  <c r="O143" i="5"/>
  <c r="M143" i="5"/>
  <c r="N143" i="5"/>
  <c r="R143" i="5"/>
  <c r="P143" i="5"/>
  <c r="L143" i="5"/>
  <c r="P549" i="5"/>
  <c r="O549" i="5"/>
  <c r="N549" i="5"/>
  <c r="M549" i="5"/>
  <c r="L549" i="5"/>
  <c r="K549" i="5"/>
  <c r="C549" i="5"/>
  <c r="Q549" i="5"/>
  <c r="R549" i="5"/>
  <c r="J549" i="5"/>
  <c r="F549" i="5"/>
  <c r="G549" i="5"/>
  <c r="E549" i="5"/>
  <c r="H549" i="5"/>
  <c r="I549" i="5"/>
  <c r="D549" i="5"/>
  <c r="N512" i="5"/>
  <c r="M512" i="5"/>
  <c r="L512" i="5"/>
  <c r="K512" i="5"/>
  <c r="C512" i="5"/>
  <c r="R512" i="5"/>
  <c r="Q512" i="5"/>
  <c r="P512" i="5"/>
  <c r="O512" i="5"/>
  <c r="J512" i="5"/>
  <c r="G512" i="5"/>
  <c r="E512" i="5"/>
  <c r="F512" i="5"/>
  <c r="D512" i="5"/>
  <c r="I512" i="5"/>
  <c r="H512" i="5"/>
  <c r="R437" i="5"/>
  <c r="Q437" i="5"/>
  <c r="P437" i="5"/>
  <c r="O437" i="5"/>
  <c r="N437" i="5"/>
  <c r="M437" i="5"/>
  <c r="L437" i="5"/>
  <c r="K437" i="5"/>
  <c r="C437" i="5"/>
  <c r="E437" i="5"/>
  <c r="D437" i="5"/>
  <c r="F437" i="5"/>
  <c r="G437" i="5"/>
  <c r="H437" i="5"/>
  <c r="J437" i="5"/>
  <c r="I437" i="5"/>
  <c r="K475" i="5"/>
  <c r="C475" i="5"/>
  <c r="R475" i="5"/>
  <c r="Q475" i="5"/>
  <c r="P475" i="5"/>
  <c r="O475" i="5"/>
  <c r="N475" i="5"/>
  <c r="M475" i="5"/>
  <c r="L475" i="5"/>
  <c r="J475" i="5"/>
  <c r="H475" i="5"/>
  <c r="E475" i="5"/>
  <c r="G475" i="5"/>
  <c r="D475" i="5"/>
  <c r="I475" i="5"/>
  <c r="F475" i="5"/>
  <c r="B548" i="5"/>
  <c r="B511" i="5"/>
  <c r="B474" i="5"/>
  <c r="B436" i="5"/>
  <c r="O402" i="5"/>
  <c r="C402" i="5"/>
  <c r="N402" i="5"/>
  <c r="M402" i="5"/>
  <c r="E402" i="5"/>
  <c r="L402" i="5"/>
  <c r="Q402" i="5"/>
  <c r="D402" i="5"/>
  <c r="K402" i="5"/>
  <c r="J402" i="5"/>
  <c r="I402" i="5"/>
  <c r="H402" i="5"/>
  <c r="G402" i="5"/>
  <c r="R402" i="5"/>
  <c r="F402" i="5"/>
  <c r="P402" i="5"/>
  <c r="B401" i="5"/>
  <c r="M253" i="5"/>
  <c r="L253" i="5"/>
  <c r="K253" i="5"/>
  <c r="J253" i="5"/>
  <c r="I253" i="5"/>
  <c r="C253" i="5"/>
  <c r="H253" i="5"/>
  <c r="G253" i="5"/>
  <c r="R253" i="5"/>
  <c r="F253" i="5"/>
  <c r="Q253" i="5"/>
  <c r="E253" i="5"/>
  <c r="P253" i="5"/>
  <c r="D253" i="5"/>
  <c r="O253" i="5"/>
  <c r="N253" i="5"/>
  <c r="B142" i="5"/>
  <c r="O106" i="5"/>
  <c r="C106" i="5"/>
  <c r="N106" i="5"/>
  <c r="M106" i="5"/>
  <c r="L106" i="5"/>
  <c r="K106" i="5"/>
  <c r="J106" i="5"/>
  <c r="Q106" i="5"/>
  <c r="I106" i="5"/>
  <c r="D106" i="5"/>
  <c r="H106" i="5"/>
  <c r="E106" i="5"/>
  <c r="P106" i="5"/>
  <c r="G106" i="5"/>
  <c r="R106" i="5"/>
  <c r="F106" i="5"/>
  <c r="B105" i="5"/>
  <c r="M68" i="5"/>
  <c r="L68" i="5"/>
  <c r="E68" i="5"/>
  <c r="K68" i="5"/>
  <c r="J68" i="5"/>
  <c r="I68" i="5"/>
  <c r="H68" i="5"/>
  <c r="G68" i="5"/>
  <c r="D68" i="5"/>
  <c r="N68" i="5"/>
  <c r="R68" i="5"/>
  <c r="Q68" i="5"/>
  <c r="P68" i="5"/>
  <c r="F68" i="5"/>
  <c r="C68" i="5"/>
  <c r="O68" i="5"/>
  <c r="B67" i="5"/>
  <c r="L37" i="5"/>
  <c r="Q37" i="5"/>
  <c r="N37" i="5"/>
  <c r="O37" i="5"/>
  <c r="P37" i="5"/>
  <c r="R36" i="5"/>
  <c r="M37" i="5"/>
  <c r="R34" i="5"/>
  <c r="M36" i="5"/>
  <c r="R37" i="5"/>
  <c r="R35" i="5"/>
  <c r="P34" i="5"/>
  <c r="P35" i="5"/>
  <c r="P36" i="5"/>
  <c r="N36" i="5"/>
  <c r="L34" i="5"/>
  <c r="M35" i="5"/>
  <c r="N34" i="5"/>
  <c r="M34" i="5"/>
  <c r="Q36" i="5"/>
  <c r="N35" i="5"/>
  <c r="L35" i="5"/>
  <c r="L36" i="5"/>
  <c r="O35" i="5"/>
  <c r="O34" i="5"/>
  <c r="O36" i="5"/>
  <c r="Q35" i="5"/>
  <c r="Q34" i="5"/>
  <c r="E33" i="5"/>
  <c r="K33" i="5"/>
  <c r="C33" i="5"/>
  <c r="B32" i="5"/>
  <c r="J33" i="5"/>
  <c r="L33" i="5"/>
  <c r="M33" i="5"/>
  <c r="N33" i="5"/>
  <c r="R33" i="5"/>
  <c r="O33" i="5"/>
  <c r="P33" i="5"/>
  <c r="Q33" i="5"/>
  <c r="H33" i="5"/>
  <c r="G33" i="5"/>
  <c r="F33" i="5"/>
  <c r="D33" i="5"/>
  <c r="I33" i="5"/>
  <c r="C142" i="5" l="1"/>
  <c r="K142" i="5"/>
  <c r="J142" i="5"/>
  <c r="F142" i="5"/>
  <c r="D142" i="5"/>
  <c r="E142" i="5"/>
  <c r="I142" i="5"/>
  <c r="G142" i="5"/>
  <c r="H142" i="5"/>
  <c r="O142" i="5"/>
  <c r="L142" i="5"/>
  <c r="M142" i="5"/>
  <c r="Q142" i="5"/>
  <c r="R142" i="5"/>
  <c r="P142" i="5"/>
  <c r="N142" i="5"/>
  <c r="M548" i="5"/>
  <c r="L548" i="5"/>
  <c r="K548" i="5"/>
  <c r="N548" i="5"/>
  <c r="C548" i="5"/>
  <c r="R548" i="5"/>
  <c r="Q548" i="5"/>
  <c r="P548" i="5"/>
  <c r="O548" i="5"/>
  <c r="I548" i="5"/>
  <c r="E548" i="5"/>
  <c r="G548" i="5"/>
  <c r="D548" i="5"/>
  <c r="H548" i="5"/>
  <c r="F548" i="5"/>
  <c r="J548" i="5"/>
  <c r="K511" i="5"/>
  <c r="L511" i="5"/>
  <c r="C511" i="5"/>
  <c r="R511" i="5"/>
  <c r="Q511" i="5"/>
  <c r="P511" i="5"/>
  <c r="O511" i="5"/>
  <c r="N511" i="5"/>
  <c r="M511" i="5"/>
  <c r="G511" i="5"/>
  <c r="I511" i="5"/>
  <c r="F511" i="5"/>
  <c r="H511" i="5"/>
  <c r="J511" i="5"/>
  <c r="D511" i="5"/>
  <c r="E511" i="5"/>
  <c r="Q436" i="5"/>
  <c r="P436" i="5"/>
  <c r="R436" i="5"/>
  <c r="O436" i="5"/>
  <c r="N436" i="5"/>
  <c r="M436" i="5"/>
  <c r="L436" i="5"/>
  <c r="K436" i="5"/>
  <c r="C436" i="5"/>
  <c r="I436" i="5"/>
  <c r="G436" i="5"/>
  <c r="H436" i="5"/>
  <c r="E436" i="5"/>
  <c r="D436" i="5"/>
  <c r="F436" i="5"/>
  <c r="J436" i="5"/>
  <c r="P474" i="5"/>
  <c r="R474" i="5"/>
  <c r="Q474" i="5"/>
  <c r="O474" i="5"/>
  <c r="N474" i="5"/>
  <c r="M474" i="5"/>
  <c r="L474" i="5"/>
  <c r="K474" i="5"/>
  <c r="C474" i="5"/>
  <c r="G474" i="5"/>
  <c r="F474" i="5"/>
  <c r="E474" i="5"/>
  <c r="J474" i="5"/>
  <c r="I474" i="5"/>
  <c r="D474" i="5"/>
  <c r="H474" i="5"/>
  <c r="B547" i="5"/>
  <c r="B510" i="5"/>
  <c r="B473" i="5"/>
  <c r="B435" i="5"/>
  <c r="G401" i="5"/>
  <c r="R401" i="5"/>
  <c r="F401" i="5"/>
  <c r="Q401" i="5"/>
  <c r="E401" i="5"/>
  <c r="P401" i="5"/>
  <c r="D401" i="5"/>
  <c r="O401" i="5"/>
  <c r="C401" i="5"/>
  <c r="N401" i="5"/>
  <c r="I401" i="5"/>
  <c r="M401" i="5"/>
  <c r="H401" i="5"/>
  <c r="L401" i="5"/>
  <c r="K401" i="5"/>
  <c r="J401" i="5"/>
  <c r="B400" i="5"/>
  <c r="Q252" i="5"/>
  <c r="E252" i="5"/>
  <c r="P252" i="5"/>
  <c r="D252" i="5"/>
  <c r="O252" i="5"/>
  <c r="C252" i="5"/>
  <c r="N252" i="5"/>
  <c r="G252" i="5"/>
  <c r="M252" i="5"/>
  <c r="L252" i="5"/>
  <c r="K252" i="5"/>
  <c r="J252" i="5"/>
  <c r="I252" i="5"/>
  <c r="H252" i="5"/>
  <c r="R252" i="5"/>
  <c r="F252" i="5"/>
  <c r="B141" i="5"/>
  <c r="G105" i="5"/>
  <c r="R105" i="5"/>
  <c r="F105" i="5"/>
  <c r="H105" i="5"/>
  <c r="Q105" i="5"/>
  <c r="E105" i="5"/>
  <c r="P105" i="5"/>
  <c r="D105" i="5"/>
  <c r="O105" i="5"/>
  <c r="C105" i="5"/>
  <c r="N105" i="5"/>
  <c r="M105" i="5"/>
  <c r="L105" i="5"/>
  <c r="K105" i="5"/>
  <c r="I105" i="5"/>
  <c r="J105" i="5"/>
  <c r="B104" i="5"/>
  <c r="L67" i="5"/>
  <c r="E67" i="5"/>
  <c r="K67" i="5"/>
  <c r="J67" i="5"/>
  <c r="M67" i="5"/>
  <c r="I67" i="5"/>
  <c r="H67" i="5"/>
  <c r="G67" i="5"/>
  <c r="D67" i="5"/>
  <c r="R67" i="5"/>
  <c r="Q67" i="5"/>
  <c r="P67" i="5"/>
  <c r="F67" i="5"/>
  <c r="C67" i="5"/>
  <c r="O67" i="5"/>
  <c r="N67" i="5"/>
  <c r="B66" i="5"/>
  <c r="I32" i="5"/>
  <c r="K32" i="5"/>
  <c r="C32" i="5"/>
  <c r="N32" i="5"/>
  <c r="B31" i="5"/>
  <c r="H32" i="5"/>
  <c r="Q32" i="5"/>
  <c r="O32" i="5"/>
  <c r="F32" i="5"/>
  <c r="R32" i="5"/>
  <c r="E32" i="5"/>
  <c r="L32" i="5"/>
  <c r="J32" i="5"/>
  <c r="M32" i="5"/>
  <c r="G32" i="5"/>
  <c r="P32" i="5"/>
  <c r="D32" i="5"/>
  <c r="K141" i="5" l="1"/>
  <c r="C141" i="5"/>
  <c r="J141" i="5"/>
  <c r="H141" i="5"/>
  <c r="I141" i="5"/>
  <c r="G141" i="5"/>
  <c r="D141" i="5"/>
  <c r="E141" i="5"/>
  <c r="F141" i="5"/>
  <c r="O141" i="5"/>
  <c r="P141" i="5"/>
  <c r="Q141" i="5"/>
  <c r="L141" i="5"/>
  <c r="M141" i="5"/>
  <c r="N141" i="5"/>
  <c r="R141" i="5"/>
  <c r="C547" i="5"/>
  <c r="K547" i="5"/>
  <c r="R547" i="5"/>
  <c r="Q547" i="5"/>
  <c r="P547" i="5"/>
  <c r="O547" i="5"/>
  <c r="N547" i="5"/>
  <c r="M547" i="5"/>
  <c r="L547" i="5"/>
  <c r="D547" i="5"/>
  <c r="G547" i="5"/>
  <c r="H547" i="5"/>
  <c r="I547" i="5"/>
  <c r="F547" i="5"/>
  <c r="J547" i="5"/>
  <c r="E547" i="5"/>
  <c r="R510" i="5"/>
  <c r="Q510" i="5"/>
  <c r="P510" i="5"/>
  <c r="O510" i="5"/>
  <c r="N510" i="5"/>
  <c r="M510" i="5"/>
  <c r="L510" i="5"/>
  <c r="K510" i="5"/>
  <c r="C510" i="5"/>
  <c r="F510" i="5"/>
  <c r="E510" i="5"/>
  <c r="G510" i="5"/>
  <c r="H510" i="5"/>
  <c r="J510" i="5"/>
  <c r="D510" i="5"/>
  <c r="I510" i="5"/>
  <c r="N435" i="5"/>
  <c r="M435" i="5"/>
  <c r="L435" i="5"/>
  <c r="K435" i="5"/>
  <c r="C435" i="5"/>
  <c r="O435" i="5"/>
  <c r="R435" i="5"/>
  <c r="Q435" i="5"/>
  <c r="P435" i="5"/>
  <c r="D435" i="5"/>
  <c r="E435" i="5"/>
  <c r="G435" i="5"/>
  <c r="H435" i="5"/>
  <c r="I435" i="5"/>
  <c r="F435" i="5"/>
  <c r="J435" i="5"/>
  <c r="Q473" i="5"/>
  <c r="P473" i="5"/>
  <c r="O473" i="5"/>
  <c r="N473" i="5"/>
  <c r="L473" i="5"/>
  <c r="K473" i="5"/>
  <c r="C473" i="5"/>
  <c r="R473" i="5"/>
  <c r="M473" i="5"/>
  <c r="F473" i="5"/>
  <c r="J473" i="5"/>
  <c r="H473" i="5"/>
  <c r="E473" i="5"/>
  <c r="D473" i="5"/>
  <c r="I473" i="5"/>
  <c r="G473" i="5"/>
  <c r="B546" i="5"/>
  <c r="B509" i="5"/>
  <c r="B472" i="5"/>
  <c r="B434" i="5"/>
  <c r="K400" i="5"/>
  <c r="J400" i="5"/>
  <c r="I400" i="5"/>
  <c r="H400" i="5"/>
  <c r="G400" i="5"/>
  <c r="R400" i="5"/>
  <c r="F400" i="5"/>
  <c r="L400" i="5"/>
  <c r="Q400" i="5"/>
  <c r="E400" i="5"/>
  <c r="M400" i="5"/>
  <c r="P400" i="5"/>
  <c r="D400" i="5"/>
  <c r="O400" i="5"/>
  <c r="C400" i="5"/>
  <c r="N400" i="5"/>
  <c r="B399" i="5"/>
  <c r="I251" i="5"/>
  <c r="H251" i="5"/>
  <c r="G251" i="5"/>
  <c r="R251" i="5"/>
  <c r="F251" i="5"/>
  <c r="Q251" i="5"/>
  <c r="E251" i="5"/>
  <c r="P251" i="5"/>
  <c r="D251" i="5"/>
  <c r="O251" i="5"/>
  <c r="C251" i="5"/>
  <c r="N251" i="5"/>
  <c r="M251" i="5"/>
  <c r="K251" i="5"/>
  <c r="L251" i="5"/>
  <c r="J251" i="5"/>
  <c r="B140" i="5"/>
  <c r="K104" i="5"/>
  <c r="J104" i="5"/>
  <c r="I104" i="5"/>
  <c r="H104" i="5"/>
  <c r="G104" i="5"/>
  <c r="R104" i="5"/>
  <c r="F104" i="5"/>
  <c r="L104" i="5"/>
  <c r="Q104" i="5"/>
  <c r="E104" i="5"/>
  <c r="P104" i="5"/>
  <c r="D104" i="5"/>
  <c r="O104" i="5"/>
  <c r="C104" i="5"/>
  <c r="M104" i="5"/>
  <c r="N104" i="5"/>
  <c r="B103" i="5"/>
  <c r="K66" i="5"/>
  <c r="L66" i="5"/>
  <c r="J66" i="5"/>
  <c r="E66" i="5"/>
  <c r="I66" i="5"/>
  <c r="H66" i="5"/>
  <c r="G66" i="5"/>
  <c r="D66" i="5"/>
  <c r="R66" i="5"/>
  <c r="Q66" i="5"/>
  <c r="P66" i="5"/>
  <c r="F66" i="5"/>
  <c r="C66" i="5"/>
  <c r="O66" i="5"/>
  <c r="N66" i="5"/>
  <c r="M66" i="5"/>
  <c r="B65" i="5"/>
  <c r="H31" i="5"/>
  <c r="K31" i="5"/>
  <c r="C31" i="5"/>
  <c r="N31" i="5"/>
  <c r="I31" i="5"/>
  <c r="M31" i="5"/>
  <c r="B30" i="5"/>
  <c r="Q31" i="5"/>
  <c r="G31" i="5"/>
  <c r="L31" i="5"/>
  <c r="E31" i="5"/>
  <c r="R31" i="5"/>
  <c r="F31" i="5"/>
  <c r="P31" i="5"/>
  <c r="J31" i="5"/>
  <c r="O31" i="5"/>
  <c r="D31" i="5"/>
  <c r="C140" i="5" l="1"/>
  <c r="K140" i="5"/>
  <c r="E140" i="5"/>
  <c r="D140" i="5"/>
  <c r="H140" i="5"/>
  <c r="G140" i="5"/>
  <c r="J140" i="5"/>
  <c r="I140" i="5"/>
  <c r="F140" i="5"/>
  <c r="Q140" i="5"/>
  <c r="O140" i="5"/>
  <c r="M140" i="5"/>
  <c r="N140" i="5"/>
  <c r="R140" i="5"/>
  <c r="P140" i="5"/>
  <c r="L140" i="5"/>
  <c r="R546" i="5"/>
  <c r="Q546" i="5"/>
  <c r="P546" i="5"/>
  <c r="O546" i="5"/>
  <c r="N546" i="5"/>
  <c r="M546" i="5"/>
  <c r="L546" i="5"/>
  <c r="K546" i="5"/>
  <c r="C546" i="5"/>
  <c r="J546" i="5"/>
  <c r="E546" i="5"/>
  <c r="G546" i="5"/>
  <c r="F546" i="5"/>
  <c r="I546" i="5"/>
  <c r="D546" i="5"/>
  <c r="H546" i="5"/>
  <c r="Q509" i="5"/>
  <c r="P509" i="5"/>
  <c r="O509" i="5"/>
  <c r="N509" i="5"/>
  <c r="M509" i="5"/>
  <c r="L509" i="5"/>
  <c r="K509" i="5"/>
  <c r="C509" i="5"/>
  <c r="R509" i="5"/>
  <c r="J509" i="5"/>
  <c r="D509" i="5"/>
  <c r="I509" i="5"/>
  <c r="E509" i="5"/>
  <c r="F509" i="5"/>
  <c r="G509" i="5"/>
  <c r="H509" i="5"/>
  <c r="K434" i="5"/>
  <c r="C434" i="5"/>
  <c r="R434" i="5"/>
  <c r="Q434" i="5"/>
  <c r="P434" i="5"/>
  <c r="O434" i="5"/>
  <c r="N434" i="5"/>
  <c r="M434" i="5"/>
  <c r="L434" i="5"/>
  <c r="H434" i="5"/>
  <c r="J434" i="5"/>
  <c r="G434" i="5"/>
  <c r="F434" i="5"/>
  <c r="D434" i="5"/>
  <c r="I434" i="5"/>
  <c r="E434" i="5"/>
  <c r="N472" i="5"/>
  <c r="M472" i="5"/>
  <c r="L472" i="5"/>
  <c r="K472" i="5"/>
  <c r="R472" i="5"/>
  <c r="Q472" i="5"/>
  <c r="P472" i="5"/>
  <c r="C472" i="5"/>
  <c r="O472" i="5"/>
  <c r="D472" i="5"/>
  <c r="H472" i="5"/>
  <c r="E472" i="5"/>
  <c r="F472" i="5"/>
  <c r="G472" i="5"/>
  <c r="I472" i="5"/>
  <c r="J472" i="5"/>
  <c r="B545" i="5"/>
  <c r="B508" i="5"/>
  <c r="B471" i="5"/>
  <c r="B433" i="5"/>
  <c r="O399" i="5"/>
  <c r="C399" i="5"/>
  <c r="N399" i="5"/>
  <c r="M399" i="5"/>
  <c r="E399" i="5"/>
  <c r="P399" i="5"/>
  <c r="L399" i="5"/>
  <c r="K399" i="5"/>
  <c r="Q399" i="5"/>
  <c r="J399" i="5"/>
  <c r="I399" i="5"/>
  <c r="H399" i="5"/>
  <c r="D399" i="5"/>
  <c r="G399" i="5"/>
  <c r="R399" i="5"/>
  <c r="F399" i="5"/>
  <c r="B398" i="5"/>
  <c r="M250" i="5"/>
  <c r="O250" i="5"/>
  <c r="L250" i="5"/>
  <c r="K250" i="5"/>
  <c r="C250" i="5"/>
  <c r="J250" i="5"/>
  <c r="I250" i="5"/>
  <c r="H250" i="5"/>
  <c r="G250" i="5"/>
  <c r="R250" i="5"/>
  <c r="F250" i="5"/>
  <c r="Q250" i="5"/>
  <c r="E250" i="5"/>
  <c r="P250" i="5"/>
  <c r="D250" i="5"/>
  <c r="N250" i="5"/>
  <c r="B139" i="5"/>
  <c r="O103" i="5"/>
  <c r="C103" i="5"/>
  <c r="N103" i="5"/>
  <c r="M103" i="5"/>
  <c r="L103" i="5"/>
  <c r="K103" i="5"/>
  <c r="P103" i="5"/>
  <c r="J103" i="5"/>
  <c r="I103" i="5"/>
  <c r="H103" i="5"/>
  <c r="G103" i="5"/>
  <c r="Q103" i="5"/>
  <c r="E103" i="5"/>
  <c r="R103" i="5"/>
  <c r="F103" i="5"/>
  <c r="D103" i="5"/>
  <c r="B102" i="5"/>
  <c r="J65" i="5"/>
  <c r="I65" i="5"/>
  <c r="K65" i="5"/>
  <c r="H65" i="5"/>
  <c r="G65" i="5"/>
  <c r="D65" i="5"/>
  <c r="R65" i="5"/>
  <c r="Q65" i="5"/>
  <c r="P65" i="5"/>
  <c r="F65" i="5"/>
  <c r="C65" i="5"/>
  <c r="O65" i="5"/>
  <c r="N65" i="5"/>
  <c r="M65" i="5"/>
  <c r="L65" i="5"/>
  <c r="E65" i="5"/>
  <c r="B64" i="5"/>
  <c r="D30" i="5"/>
  <c r="K30" i="5"/>
  <c r="C30" i="5"/>
  <c r="H30" i="5"/>
  <c r="Q30" i="5"/>
  <c r="F30" i="5"/>
  <c r="P30" i="5"/>
  <c r="R30" i="5"/>
  <c r="O30" i="5"/>
  <c r="N30" i="5"/>
  <c r="M30" i="5"/>
  <c r="L30" i="5"/>
  <c r="B29" i="5"/>
  <c r="I30" i="5"/>
  <c r="G30" i="5"/>
  <c r="J30" i="5"/>
  <c r="E30" i="5"/>
  <c r="C139" i="5" l="1"/>
  <c r="K139" i="5"/>
  <c r="D139" i="5"/>
  <c r="E139" i="5"/>
  <c r="G139" i="5"/>
  <c r="I139" i="5"/>
  <c r="H139" i="5"/>
  <c r="F139" i="5"/>
  <c r="J139" i="5"/>
  <c r="L139" i="5"/>
  <c r="M139" i="5"/>
  <c r="O139" i="5"/>
  <c r="Q139" i="5"/>
  <c r="R139" i="5"/>
  <c r="P139" i="5"/>
  <c r="N139" i="5"/>
  <c r="P545" i="5"/>
  <c r="Q545" i="5"/>
  <c r="O545" i="5"/>
  <c r="N545" i="5"/>
  <c r="M545" i="5"/>
  <c r="L545" i="5"/>
  <c r="K545" i="5"/>
  <c r="C545" i="5"/>
  <c r="R545" i="5"/>
  <c r="J545" i="5"/>
  <c r="G545" i="5"/>
  <c r="E545" i="5"/>
  <c r="D545" i="5"/>
  <c r="F545" i="5"/>
  <c r="I545" i="5"/>
  <c r="H545" i="5"/>
  <c r="N508" i="5"/>
  <c r="M508" i="5"/>
  <c r="L508" i="5"/>
  <c r="K508" i="5"/>
  <c r="C508" i="5"/>
  <c r="O508" i="5"/>
  <c r="R508" i="5"/>
  <c r="Q508" i="5"/>
  <c r="P508" i="5"/>
  <c r="F508" i="5"/>
  <c r="H508" i="5"/>
  <c r="D508" i="5"/>
  <c r="I508" i="5"/>
  <c r="G508" i="5"/>
  <c r="E508" i="5"/>
  <c r="J508" i="5"/>
  <c r="R433" i="5"/>
  <c r="Q433" i="5"/>
  <c r="P433" i="5"/>
  <c r="O433" i="5"/>
  <c r="N433" i="5"/>
  <c r="M433" i="5"/>
  <c r="L433" i="5"/>
  <c r="K433" i="5"/>
  <c r="C433" i="5"/>
  <c r="E433" i="5"/>
  <c r="D433" i="5"/>
  <c r="F433" i="5"/>
  <c r="G433" i="5"/>
  <c r="I433" i="5"/>
  <c r="H433" i="5"/>
  <c r="J433" i="5"/>
  <c r="K471" i="5"/>
  <c r="C471" i="5"/>
  <c r="R471" i="5"/>
  <c r="Q471" i="5"/>
  <c r="P471" i="5"/>
  <c r="O471" i="5"/>
  <c r="N471" i="5"/>
  <c r="M471" i="5"/>
  <c r="L471" i="5"/>
  <c r="E471" i="5"/>
  <c r="F471" i="5"/>
  <c r="I471" i="5"/>
  <c r="H471" i="5"/>
  <c r="J471" i="5"/>
  <c r="G471" i="5"/>
  <c r="D471" i="5"/>
  <c r="B544" i="5"/>
  <c r="B507" i="5"/>
  <c r="B470" i="5"/>
  <c r="B432" i="5"/>
  <c r="G398" i="5"/>
  <c r="H398" i="5"/>
  <c r="R398" i="5"/>
  <c r="F398" i="5"/>
  <c r="I398" i="5"/>
  <c r="Q398" i="5"/>
  <c r="E398" i="5"/>
  <c r="P398" i="5"/>
  <c r="D398" i="5"/>
  <c r="O398" i="5"/>
  <c r="C398" i="5"/>
  <c r="N398" i="5"/>
  <c r="M398" i="5"/>
  <c r="L398" i="5"/>
  <c r="K398" i="5"/>
  <c r="J398" i="5"/>
  <c r="B397" i="5"/>
  <c r="Q249" i="5"/>
  <c r="E249" i="5"/>
  <c r="P249" i="5"/>
  <c r="D249" i="5"/>
  <c r="O249" i="5"/>
  <c r="C249" i="5"/>
  <c r="N249" i="5"/>
  <c r="M249" i="5"/>
  <c r="L249" i="5"/>
  <c r="K249" i="5"/>
  <c r="J249" i="5"/>
  <c r="I249" i="5"/>
  <c r="H249" i="5"/>
  <c r="R249" i="5"/>
  <c r="F249" i="5"/>
  <c r="G249" i="5"/>
  <c r="B138" i="5"/>
  <c r="G102" i="5"/>
  <c r="R102" i="5"/>
  <c r="F102" i="5"/>
  <c r="Q102" i="5"/>
  <c r="E102" i="5"/>
  <c r="P102" i="5"/>
  <c r="D102" i="5"/>
  <c r="O102" i="5"/>
  <c r="C102" i="5"/>
  <c r="H102" i="5"/>
  <c r="N102" i="5"/>
  <c r="M102" i="5"/>
  <c r="L102" i="5"/>
  <c r="K102" i="5"/>
  <c r="I102" i="5"/>
  <c r="J102" i="5"/>
  <c r="B101" i="5"/>
  <c r="I64" i="5"/>
  <c r="H64" i="5"/>
  <c r="G64" i="5"/>
  <c r="D64" i="5"/>
  <c r="R64" i="5"/>
  <c r="J64" i="5"/>
  <c r="Q64" i="5"/>
  <c r="P64" i="5"/>
  <c r="F64" i="5"/>
  <c r="C64" i="5"/>
  <c r="O64" i="5"/>
  <c r="N64" i="5"/>
  <c r="M64" i="5"/>
  <c r="L64" i="5"/>
  <c r="E64" i="5"/>
  <c r="K64" i="5"/>
  <c r="B63" i="5"/>
  <c r="L29" i="5"/>
  <c r="K29" i="5"/>
  <c r="C29" i="5"/>
  <c r="D29" i="5"/>
  <c r="E29" i="5"/>
  <c r="I29" i="5"/>
  <c r="Q29" i="5"/>
  <c r="P29" i="5"/>
  <c r="G29" i="5"/>
  <c r="R29" i="5"/>
  <c r="B28" i="5"/>
  <c r="O29" i="5"/>
  <c r="J29" i="5"/>
  <c r="M29" i="5"/>
  <c r="H29" i="5"/>
  <c r="N29" i="5"/>
  <c r="F29" i="5"/>
  <c r="C138" i="5" l="1"/>
  <c r="K138" i="5"/>
  <c r="D138" i="5"/>
  <c r="F138" i="5"/>
  <c r="H138" i="5"/>
  <c r="G138" i="5"/>
  <c r="I138" i="5"/>
  <c r="E138" i="5"/>
  <c r="J138" i="5"/>
  <c r="O138" i="5"/>
  <c r="P138" i="5"/>
  <c r="Q138" i="5"/>
  <c r="M138" i="5"/>
  <c r="N138" i="5"/>
  <c r="R138" i="5"/>
  <c r="L138" i="5"/>
  <c r="M544" i="5"/>
  <c r="L544" i="5"/>
  <c r="K544" i="5"/>
  <c r="C544" i="5"/>
  <c r="N544" i="5"/>
  <c r="R544" i="5"/>
  <c r="Q544" i="5"/>
  <c r="P544" i="5"/>
  <c r="O544" i="5"/>
  <c r="H544" i="5"/>
  <c r="I544" i="5"/>
  <c r="D544" i="5"/>
  <c r="E544" i="5"/>
  <c r="J544" i="5"/>
  <c r="F544" i="5"/>
  <c r="G544" i="5"/>
  <c r="K507" i="5"/>
  <c r="C507" i="5"/>
  <c r="R507" i="5"/>
  <c r="Q507" i="5"/>
  <c r="P507" i="5"/>
  <c r="O507" i="5"/>
  <c r="L507" i="5"/>
  <c r="N507" i="5"/>
  <c r="M507" i="5"/>
  <c r="D507" i="5"/>
  <c r="E507" i="5"/>
  <c r="G507" i="5"/>
  <c r="I507" i="5"/>
  <c r="H507" i="5"/>
  <c r="J507" i="5"/>
  <c r="F507" i="5"/>
  <c r="Q432" i="5"/>
  <c r="P432" i="5"/>
  <c r="O432" i="5"/>
  <c r="N432" i="5"/>
  <c r="M432" i="5"/>
  <c r="L432" i="5"/>
  <c r="K432" i="5"/>
  <c r="C432" i="5"/>
  <c r="R432" i="5"/>
  <c r="J432" i="5"/>
  <c r="F432" i="5"/>
  <c r="I432" i="5"/>
  <c r="H432" i="5"/>
  <c r="D432" i="5"/>
  <c r="E432" i="5"/>
  <c r="G432" i="5"/>
  <c r="R470" i="5"/>
  <c r="Q470" i="5"/>
  <c r="O470" i="5"/>
  <c r="N470" i="5"/>
  <c r="M470" i="5"/>
  <c r="L470" i="5"/>
  <c r="K470" i="5"/>
  <c r="P470" i="5"/>
  <c r="C470" i="5"/>
  <c r="G470" i="5"/>
  <c r="F470" i="5"/>
  <c r="J470" i="5"/>
  <c r="H470" i="5"/>
  <c r="E470" i="5"/>
  <c r="I470" i="5"/>
  <c r="D470" i="5"/>
  <c r="B543" i="5"/>
  <c r="B506" i="5"/>
  <c r="B469" i="5"/>
  <c r="B431" i="5"/>
  <c r="K397" i="5"/>
  <c r="M397" i="5"/>
  <c r="J397" i="5"/>
  <c r="I397" i="5"/>
  <c r="L397" i="5"/>
  <c r="H397" i="5"/>
  <c r="G397" i="5"/>
  <c r="R397" i="5"/>
  <c r="F397" i="5"/>
  <c r="Q397" i="5"/>
  <c r="E397" i="5"/>
  <c r="P397" i="5"/>
  <c r="D397" i="5"/>
  <c r="O397" i="5"/>
  <c r="C397" i="5"/>
  <c r="N397" i="5"/>
  <c r="B396" i="5"/>
  <c r="I248" i="5"/>
  <c r="H248" i="5"/>
  <c r="G248" i="5"/>
  <c r="R248" i="5"/>
  <c r="F248" i="5"/>
  <c r="Q248" i="5"/>
  <c r="E248" i="5"/>
  <c r="K248" i="5"/>
  <c r="P248" i="5"/>
  <c r="D248" i="5"/>
  <c r="O248" i="5"/>
  <c r="C248" i="5"/>
  <c r="N248" i="5"/>
  <c r="M248" i="5"/>
  <c r="L248" i="5"/>
  <c r="J248" i="5"/>
  <c r="B137" i="5"/>
  <c r="K101" i="5"/>
  <c r="J101" i="5"/>
  <c r="I101" i="5"/>
  <c r="H101" i="5"/>
  <c r="L101" i="5"/>
  <c r="G101" i="5"/>
  <c r="R101" i="5"/>
  <c r="F101" i="5"/>
  <c r="Q101" i="5"/>
  <c r="E101" i="5"/>
  <c r="P101" i="5"/>
  <c r="D101" i="5"/>
  <c r="O101" i="5"/>
  <c r="C101" i="5"/>
  <c r="M101" i="5"/>
  <c r="N101" i="5"/>
  <c r="B100" i="5"/>
  <c r="H63" i="5"/>
  <c r="G63" i="5"/>
  <c r="D63" i="5"/>
  <c r="R63" i="5"/>
  <c r="Q63" i="5"/>
  <c r="P63" i="5"/>
  <c r="F63" i="5"/>
  <c r="C63" i="5"/>
  <c r="O63" i="5"/>
  <c r="N63" i="5"/>
  <c r="M63" i="5"/>
  <c r="L63" i="5"/>
  <c r="E63" i="5"/>
  <c r="I63" i="5"/>
  <c r="K63" i="5"/>
  <c r="J63" i="5"/>
  <c r="B62" i="5"/>
  <c r="N28" i="5"/>
  <c r="K28" i="5"/>
  <c r="C28" i="5"/>
  <c r="D28" i="5"/>
  <c r="H28" i="5"/>
  <c r="I28" i="5"/>
  <c r="P28" i="5"/>
  <c r="O28" i="5"/>
  <c r="F28" i="5"/>
  <c r="G28" i="5"/>
  <c r="M28" i="5"/>
  <c r="Q28" i="5"/>
  <c r="J28" i="5"/>
  <c r="L28" i="5"/>
  <c r="B27" i="5"/>
  <c r="R28" i="5"/>
  <c r="E28" i="5"/>
  <c r="K137" i="5" l="1"/>
  <c r="C137" i="5"/>
  <c r="D137" i="5"/>
  <c r="G137" i="5"/>
  <c r="E137" i="5"/>
  <c r="I137" i="5"/>
  <c r="F137" i="5"/>
  <c r="J137" i="5"/>
  <c r="H137" i="5"/>
  <c r="O137" i="5"/>
  <c r="Q137" i="5"/>
  <c r="M137" i="5"/>
  <c r="N137" i="5"/>
  <c r="R137" i="5"/>
  <c r="P137" i="5"/>
  <c r="L137" i="5"/>
  <c r="C543" i="5"/>
  <c r="K543" i="5"/>
  <c r="R543" i="5"/>
  <c r="Q543" i="5"/>
  <c r="P543" i="5"/>
  <c r="O543" i="5"/>
  <c r="N543" i="5"/>
  <c r="M543" i="5"/>
  <c r="L543" i="5"/>
  <c r="H543" i="5"/>
  <c r="I543" i="5"/>
  <c r="F543" i="5"/>
  <c r="G543" i="5"/>
  <c r="E543" i="5"/>
  <c r="D543" i="5"/>
  <c r="J543" i="5"/>
  <c r="R506" i="5"/>
  <c r="Q506" i="5"/>
  <c r="P506" i="5"/>
  <c r="O506" i="5"/>
  <c r="N506" i="5"/>
  <c r="M506" i="5"/>
  <c r="L506" i="5"/>
  <c r="K506" i="5"/>
  <c r="C506" i="5"/>
  <c r="F506" i="5"/>
  <c r="I506" i="5"/>
  <c r="H506" i="5"/>
  <c r="D506" i="5"/>
  <c r="G506" i="5"/>
  <c r="E506" i="5"/>
  <c r="J506" i="5"/>
  <c r="N431" i="5"/>
  <c r="M431" i="5"/>
  <c r="L431" i="5"/>
  <c r="K431" i="5"/>
  <c r="C431" i="5"/>
  <c r="R431" i="5"/>
  <c r="Q431" i="5"/>
  <c r="O431" i="5"/>
  <c r="P431" i="5"/>
  <c r="D431" i="5"/>
  <c r="E431" i="5"/>
  <c r="F431" i="5"/>
  <c r="J431" i="5"/>
  <c r="H431" i="5"/>
  <c r="G431" i="5"/>
  <c r="I431" i="5"/>
  <c r="Q469" i="5"/>
  <c r="P469" i="5"/>
  <c r="O469" i="5"/>
  <c r="N469" i="5"/>
  <c r="L469" i="5"/>
  <c r="M469" i="5"/>
  <c r="K469" i="5"/>
  <c r="C469" i="5"/>
  <c r="R469" i="5"/>
  <c r="F469" i="5"/>
  <c r="G469" i="5"/>
  <c r="J469" i="5"/>
  <c r="H469" i="5"/>
  <c r="I469" i="5"/>
  <c r="D469" i="5"/>
  <c r="E469" i="5"/>
  <c r="B542" i="5"/>
  <c r="B505" i="5"/>
  <c r="B468" i="5"/>
  <c r="B430" i="5"/>
  <c r="O396" i="5"/>
  <c r="C396" i="5"/>
  <c r="N396" i="5"/>
  <c r="D396" i="5"/>
  <c r="M396" i="5"/>
  <c r="L396" i="5"/>
  <c r="E396" i="5"/>
  <c r="P396" i="5"/>
  <c r="K396" i="5"/>
  <c r="Q396" i="5"/>
  <c r="J396" i="5"/>
  <c r="I396" i="5"/>
  <c r="H396" i="5"/>
  <c r="G396" i="5"/>
  <c r="R396" i="5"/>
  <c r="F396" i="5"/>
  <c r="B395" i="5"/>
  <c r="M247" i="5"/>
  <c r="L247" i="5"/>
  <c r="C247" i="5"/>
  <c r="K247" i="5"/>
  <c r="J247" i="5"/>
  <c r="O247" i="5"/>
  <c r="I247" i="5"/>
  <c r="H247" i="5"/>
  <c r="G247" i="5"/>
  <c r="R247" i="5"/>
  <c r="F247" i="5"/>
  <c r="Q247" i="5"/>
  <c r="E247" i="5"/>
  <c r="P247" i="5"/>
  <c r="D247" i="5"/>
  <c r="N247" i="5"/>
  <c r="B136" i="5"/>
  <c r="O100" i="5"/>
  <c r="C100" i="5"/>
  <c r="N100" i="5"/>
  <c r="M100" i="5"/>
  <c r="L100" i="5"/>
  <c r="K100" i="5"/>
  <c r="P100" i="5"/>
  <c r="J100" i="5"/>
  <c r="I100" i="5"/>
  <c r="H100" i="5"/>
  <c r="G100" i="5"/>
  <c r="Q100" i="5"/>
  <c r="E100" i="5"/>
  <c r="R100" i="5"/>
  <c r="F100" i="5"/>
  <c r="D100" i="5"/>
  <c r="B99" i="5"/>
  <c r="R62" i="5"/>
  <c r="Q62" i="5"/>
  <c r="D62" i="5"/>
  <c r="P62" i="5"/>
  <c r="F62" i="5"/>
  <c r="C62" i="5"/>
  <c r="O62" i="5"/>
  <c r="G62" i="5"/>
  <c r="N62" i="5"/>
  <c r="M62" i="5"/>
  <c r="L62" i="5"/>
  <c r="E62" i="5"/>
  <c r="K62" i="5"/>
  <c r="J62" i="5"/>
  <c r="H62" i="5"/>
  <c r="I62" i="5"/>
  <c r="B61" i="5"/>
  <c r="R27" i="5"/>
  <c r="K27" i="5"/>
  <c r="C27" i="5"/>
  <c r="Q27" i="5"/>
  <c r="D27" i="5"/>
  <c r="F27" i="5"/>
  <c r="E27" i="5"/>
  <c r="O27" i="5"/>
  <c r="P27" i="5"/>
  <c r="B26" i="5"/>
  <c r="M27" i="5"/>
  <c r="I27" i="5"/>
  <c r="L27" i="5"/>
  <c r="J27" i="5"/>
  <c r="N27" i="5"/>
  <c r="G27" i="5"/>
  <c r="H27" i="5"/>
  <c r="K136" i="5" l="1"/>
  <c r="C136" i="5"/>
  <c r="D136" i="5"/>
  <c r="E136" i="5"/>
  <c r="F136" i="5"/>
  <c r="I136" i="5"/>
  <c r="G136" i="5"/>
  <c r="J136" i="5"/>
  <c r="H136" i="5"/>
  <c r="L136" i="5"/>
  <c r="M136" i="5"/>
  <c r="O136" i="5"/>
  <c r="Q136" i="5"/>
  <c r="R136" i="5"/>
  <c r="P136" i="5"/>
  <c r="N136" i="5"/>
  <c r="R542" i="5"/>
  <c r="Q542" i="5"/>
  <c r="P542" i="5"/>
  <c r="O542" i="5"/>
  <c r="N542" i="5"/>
  <c r="M542" i="5"/>
  <c r="L542" i="5"/>
  <c r="K542" i="5"/>
  <c r="C542" i="5"/>
  <c r="J542" i="5"/>
  <c r="E542" i="5"/>
  <c r="F542" i="5"/>
  <c r="D542" i="5"/>
  <c r="I542" i="5"/>
  <c r="G542" i="5"/>
  <c r="H542" i="5"/>
  <c r="Q505" i="5"/>
  <c r="P505" i="5"/>
  <c r="O505" i="5"/>
  <c r="N505" i="5"/>
  <c r="M505" i="5"/>
  <c r="L505" i="5"/>
  <c r="K505" i="5"/>
  <c r="C505" i="5"/>
  <c r="R505" i="5"/>
  <c r="I505" i="5"/>
  <c r="J505" i="5"/>
  <c r="G505" i="5"/>
  <c r="E505" i="5"/>
  <c r="D505" i="5"/>
  <c r="H505" i="5"/>
  <c r="F505" i="5"/>
  <c r="K430" i="5"/>
  <c r="C430" i="5"/>
  <c r="L430" i="5"/>
  <c r="R430" i="5"/>
  <c r="Q430" i="5"/>
  <c r="P430" i="5"/>
  <c r="O430" i="5"/>
  <c r="N430" i="5"/>
  <c r="M430" i="5"/>
  <c r="D430" i="5"/>
  <c r="F430" i="5"/>
  <c r="H430" i="5"/>
  <c r="G430" i="5"/>
  <c r="E430" i="5"/>
  <c r="I430" i="5"/>
  <c r="J430" i="5"/>
  <c r="N468" i="5"/>
  <c r="M468" i="5"/>
  <c r="L468" i="5"/>
  <c r="K468" i="5"/>
  <c r="C468" i="5"/>
  <c r="R468" i="5"/>
  <c r="Q468" i="5"/>
  <c r="P468" i="5"/>
  <c r="O468" i="5"/>
  <c r="I468" i="5"/>
  <c r="G468" i="5"/>
  <c r="E468" i="5"/>
  <c r="H468" i="5"/>
  <c r="D468" i="5"/>
  <c r="J468" i="5"/>
  <c r="F468" i="5"/>
  <c r="B541" i="5"/>
  <c r="B504" i="5"/>
  <c r="B467" i="5"/>
  <c r="B429" i="5"/>
  <c r="G395" i="5"/>
  <c r="R395" i="5"/>
  <c r="F395" i="5"/>
  <c r="Q395" i="5"/>
  <c r="E395" i="5"/>
  <c r="P395" i="5"/>
  <c r="D395" i="5"/>
  <c r="O395" i="5"/>
  <c r="C395" i="5"/>
  <c r="N395" i="5"/>
  <c r="M395" i="5"/>
  <c r="L395" i="5"/>
  <c r="I395" i="5"/>
  <c r="K395" i="5"/>
  <c r="H395" i="5"/>
  <c r="J395" i="5"/>
  <c r="B394" i="5"/>
  <c r="Q246" i="5"/>
  <c r="E246" i="5"/>
  <c r="G246" i="5"/>
  <c r="P246" i="5"/>
  <c r="D246" i="5"/>
  <c r="O246" i="5"/>
  <c r="C246" i="5"/>
  <c r="N246" i="5"/>
  <c r="M246" i="5"/>
  <c r="L246" i="5"/>
  <c r="K246" i="5"/>
  <c r="J246" i="5"/>
  <c r="I246" i="5"/>
  <c r="H246" i="5"/>
  <c r="R246" i="5"/>
  <c r="F246" i="5"/>
  <c r="B135" i="5"/>
  <c r="G99" i="5"/>
  <c r="R99" i="5"/>
  <c r="F99" i="5"/>
  <c r="Q99" i="5"/>
  <c r="E99" i="5"/>
  <c r="P99" i="5"/>
  <c r="D99" i="5"/>
  <c r="O99" i="5"/>
  <c r="C99" i="5"/>
  <c r="N99" i="5"/>
  <c r="M99" i="5"/>
  <c r="L99" i="5"/>
  <c r="H99" i="5"/>
  <c r="K99" i="5"/>
  <c r="I99" i="5"/>
  <c r="J99" i="5"/>
  <c r="B98" i="5"/>
  <c r="R61" i="5"/>
  <c r="Q61" i="5"/>
  <c r="P61" i="5"/>
  <c r="F61" i="5"/>
  <c r="C61" i="5"/>
  <c r="O61" i="5"/>
  <c r="N61" i="5"/>
  <c r="M61" i="5"/>
  <c r="L61" i="5"/>
  <c r="E61" i="5"/>
  <c r="K61" i="5"/>
  <c r="J61" i="5"/>
  <c r="I61" i="5"/>
  <c r="H61" i="5"/>
  <c r="G61" i="5"/>
  <c r="D61" i="5"/>
  <c r="B60" i="5"/>
  <c r="B25" i="5"/>
  <c r="P25" i="5" s="1"/>
  <c r="C26" i="5"/>
  <c r="K26" i="5"/>
  <c r="N26" i="5"/>
  <c r="M26" i="5"/>
  <c r="F26" i="5"/>
  <c r="Q26" i="5"/>
  <c r="P26" i="5"/>
  <c r="O26" i="5"/>
  <c r="J26" i="5"/>
  <c r="I26" i="5"/>
  <c r="E26" i="5"/>
  <c r="R26" i="5"/>
  <c r="H26" i="5"/>
  <c r="G26" i="5"/>
  <c r="L26" i="5"/>
  <c r="D26" i="5"/>
  <c r="K135" i="5" l="1"/>
  <c r="C135" i="5"/>
  <c r="F135" i="5"/>
  <c r="G135" i="5"/>
  <c r="H135" i="5"/>
  <c r="I135" i="5"/>
  <c r="J135" i="5"/>
  <c r="E135" i="5"/>
  <c r="D135" i="5"/>
  <c r="P135" i="5"/>
  <c r="Q135" i="5"/>
  <c r="O135" i="5"/>
  <c r="L135" i="5"/>
  <c r="M135" i="5"/>
  <c r="N135" i="5"/>
  <c r="R135" i="5"/>
  <c r="P541" i="5"/>
  <c r="O541" i="5"/>
  <c r="N541" i="5"/>
  <c r="M541" i="5"/>
  <c r="L541" i="5"/>
  <c r="K541" i="5"/>
  <c r="Q541" i="5"/>
  <c r="C541" i="5"/>
  <c r="R541" i="5"/>
  <c r="F541" i="5"/>
  <c r="E541" i="5"/>
  <c r="H541" i="5"/>
  <c r="D541" i="5"/>
  <c r="I541" i="5"/>
  <c r="J541" i="5"/>
  <c r="G541" i="5"/>
  <c r="N504" i="5"/>
  <c r="M504" i="5"/>
  <c r="O504" i="5"/>
  <c r="L504" i="5"/>
  <c r="K504" i="5"/>
  <c r="C504" i="5"/>
  <c r="R504" i="5"/>
  <c r="Q504" i="5"/>
  <c r="P504" i="5"/>
  <c r="I504" i="5"/>
  <c r="G504" i="5"/>
  <c r="H504" i="5"/>
  <c r="E504" i="5"/>
  <c r="D504" i="5"/>
  <c r="F504" i="5"/>
  <c r="J504" i="5"/>
  <c r="R429" i="5"/>
  <c r="Q429" i="5"/>
  <c r="P429" i="5"/>
  <c r="O429" i="5"/>
  <c r="N429" i="5"/>
  <c r="M429" i="5"/>
  <c r="L429" i="5"/>
  <c r="K429" i="5"/>
  <c r="C429" i="5"/>
  <c r="I429" i="5"/>
  <c r="H429" i="5"/>
  <c r="F429" i="5"/>
  <c r="D429" i="5"/>
  <c r="E429" i="5"/>
  <c r="G429" i="5"/>
  <c r="J429" i="5"/>
  <c r="K467" i="5"/>
  <c r="C467" i="5"/>
  <c r="R467" i="5"/>
  <c r="Q467" i="5"/>
  <c r="P467" i="5"/>
  <c r="O467" i="5"/>
  <c r="N467" i="5"/>
  <c r="M467" i="5"/>
  <c r="L467" i="5"/>
  <c r="J467" i="5"/>
  <c r="E467" i="5"/>
  <c r="D467" i="5"/>
  <c r="I467" i="5"/>
  <c r="G467" i="5"/>
  <c r="H467" i="5"/>
  <c r="F467" i="5"/>
  <c r="B540" i="5"/>
  <c r="B503" i="5"/>
  <c r="B466" i="5"/>
  <c r="B428" i="5"/>
  <c r="K394" i="5"/>
  <c r="J394" i="5"/>
  <c r="I394" i="5"/>
  <c r="M394" i="5"/>
  <c r="L394" i="5"/>
  <c r="H394" i="5"/>
  <c r="G394" i="5"/>
  <c r="R394" i="5"/>
  <c r="F394" i="5"/>
  <c r="Q394" i="5"/>
  <c r="E394" i="5"/>
  <c r="P394" i="5"/>
  <c r="D394" i="5"/>
  <c r="O394" i="5"/>
  <c r="C394" i="5"/>
  <c r="N394" i="5"/>
  <c r="B393" i="5"/>
  <c r="I245" i="5"/>
  <c r="H245" i="5"/>
  <c r="G245" i="5"/>
  <c r="R245" i="5"/>
  <c r="F245" i="5"/>
  <c r="Q245" i="5"/>
  <c r="E245" i="5"/>
  <c r="K245" i="5"/>
  <c r="P245" i="5"/>
  <c r="D245" i="5"/>
  <c r="O245" i="5"/>
  <c r="C245" i="5"/>
  <c r="N245" i="5"/>
  <c r="M245" i="5"/>
  <c r="L245" i="5"/>
  <c r="J245" i="5"/>
  <c r="B134" i="5"/>
  <c r="K98" i="5"/>
  <c r="J98" i="5"/>
  <c r="I98" i="5"/>
  <c r="H98" i="5"/>
  <c r="L98" i="5"/>
  <c r="G98" i="5"/>
  <c r="R98" i="5"/>
  <c r="F98" i="5"/>
  <c r="Q98" i="5"/>
  <c r="E98" i="5"/>
  <c r="P98" i="5"/>
  <c r="D98" i="5"/>
  <c r="O98" i="5"/>
  <c r="C98" i="5"/>
  <c r="M98" i="5"/>
  <c r="N98" i="5"/>
  <c r="B97" i="5"/>
  <c r="Q60" i="5"/>
  <c r="P60" i="5"/>
  <c r="F60" i="5"/>
  <c r="C60" i="5"/>
  <c r="R60" i="5"/>
  <c r="O60" i="5"/>
  <c r="N60" i="5"/>
  <c r="M60" i="5"/>
  <c r="L60" i="5"/>
  <c r="E60" i="5"/>
  <c r="K60" i="5"/>
  <c r="J60" i="5"/>
  <c r="I60" i="5"/>
  <c r="H60" i="5"/>
  <c r="G60" i="5"/>
  <c r="D60" i="5"/>
  <c r="B59" i="5"/>
  <c r="K25" i="5"/>
  <c r="C25" i="5"/>
  <c r="M25" i="5"/>
  <c r="L25" i="5"/>
  <c r="R25" i="5"/>
  <c r="O25" i="5"/>
  <c r="J25" i="5"/>
  <c r="N25" i="5"/>
  <c r="Q25" i="5"/>
  <c r="B24" i="5"/>
  <c r="P24" i="5" s="1"/>
  <c r="D25" i="5"/>
  <c r="F25" i="5"/>
  <c r="E25" i="5"/>
  <c r="H25" i="5"/>
  <c r="I25" i="5"/>
  <c r="G25" i="5"/>
  <c r="C134" i="5" l="1"/>
  <c r="K134" i="5"/>
  <c r="E134" i="5"/>
  <c r="I134" i="5"/>
  <c r="F134" i="5"/>
  <c r="J134" i="5"/>
  <c r="H134" i="5"/>
  <c r="G134" i="5"/>
  <c r="D134" i="5"/>
  <c r="Q134" i="5"/>
  <c r="O134" i="5"/>
  <c r="M134" i="5"/>
  <c r="N134" i="5"/>
  <c r="R134" i="5"/>
  <c r="L134" i="5"/>
  <c r="P134" i="5"/>
  <c r="M540" i="5"/>
  <c r="L540" i="5"/>
  <c r="K540" i="5"/>
  <c r="C540" i="5"/>
  <c r="N540" i="5"/>
  <c r="R540" i="5"/>
  <c r="Q540" i="5"/>
  <c r="P540" i="5"/>
  <c r="O540" i="5"/>
  <c r="H540" i="5"/>
  <c r="E540" i="5"/>
  <c r="G540" i="5"/>
  <c r="I540" i="5"/>
  <c r="D540" i="5"/>
  <c r="F540" i="5"/>
  <c r="J540" i="5"/>
  <c r="K503" i="5"/>
  <c r="C503" i="5"/>
  <c r="L503" i="5"/>
  <c r="R503" i="5"/>
  <c r="Q503" i="5"/>
  <c r="P503" i="5"/>
  <c r="O503" i="5"/>
  <c r="N503" i="5"/>
  <c r="M503" i="5"/>
  <c r="G503" i="5"/>
  <c r="D503" i="5"/>
  <c r="I503" i="5"/>
  <c r="J503" i="5"/>
  <c r="E503" i="5"/>
  <c r="H503" i="5"/>
  <c r="F503" i="5"/>
  <c r="Q428" i="5"/>
  <c r="P428" i="5"/>
  <c r="O428" i="5"/>
  <c r="N428" i="5"/>
  <c r="R428" i="5"/>
  <c r="M428" i="5"/>
  <c r="L428" i="5"/>
  <c r="K428" i="5"/>
  <c r="C428" i="5"/>
  <c r="F428" i="5"/>
  <c r="I428" i="5"/>
  <c r="J428" i="5"/>
  <c r="D428" i="5"/>
  <c r="G428" i="5"/>
  <c r="H428" i="5"/>
  <c r="E428" i="5"/>
  <c r="R466" i="5"/>
  <c r="Q466" i="5"/>
  <c r="O466" i="5"/>
  <c r="N466" i="5"/>
  <c r="M466" i="5"/>
  <c r="P466" i="5"/>
  <c r="L466" i="5"/>
  <c r="K466" i="5"/>
  <c r="C466" i="5"/>
  <c r="H466" i="5"/>
  <c r="F466" i="5"/>
  <c r="J466" i="5"/>
  <c r="D466" i="5"/>
  <c r="E466" i="5"/>
  <c r="G466" i="5"/>
  <c r="I466" i="5"/>
  <c r="B539" i="5"/>
  <c r="B502" i="5"/>
  <c r="B465" i="5"/>
  <c r="B427" i="5"/>
  <c r="O393" i="5"/>
  <c r="C393" i="5"/>
  <c r="D393" i="5"/>
  <c r="N393" i="5"/>
  <c r="M393" i="5"/>
  <c r="L393" i="5"/>
  <c r="K393" i="5"/>
  <c r="E393" i="5"/>
  <c r="J393" i="5"/>
  <c r="I393" i="5"/>
  <c r="H393" i="5"/>
  <c r="P393" i="5"/>
  <c r="G393" i="5"/>
  <c r="Q393" i="5"/>
  <c r="R393" i="5"/>
  <c r="F393" i="5"/>
  <c r="B392" i="5"/>
  <c r="M244" i="5"/>
  <c r="L244" i="5"/>
  <c r="K244" i="5"/>
  <c r="O244" i="5"/>
  <c r="J244" i="5"/>
  <c r="I244" i="5"/>
  <c r="H244" i="5"/>
  <c r="G244" i="5"/>
  <c r="R244" i="5"/>
  <c r="F244" i="5"/>
  <c r="Q244" i="5"/>
  <c r="E244" i="5"/>
  <c r="P244" i="5"/>
  <c r="D244" i="5"/>
  <c r="N244" i="5"/>
  <c r="C244" i="5"/>
  <c r="B133" i="5"/>
  <c r="O97" i="5"/>
  <c r="C97" i="5"/>
  <c r="N97" i="5"/>
  <c r="M97" i="5"/>
  <c r="D97" i="5"/>
  <c r="L97" i="5"/>
  <c r="K97" i="5"/>
  <c r="J97" i="5"/>
  <c r="I97" i="5"/>
  <c r="H97" i="5"/>
  <c r="G97" i="5"/>
  <c r="Q97" i="5"/>
  <c r="E97" i="5"/>
  <c r="P97" i="5"/>
  <c r="R97" i="5"/>
  <c r="F97" i="5"/>
  <c r="B96" i="5"/>
  <c r="P59" i="5"/>
  <c r="F59" i="5"/>
  <c r="C59" i="5"/>
  <c r="O59" i="5"/>
  <c r="N59" i="5"/>
  <c r="M59" i="5"/>
  <c r="L59" i="5"/>
  <c r="E59" i="5"/>
  <c r="K59" i="5"/>
  <c r="J59" i="5"/>
  <c r="I59" i="5"/>
  <c r="Q59" i="5"/>
  <c r="H59" i="5"/>
  <c r="G59" i="5"/>
  <c r="D59" i="5"/>
  <c r="R59" i="5"/>
  <c r="B58" i="5"/>
  <c r="B23" i="5"/>
  <c r="D23" i="5" s="1"/>
  <c r="R24" i="5"/>
  <c r="C24" i="5"/>
  <c r="K24" i="5"/>
  <c r="O24" i="5"/>
  <c r="J24" i="5"/>
  <c r="I24" i="5"/>
  <c r="G24" i="5"/>
  <c r="H24" i="5"/>
  <c r="F24" i="5"/>
  <c r="E24" i="5"/>
  <c r="Q24" i="5"/>
  <c r="N24" i="5"/>
  <c r="M24" i="5"/>
  <c r="L24" i="5"/>
  <c r="D24" i="5"/>
  <c r="C133" i="5" l="1"/>
  <c r="K133" i="5"/>
  <c r="D133" i="5"/>
  <c r="E133" i="5"/>
  <c r="F133" i="5"/>
  <c r="I133" i="5"/>
  <c r="G133" i="5"/>
  <c r="J133" i="5"/>
  <c r="H133" i="5"/>
  <c r="L133" i="5"/>
  <c r="M133" i="5"/>
  <c r="O133" i="5"/>
  <c r="Q133" i="5"/>
  <c r="P133" i="5"/>
  <c r="R133" i="5"/>
  <c r="N133" i="5"/>
  <c r="C539" i="5"/>
  <c r="R539" i="5"/>
  <c r="Q539" i="5"/>
  <c r="P539" i="5"/>
  <c r="O539" i="5"/>
  <c r="N539" i="5"/>
  <c r="K539" i="5"/>
  <c r="M539" i="5"/>
  <c r="L539" i="5"/>
  <c r="F539" i="5"/>
  <c r="I539" i="5"/>
  <c r="J539" i="5"/>
  <c r="E539" i="5"/>
  <c r="D539" i="5"/>
  <c r="G539" i="5"/>
  <c r="H539" i="5"/>
  <c r="R502" i="5"/>
  <c r="Q502" i="5"/>
  <c r="P502" i="5"/>
  <c r="O502" i="5"/>
  <c r="N502" i="5"/>
  <c r="M502" i="5"/>
  <c r="L502" i="5"/>
  <c r="K502" i="5"/>
  <c r="C502" i="5"/>
  <c r="J502" i="5"/>
  <c r="I502" i="5"/>
  <c r="E502" i="5"/>
  <c r="H502" i="5"/>
  <c r="F502" i="5"/>
  <c r="D502" i="5"/>
  <c r="G502" i="5"/>
  <c r="N427" i="5"/>
  <c r="M427" i="5"/>
  <c r="L427" i="5"/>
  <c r="K427" i="5"/>
  <c r="C427" i="5"/>
  <c r="O427" i="5"/>
  <c r="R427" i="5"/>
  <c r="Q427" i="5"/>
  <c r="P427" i="5"/>
  <c r="H427" i="5"/>
  <c r="I427" i="5"/>
  <c r="E427" i="5"/>
  <c r="G427" i="5"/>
  <c r="J427" i="5"/>
  <c r="D427" i="5"/>
  <c r="F427" i="5"/>
  <c r="Q465" i="5"/>
  <c r="P465" i="5"/>
  <c r="O465" i="5"/>
  <c r="N465" i="5"/>
  <c r="L465" i="5"/>
  <c r="K465" i="5"/>
  <c r="C465" i="5"/>
  <c r="R465" i="5"/>
  <c r="M465" i="5"/>
  <c r="D465" i="5"/>
  <c r="J465" i="5"/>
  <c r="E465" i="5"/>
  <c r="I465" i="5"/>
  <c r="H465" i="5"/>
  <c r="G465" i="5"/>
  <c r="F465" i="5"/>
  <c r="B538" i="5"/>
  <c r="B501" i="5"/>
  <c r="B464" i="5"/>
  <c r="B426" i="5"/>
  <c r="G392" i="5"/>
  <c r="R392" i="5"/>
  <c r="F392" i="5"/>
  <c r="I392" i="5"/>
  <c r="Q392" i="5"/>
  <c r="E392" i="5"/>
  <c r="P392" i="5"/>
  <c r="D392" i="5"/>
  <c r="O392" i="5"/>
  <c r="C392" i="5"/>
  <c r="N392" i="5"/>
  <c r="M392" i="5"/>
  <c r="L392" i="5"/>
  <c r="K392" i="5"/>
  <c r="J392" i="5"/>
  <c r="H392" i="5"/>
  <c r="B391" i="5"/>
  <c r="Q243" i="5"/>
  <c r="E243" i="5"/>
  <c r="P243" i="5"/>
  <c r="D243" i="5"/>
  <c r="O243" i="5"/>
  <c r="C243" i="5"/>
  <c r="N243" i="5"/>
  <c r="G243" i="5"/>
  <c r="M243" i="5"/>
  <c r="L243" i="5"/>
  <c r="K243" i="5"/>
  <c r="J243" i="5"/>
  <c r="I243" i="5"/>
  <c r="H243" i="5"/>
  <c r="R243" i="5"/>
  <c r="F243" i="5"/>
  <c r="B132" i="5"/>
  <c r="G96" i="5"/>
  <c r="R96" i="5"/>
  <c r="F96" i="5"/>
  <c r="Q96" i="5"/>
  <c r="E96" i="5"/>
  <c r="P96" i="5"/>
  <c r="D96" i="5"/>
  <c r="O96" i="5"/>
  <c r="C96" i="5"/>
  <c r="H96" i="5"/>
  <c r="N96" i="5"/>
  <c r="M96" i="5"/>
  <c r="L96" i="5"/>
  <c r="K96" i="5"/>
  <c r="I96" i="5"/>
  <c r="J96" i="5"/>
  <c r="B95" i="5"/>
  <c r="O58" i="5"/>
  <c r="F58" i="5"/>
  <c r="N58" i="5"/>
  <c r="P58" i="5"/>
  <c r="M58" i="5"/>
  <c r="L58" i="5"/>
  <c r="E58" i="5"/>
  <c r="K58" i="5"/>
  <c r="C58" i="5"/>
  <c r="J58" i="5"/>
  <c r="I58" i="5"/>
  <c r="H58" i="5"/>
  <c r="G58" i="5"/>
  <c r="D58" i="5"/>
  <c r="R58" i="5"/>
  <c r="Q58" i="5"/>
  <c r="B57" i="5"/>
  <c r="R23" i="5"/>
  <c r="F23" i="5"/>
  <c r="J23" i="5"/>
  <c r="N23" i="5"/>
  <c r="L23" i="5"/>
  <c r="E23" i="5"/>
  <c r="I23" i="5"/>
  <c r="B22" i="5"/>
  <c r="N22" i="5" s="1"/>
  <c r="Q23" i="5"/>
  <c r="P23" i="5"/>
  <c r="O23" i="5"/>
  <c r="G23" i="5"/>
  <c r="M23" i="5"/>
  <c r="H23" i="5"/>
  <c r="K23" i="5"/>
  <c r="C23" i="5"/>
  <c r="C132" i="5" l="1"/>
  <c r="K132" i="5"/>
  <c r="H132" i="5"/>
  <c r="J132" i="5"/>
  <c r="G132" i="5"/>
  <c r="I132" i="5"/>
  <c r="E132" i="5"/>
  <c r="F132" i="5"/>
  <c r="D132" i="5"/>
  <c r="P132" i="5"/>
  <c r="Q132" i="5"/>
  <c r="O132" i="5"/>
  <c r="L132" i="5"/>
  <c r="M132" i="5"/>
  <c r="N132" i="5"/>
  <c r="R132" i="5"/>
  <c r="R538" i="5"/>
  <c r="Q538" i="5"/>
  <c r="P538" i="5"/>
  <c r="O538" i="5"/>
  <c r="N538" i="5"/>
  <c r="M538" i="5"/>
  <c r="L538" i="5"/>
  <c r="K538" i="5"/>
  <c r="C538" i="5"/>
  <c r="G538" i="5"/>
  <c r="E538" i="5"/>
  <c r="I538" i="5"/>
  <c r="F538" i="5"/>
  <c r="H538" i="5"/>
  <c r="J538" i="5"/>
  <c r="D538" i="5"/>
  <c r="Q501" i="5"/>
  <c r="P501" i="5"/>
  <c r="O501" i="5"/>
  <c r="R501" i="5"/>
  <c r="N501" i="5"/>
  <c r="M501" i="5"/>
  <c r="L501" i="5"/>
  <c r="K501" i="5"/>
  <c r="C501" i="5"/>
  <c r="J501" i="5"/>
  <c r="H501" i="5"/>
  <c r="F501" i="5"/>
  <c r="G501" i="5"/>
  <c r="E501" i="5"/>
  <c r="I501" i="5"/>
  <c r="D501" i="5"/>
  <c r="K426" i="5"/>
  <c r="C426" i="5"/>
  <c r="R426" i="5"/>
  <c r="Q426" i="5"/>
  <c r="P426" i="5"/>
  <c r="O426" i="5"/>
  <c r="N426" i="5"/>
  <c r="M426" i="5"/>
  <c r="L426" i="5"/>
  <c r="F426" i="5"/>
  <c r="G426" i="5"/>
  <c r="H426" i="5"/>
  <c r="E426" i="5"/>
  <c r="I426" i="5"/>
  <c r="D426" i="5"/>
  <c r="J426" i="5"/>
  <c r="N464" i="5"/>
  <c r="M464" i="5"/>
  <c r="C464" i="5"/>
  <c r="L464" i="5"/>
  <c r="K464" i="5"/>
  <c r="R464" i="5"/>
  <c r="Q464" i="5"/>
  <c r="P464" i="5"/>
  <c r="O464" i="5"/>
  <c r="J464" i="5"/>
  <c r="G464" i="5"/>
  <c r="F464" i="5"/>
  <c r="H464" i="5"/>
  <c r="I464" i="5"/>
  <c r="E464" i="5"/>
  <c r="D464" i="5"/>
  <c r="B537" i="5"/>
  <c r="B500" i="5"/>
  <c r="B463" i="5"/>
  <c r="B425" i="5"/>
  <c r="K391" i="5"/>
  <c r="M391" i="5"/>
  <c r="J391" i="5"/>
  <c r="I391" i="5"/>
  <c r="H391" i="5"/>
  <c r="L391" i="5"/>
  <c r="G391" i="5"/>
  <c r="R391" i="5"/>
  <c r="F391" i="5"/>
  <c r="Q391" i="5"/>
  <c r="E391" i="5"/>
  <c r="P391" i="5"/>
  <c r="D391" i="5"/>
  <c r="O391" i="5"/>
  <c r="C391" i="5"/>
  <c r="N391" i="5"/>
  <c r="B390" i="5"/>
  <c r="I242" i="5"/>
  <c r="H242" i="5"/>
  <c r="G242" i="5"/>
  <c r="R242" i="5"/>
  <c r="F242" i="5"/>
  <c r="Q242" i="5"/>
  <c r="E242" i="5"/>
  <c r="P242" i="5"/>
  <c r="D242" i="5"/>
  <c r="O242" i="5"/>
  <c r="C242" i="5"/>
  <c r="N242" i="5"/>
  <c r="M242" i="5"/>
  <c r="L242" i="5"/>
  <c r="K242" i="5"/>
  <c r="J242" i="5"/>
  <c r="B131" i="5"/>
  <c r="K95" i="5"/>
  <c r="L95" i="5"/>
  <c r="J95" i="5"/>
  <c r="I95" i="5"/>
  <c r="H95" i="5"/>
  <c r="G95" i="5"/>
  <c r="R95" i="5"/>
  <c r="F95" i="5"/>
  <c r="Q95" i="5"/>
  <c r="E95" i="5"/>
  <c r="P95" i="5"/>
  <c r="D95" i="5"/>
  <c r="O95" i="5"/>
  <c r="C95" i="5"/>
  <c r="M95" i="5"/>
  <c r="N95" i="5"/>
  <c r="B94" i="5"/>
  <c r="N57" i="5"/>
  <c r="M57" i="5"/>
  <c r="L57" i="5"/>
  <c r="E57" i="5"/>
  <c r="K57" i="5"/>
  <c r="J57" i="5"/>
  <c r="I57" i="5"/>
  <c r="H57" i="5"/>
  <c r="G57" i="5"/>
  <c r="D57" i="5"/>
  <c r="O57" i="5"/>
  <c r="R57" i="5"/>
  <c r="Q57" i="5"/>
  <c r="P57" i="5"/>
  <c r="F57" i="5"/>
  <c r="C57" i="5"/>
  <c r="B56" i="5"/>
  <c r="L22" i="5"/>
  <c r="M22" i="5"/>
  <c r="P22" i="5"/>
  <c r="J22" i="5"/>
  <c r="E22" i="5"/>
  <c r="I22" i="5"/>
  <c r="C22" i="5"/>
  <c r="R22" i="5"/>
  <c r="D22" i="5"/>
  <c r="Q22" i="5"/>
  <c r="F22" i="5"/>
  <c r="H22" i="5"/>
  <c r="G22" i="5"/>
  <c r="K22" i="5"/>
  <c r="B21" i="5"/>
  <c r="R21" i="5" s="1"/>
  <c r="O22" i="5"/>
  <c r="K131" i="5" l="1"/>
  <c r="C131" i="5"/>
  <c r="J131" i="5"/>
  <c r="F131" i="5"/>
  <c r="I131" i="5"/>
  <c r="E131" i="5"/>
  <c r="H131" i="5"/>
  <c r="G131" i="5"/>
  <c r="D131" i="5"/>
  <c r="Q131" i="5"/>
  <c r="O131" i="5"/>
  <c r="M131" i="5"/>
  <c r="R131" i="5"/>
  <c r="L131" i="5"/>
  <c r="N131" i="5"/>
  <c r="P131" i="5"/>
  <c r="P537" i="5"/>
  <c r="O537" i="5"/>
  <c r="N537" i="5"/>
  <c r="M537" i="5"/>
  <c r="L537" i="5"/>
  <c r="K537" i="5"/>
  <c r="C537" i="5"/>
  <c r="Q537" i="5"/>
  <c r="R537" i="5"/>
  <c r="G537" i="5"/>
  <c r="F537" i="5"/>
  <c r="I537" i="5"/>
  <c r="J537" i="5"/>
  <c r="H537" i="5"/>
  <c r="D537" i="5"/>
  <c r="E537" i="5"/>
  <c r="N500" i="5"/>
  <c r="M500" i="5"/>
  <c r="L500" i="5"/>
  <c r="K500" i="5"/>
  <c r="O500" i="5"/>
  <c r="C500" i="5"/>
  <c r="R500" i="5"/>
  <c r="Q500" i="5"/>
  <c r="P500" i="5"/>
  <c r="D500" i="5"/>
  <c r="E500" i="5"/>
  <c r="H500" i="5"/>
  <c r="G500" i="5"/>
  <c r="J500" i="5"/>
  <c r="F500" i="5"/>
  <c r="I500" i="5"/>
  <c r="R425" i="5"/>
  <c r="Q425" i="5"/>
  <c r="P425" i="5"/>
  <c r="O425" i="5"/>
  <c r="N425" i="5"/>
  <c r="M425" i="5"/>
  <c r="L425" i="5"/>
  <c r="K425" i="5"/>
  <c r="C425" i="5"/>
  <c r="G425" i="5"/>
  <c r="H425" i="5"/>
  <c r="F425" i="5"/>
  <c r="J425" i="5"/>
  <c r="I425" i="5"/>
  <c r="D425" i="5"/>
  <c r="E425" i="5"/>
  <c r="K463" i="5"/>
  <c r="C463" i="5"/>
  <c r="R463" i="5"/>
  <c r="Q463" i="5"/>
  <c r="P463" i="5"/>
  <c r="O463" i="5"/>
  <c r="N463" i="5"/>
  <c r="M463" i="5"/>
  <c r="L463" i="5"/>
  <c r="J463" i="5"/>
  <c r="F463" i="5"/>
  <c r="D463" i="5"/>
  <c r="I463" i="5"/>
  <c r="G463" i="5"/>
  <c r="H463" i="5"/>
  <c r="E463" i="5"/>
  <c r="B536" i="5"/>
  <c r="B499" i="5"/>
  <c r="B462" i="5"/>
  <c r="B424" i="5"/>
  <c r="O390" i="5"/>
  <c r="C390" i="5"/>
  <c r="N390" i="5"/>
  <c r="M390" i="5"/>
  <c r="Q390" i="5"/>
  <c r="P390" i="5"/>
  <c r="L390" i="5"/>
  <c r="E390" i="5"/>
  <c r="K390" i="5"/>
  <c r="J390" i="5"/>
  <c r="I390" i="5"/>
  <c r="H390" i="5"/>
  <c r="G390" i="5"/>
  <c r="D390" i="5"/>
  <c r="R390" i="5"/>
  <c r="F390" i="5"/>
  <c r="B389" i="5"/>
  <c r="M241" i="5"/>
  <c r="L241" i="5"/>
  <c r="K241" i="5"/>
  <c r="J241" i="5"/>
  <c r="I241" i="5"/>
  <c r="C241" i="5"/>
  <c r="H241" i="5"/>
  <c r="G241" i="5"/>
  <c r="R241" i="5"/>
  <c r="F241" i="5"/>
  <c r="Q241" i="5"/>
  <c r="E241" i="5"/>
  <c r="O241" i="5"/>
  <c r="P241" i="5"/>
  <c r="D241" i="5"/>
  <c r="N241" i="5"/>
  <c r="B130" i="5"/>
  <c r="O94" i="5"/>
  <c r="C94" i="5"/>
  <c r="N94" i="5"/>
  <c r="M94" i="5"/>
  <c r="L94" i="5"/>
  <c r="D94" i="5"/>
  <c r="K94" i="5"/>
  <c r="J94" i="5"/>
  <c r="I94" i="5"/>
  <c r="H94" i="5"/>
  <c r="G94" i="5"/>
  <c r="Q94" i="5"/>
  <c r="E94" i="5"/>
  <c r="R94" i="5"/>
  <c r="F94" i="5"/>
  <c r="P94" i="5"/>
  <c r="B93" i="5"/>
  <c r="M56" i="5"/>
  <c r="L56" i="5"/>
  <c r="E56" i="5"/>
  <c r="K56" i="5"/>
  <c r="J56" i="5"/>
  <c r="I56" i="5"/>
  <c r="H56" i="5"/>
  <c r="G56" i="5"/>
  <c r="D56" i="5"/>
  <c r="R56" i="5"/>
  <c r="Q56" i="5"/>
  <c r="P56" i="5"/>
  <c r="F56" i="5"/>
  <c r="C56" i="5"/>
  <c r="O56" i="5"/>
  <c r="N56" i="5"/>
  <c r="B55" i="5"/>
  <c r="O21" i="5"/>
  <c r="Q21" i="5"/>
  <c r="P21" i="5"/>
  <c r="N21" i="5"/>
  <c r="M21" i="5"/>
  <c r="L21" i="5"/>
  <c r="K21" i="5"/>
  <c r="C21" i="5"/>
  <c r="I21" i="5"/>
  <c r="J21" i="5"/>
  <c r="G21" i="5"/>
  <c r="H21" i="5"/>
  <c r="F21" i="5"/>
  <c r="E21" i="5"/>
  <c r="D21" i="5"/>
  <c r="B20" i="5"/>
  <c r="H20" i="5" s="1"/>
  <c r="K130" i="5" l="1"/>
  <c r="C130" i="5"/>
  <c r="J130" i="5"/>
  <c r="D130" i="5"/>
  <c r="E130" i="5"/>
  <c r="F130" i="5"/>
  <c r="G130" i="5"/>
  <c r="I130" i="5"/>
  <c r="H130" i="5"/>
  <c r="O130" i="5"/>
  <c r="L130" i="5"/>
  <c r="M130" i="5"/>
  <c r="Q130" i="5"/>
  <c r="P130" i="5"/>
  <c r="R130" i="5"/>
  <c r="N130" i="5"/>
  <c r="M536" i="5"/>
  <c r="N536" i="5"/>
  <c r="L536" i="5"/>
  <c r="K536" i="5"/>
  <c r="C536" i="5"/>
  <c r="R536" i="5"/>
  <c r="Q536" i="5"/>
  <c r="P536" i="5"/>
  <c r="O536" i="5"/>
  <c r="E536" i="5"/>
  <c r="F536" i="5"/>
  <c r="D536" i="5"/>
  <c r="G536" i="5"/>
  <c r="J536" i="5"/>
  <c r="H536" i="5"/>
  <c r="I536" i="5"/>
  <c r="K499" i="5"/>
  <c r="L499" i="5"/>
  <c r="C499" i="5"/>
  <c r="R499" i="5"/>
  <c r="Q499" i="5"/>
  <c r="P499" i="5"/>
  <c r="O499" i="5"/>
  <c r="N499" i="5"/>
  <c r="M499" i="5"/>
  <c r="J499" i="5"/>
  <c r="D499" i="5"/>
  <c r="I499" i="5"/>
  <c r="E499" i="5"/>
  <c r="F499" i="5"/>
  <c r="H499" i="5"/>
  <c r="G499" i="5"/>
  <c r="Q424" i="5"/>
  <c r="P424" i="5"/>
  <c r="O424" i="5"/>
  <c r="N424" i="5"/>
  <c r="M424" i="5"/>
  <c r="L424" i="5"/>
  <c r="K424" i="5"/>
  <c r="C424" i="5"/>
  <c r="R424" i="5"/>
  <c r="J424" i="5"/>
  <c r="F424" i="5"/>
  <c r="D424" i="5"/>
  <c r="E424" i="5"/>
  <c r="I424" i="5"/>
  <c r="G424" i="5"/>
  <c r="H424" i="5"/>
  <c r="R462" i="5"/>
  <c r="Q462" i="5"/>
  <c r="O462" i="5"/>
  <c r="N462" i="5"/>
  <c r="M462" i="5"/>
  <c r="L462" i="5"/>
  <c r="K462" i="5"/>
  <c r="P462" i="5"/>
  <c r="C462" i="5"/>
  <c r="E462" i="5"/>
  <c r="H462" i="5"/>
  <c r="D462" i="5"/>
  <c r="F462" i="5"/>
  <c r="J462" i="5"/>
  <c r="I462" i="5"/>
  <c r="G462" i="5"/>
  <c r="B535" i="5"/>
  <c r="B498" i="5"/>
  <c r="B461" i="5"/>
  <c r="B423" i="5"/>
  <c r="G389" i="5"/>
  <c r="R389" i="5"/>
  <c r="F389" i="5"/>
  <c r="H389" i="5"/>
  <c r="Q389" i="5"/>
  <c r="E389" i="5"/>
  <c r="P389" i="5"/>
  <c r="D389" i="5"/>
  <c r="O389" i="5"/>
  <c r="C389" i="5"/>
  <c r="N389" i="5"/>
  <c r="M389" i="5"/>
  <c r="L389" i="5"/>
  <c r="I389" i="5"/>
  <c r="K389" i="5"/>
  <c r="J389" i="5"/>
  <c r="B388" i="5"/>
  <c r="Q240" i="5"/>
  <c r="E240" i="5"/>
  <c r="G240" i="5"/>
  <c r="P240" i="5"/>
  <c r="D240" i="5"/>
  <c r="O240" i="5"/>
  <c r="C240" i="5"/>
  <c r="N240" i="5"/>
  <c r="M240" i="5"/>
  <c r="L240" i="5"/>
  <c r="K240" i="5"/>
  <c r="J240" i="5"/>
  <c r="I240" i="5"/>
  <c r="H240" i="5"/>
  <c r="R240" i="5"/>
  <c r="F240" i="5"/>
  <c r="B129" i="5"/>
  <c r="G93" i="5"/>
  <c r="R93" i="5"/>
  <c r="F93" i="5"/>
  <c r="Q93" i="5"/>
  <c r="E93" i="5"/>
  <c r="P93" i="5"/>
  <c r="D93" i="5"/>
  <c r="O93" i="5"/>
  <c r="C93" i="5"/>
  <c r="N93" i="5"/>
  <c r="M93" i="5"/>
  <c r="L93" i="5"/>
  <c r="H93" i="5"/>
  <c r="K93" i="5"/>
  <c r="I93" i="5"/>
  <c r="J93" i="5"/>
  <c r="B92" i="5"/>
  <c r="L55" i="5"/>
  <c r="E55" i="5"/>
  <c r="K55" i="5"/>
  <c r="J55" i="5"/>
  <c r="I55" i="5"/>
  <c r="H55" i="5"/>
  <c r="G55" i="5"/>
  <c r="D55" i="5"/>
  <c r="M55" i="5"/>
  <c r="R55" i="5"/>
  <c r="Q55" i="5"/>
  <c r="P55" i="5"/>
  <c r="F55" i="5"/>
  <c r="C55" i="5"/>
  <c r="O55" i="5"/>
  <c r="N55" i="5"/>
  <c r="B54" i="5"/>
  <c r="P20" i="5"/>
  <c r="M20" i="5"/>
  <c r="R20" i="5"/>
  <c r="O20" i="5"/>
  <c r="J20" i="5"/>
  <c r="F20" i="5"/>
  <c r="C20" i="5"/>
  <c r="G20" i="5"/>
  <c r="N20" i="5"/>
  <c r="L20" i="5"/>
  <c r="E20" i="5"/>
  <c r="I20" i="5"/>
  <c r="K20" i="5"/>
  <c r="D20" i="5"/>
  <c r="B19" i="5"/>
  <c r="M19" i="5" s="1"/>
  <c r="Q20" i="5"/>
  <c r="C129" i="5" l="1"/>
  <c r="K129" i="5"/>
  <c r="D129" i="5"/>
  <c r="E129" i="5"/>
  <c r="G129" i="5"/>
  <c r="H129" i="5"/>
  <c r="I129" i="5"/>
  <c r="J129" i="5"/>
  <c r="F129" i="5"/>
  <c r="O129" i="5"/>
  <c r="P129" i="5"/>
  <c r="Q129" i="5"/>
  <c r="M129" i="5"/>
  <c r="L129" i="5"/>
  <c r="N129" i="5"/>
  <c r="R129" i="5"/>
  <c r="C535" i="5"/>
  <c r="K535" i="5"/>
  <c r="R535" i="5"/>
  <c r="Q535" i="5"/>
  <c r="P535" i="5"/>
  <c r="O535" i="5"/>
  <c r="N535" i="5"/>
  <c r="M535" i="5"/>
  <c r="L535" i="5"/>
  <c r="I535" i="5"/>
  <c r="E535" i="5"/>
  <c r="G535" i="5"/>
  <c r="J535" i="5"/>
  <c r="D535" i="5"/>
  <c r="F535" i="5"/>
  <c r="H535" i="5"/>
  <c r="R498" i="5"/>
  <c r="Q498" i="5"/>
  <c r="P498" i="5"/>
  <c r="O498" i="5"/>
  <c r="N498" i="5"/>
  <c r="M498" i="5"/>
  <c r="L498" i="5"/>
  <c r="K498" i="5"/>
  <c r="C498" i="5"/>
  <c r="E498" i="5"/>
  <c r="H498" i="5"/>
  <c r="G498" i="5"/>
  <c r="I498" i="5"/>
  <c r="J498" i="5"/>
  <c r="F498" i="5"/>
  <c r="D498" i="5"/>
  <c r="N423" i="5"/>
  <c r="M423" i="5"/>
  <c r="O423" i="5"/>
  <c r="L423" i="5"/>
  <c r="K423" i="5"/>
  <c r="J423" i="5"/>
  <c r="I423" i="5"/>
  <c r="H423" i="5"/>
  <c r="G423" i="5"/>
  <c r="R423" i="5"/>
  <c r="F423" i="5"/>
  <c r="Q423" i="5"/>
  <c r="E423" i="5"/>
  <c r="C423" i="5"/>
  <c r="P423" i="5"/>
  <c r="D423" i="5"/>
  <c r="Q461" i="5"/>
  <c r="P461" i="5"/>
  <c r="O461" i="5"/>
  <c r="N461" i="5"/>
  <c r="M461" i="5"/>
  <c r="L461" i="5"/>
  <c r="K461" i="5"/>
  <c r="C461" i="5"/>
  <c r="R461" i="5"/>
  <c r="J461" i="5"/>
  <c r="G461" i="5"/>
  <c r="D461" i="5"/>
  <c r="I461" i="5"/>
  <c r="H461" i="5"/>
  <c r="E461" i="5"/>
  <c r="F461" i="5"/>
  <c r="B534" i="5"/>
  <c r="B497" i="5"/>
  <c r="B460" i="5"/>
  <c r="B422" i="5"/>
  <c r="K388" i="5"/>
  <c r="J388" i="5"/>
  <c r="I388" i="5"/>
  <c r="H388" i="5"/>
  <c r="G388" i="5"/>
  <c r="M388" i="5"/>
  <c r="L388" i="5"/>
  <c r="R388" i="5"/>
  <c r="F388" i="5"/>
  <c r="Q388" i="5"/>
  <c r="E388" i="5"/>
  <c r="P388" i="5"/>
  <c r="D388" i="5"/>
  <c r="O388" i="5"/>
  <c r="C388" i="5"/>
  <c r="N388" i="5"/>
  <c r="B387" i="5"/>
  <c r="I239" i="5"/>
  <c r="H239" i="5"/>
  <c r="K239" i="5"/>
  <c r="G239" i="5"/>
  <c r="R239" i="5"/>
  <c r="F239" i="5"/>
  <c r="Q239" i="5"/>
  <c r="E239" i="5"/>
  <c r="P239" i="5"/>
  <c r="D239" i="5"/>
  <c r="O239" i="5"/>
  <c r="C239" i="5"/>
  <c r="N239" i="5"/>
  <c r="M239" i="5"/>
  <c r="L239" i="5"/>
  <c r="J239" i="5"/>
  <c r="B128" i="5"/>
  <c r="K92" i="5"/>
  <c r="J92" i="5"/>
  <c r="I92" i="5"/>
  <c r="H92" i="5"/>
  <c r="G92" i="5"/>
  <c r="L92" i="5"/>
  <c r="R92" i="5"/>
  <c r="F92" i="5"/>
  <c r="Q92" i="5"/>
  <c r="E92" i="5"/>
  <c r="P92" i="5"/>
  <c r="D92" i="5"/>
  <c r="O92" i="5"/>
  <c r="C92" i="5"/>
  <c r="N92" i="5"/>
  <c r="M92" i="5"/>
  <c r="B91" i="5"/>
  <c r="K54" i="5"/>
  <c r="L54" i="5"/>
  <c r="J54" i="5"/>
  <c r="I54" i="5"/>
  <c r="H54" i="5"/>
  <c r="G54" i="5"/>
  <c r="D54" i="5"/>
  <c r="R54" i="5"/>
  <c r="Q54" i="5"/>
  <c r="P54" i="5"/>
  <c r="F54" i="5"/>
  <c r="C54" i="5"/>
  <c r="O54" i="5"/>
  <c r="N54" i="5"/>
  <c r="M54" i="5"/>
  <c r="E54" i="5"/>
  <c r="B53" i="5"/>
  <c r="D19" i="5"/>
  <c r="L19" i="5"/>
  <c r="R19" i="5"/>
  <c r="P19" i="5"/>
  <c r="O19" i="5"/>
  <c r="N19" i="5"/>
  <c r="Q19" i="5"/>
  <c r="C19" i="5"/>
  <c r="E19" i="5"/>
  <c r="K19" i="5"/>
  <c r="F19" i="5"/>
  <c r="J19" i="5"/>
  <c r="I19" i="5"/>
  <c r="H19" i="5"/>
  <c r="G19" i="5"/>
  <c r="B18" i="5"/>
  <c r="O18" i="5" s="1"/>
  <c r="K128" i="5" l="1"/>
  <c r="C128" i="5"/>
  <c r="G128" i="5"/>
  <c r="E128" i="5"/>
  <c r="D128" i="5"/>
  <c r="F128" i="5"/>
  <c r="J128" i="5"/>
  <c r="I128" i="5"/>
  <c r="H128" i="5"/>
  <c r="O128" i="5"/>
  <c r="Q128" i="5"/>
  <c r="M128" i="5"/>
  <c r="N128" i="5"/>
  <c r="R128" i="5"/>
  <c r="P128" i="5"/>
  <c r="L128" i="5"/>
  <c r="G534" i="5"/>
  <c r="R534" i="5"/>
  <c r="F534" i="5"/>
  <c r="Q534" i="5"/>
  <c r="E534" i="5"/>
  <c r="P534" i="5"/>
  <c r="D534" i="5"/>
  <c r="O534" i="5"/>
  <c r="C534" i="5"/>
  <c r="H534" i="5"/>
  <c r="N534" i="5"/>
  <c r="M534" i="5"/>
  <c r="L534" i="5"/>
  <c r="K534" i="5"/>
  <c r="J534" i="5"/>
  <c r="I534" i="5"/>
  <c r="Q497" i="5"/>
  <c r="E497" i="5"/>
  <c r="P497" i="5"/>
  <c r="D497" i="5"/>
  <c r="O497" i="5"/>
  <c r="C497" i="5"/>
  <c r="N497" i="5"/>
  <c r="M497" i="5"/>
  <c r="L497" i="5"/>
  <c r="K497" i="5"/>
  <c r="F497" i="5"/>
  <c r="J497" i="5"/>
  <c r="I497" i="5"/>
  <c r="H497" i="5"/>
  <c r="G497" i="5"/>
  <c r="R497" i="5"/>
  <c r="R422" i="5"/>
  <c r="F422" i="5"/>
  <c r="Q422" i="5"/>
  <c r="E422" i="5"/>
  <c r="P422" i="5"/>
  <c r="D422" i="5"/>
  <c r="O422" i="5"/>
  <c r="C422" i="5"/>
  <c r="G422" i="5"/>
  <c r="N422" i="5"/>
  <c r="M422" i="5"/>
  <c r="L422" i="5"/>
  <c r="K422" i="5"/>
  <c r="J422" i="5"/>
  <c r="I422" i="5"/>
  <c r="H422" i="5"/>
  <c r="N460" i="5"/>
  <c r="M460" i="5"/>
  <c r="L460" i="5"/>
  <c r="K460" i="5"/>
  <c r="I460" i="5"/>
  <c r="H460" i="5"/>
  <c r="G460" i="5"/>
  <c r="R460" i="5"/>
  <c r="F460" i="5"/>
  <c r="Q460" i="5"/>
  <c r="E460" i="5"/>
  <c r="P460" i="5"/>
  <c r="D460" i="5"/>
  <c r="J460" i="5"/>
  <c r="O460" i="5"/>
  <c r="C460" i="5"/>
  <c r="B533" i="5"/>
  <c r="B496" i="5"/>
  <c r="B459" i="5"/>
  <c r="B421" i="5"/>
  <c r="O387" i="5"/>
  <c r="C387" i="5"/>
  <c r="D387" i="5"/>
  <c r="N387" i="5"/>
  <c r="M387" i="5"/>
  <c r="Q387" i="5"/>
  <c r="L387" i="5"/>
  <c r="K387" i="5"/>
  <c r="J387" i="5"/>
  <c r="I387" i="5"/>
  <c r="H387" i="5"/>
  <c r="P387" i="5"/>
  <c r="G387" i="5"/>
  <c r="E387" i="5"/>
  <c r="R387" i="5"/>
  <c r="F387" i="5"/>
  <c r="B386" i="5"/>
  <c r="M238" i="5"/>
  <c r="L238" i="5"/>
  <c r="K238" i="5"/>
  <c r="C238" i="5"/>
  <c r="J238" i="5"/>
  <c r="O238" i="5"/>
  <c r="I238" i="5"/>
  <c r="H238" i="5"/>
  <c r="G238" i="5"/>
  <c r="R238" i="5"/>
  <c r="F238" i="5"/>
  <c r="Q238" i="5"/>
  <c r="E238" i="5"/>
  <c r="P238" i="5"/>
  <c r="D238" i="5"/>
  <c r="N238" i="5"/>
  <c r="B127" i="5"/>
  <c r="O91" i="5"/>
  <c r="C91" i="5"/>
  <c r="N91" i="5"/>
  <c r="M91" i="5"/>
  <c r="L91" i="5"/>
  <c r="P91" i="5"/>
  <c r="K91" i="5"/>
  <c r="J91" i="5"/>
  <c r="I91" i="5"/>
  <c r="H91" i="5"/>
  <c r="G91" i="5"/>
  <c r="Q91" i="5"/>
  <c r="E91" i="5"/>
  <c r="R91" i="5"/>
  <c r="F91" i="5"/>
  <c r="D91" i="5"/>
  <c r="B90" i="5"/>
  <c r="J53" i="5"/>
  <c r="I53" i="5"/>
  <c r="K53" i="5"/>
  <c r="H53" i="5"/>
  <c r="G53" i="5"/>
  <c r="D53" i="5"/>
  <c r="R53" i="5"/>
  <c r="Q53" i="5"/>
  <c r="P53" i="5"/>
  <c r="F53" i="5"/>
  <c r="C53" i="5"/>
  <c r="O53" i="5"/>
  <c r="N53" i="5"/>
  <c r="M53" i="5"/>
  <c r="L53" i="5"/>
  <c r="E53" i="5"/>
  <c r="B52" i="5"/>
  <c r="J18" i="5"/>
  <c r="N18" i="5"/>
  <c r="M18" i="5"/>
  <c r="I18" i="5"/>
  <c r="L18" i="5"/>
  <c r="B17" i="5"/>
  <c r="D17" i="5" s="1"/>
  <c r="G18" i="5"/>
  <c r="H18" i="5"/>
  <c r="K18" i="5"/>
  <c r="F18" i="5"/>
  <c r="C18" i="5"/>
  <c r="D18" i="5"/>
  <c r="E18" i="5"/>
  <c r="R18" i="5"/>
  <c r="Q18" i="5"/>
  <c r="P18" i="5"/>
  <c r="R127" i="5" l="1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K533" i="5"/>
  <c r="J533" i="5"/>
  <c r="I533" i="5"/>
  <c r="H533" i="5"/>
  <c r="G533" i="5"/>
  <c r="R533" i="5"/>
  <c r="F533" i="5"/>
  <c r="Q533" i="5"/>
  <c r="E533" i="5"/>
  <c r="L533" i="5"/>
  <c r="P533" i="5"/>
  <c r="D533" i="5"/>
  <c r="O533" i="5"/>
  <c r="C533" i="5"/>
  <c r="N533" i="5"/>
  <c r="M533" i="5"/>
  <c r="I496" i="5"/>
  <c r="H496" i="5"/>
  <c r="G496" i="5"/>
  <c r="R496" i="5"/>
  <c r="F496" i="5"/>
  <c r="Q496" i="5"/>
  <c r="E496" i="5"/>
  <c r="P496" i="5"/>
  <c r="D496" i="5"/>
  <c r="O496" i="5"/>
  <c r="C496" i="5"/>
  <c r="N496" i="5"/>
  <c r="J496" i="5"/>
  <c r="M496" i="5"/>
  <c r="L496" i="5"/>
  <c r="K496" i="5"/>
  <c r="J421" i="5"/>
  <c r="I421" i="5"/>
  <c r="H421" i="5"/>
  <c r="G421" i="5"/>
  <c r="R421" i="5"/>
  <c r="F421" i="5"/>
  <c r="K421" i="5"/>
  <c r="Q421" i="5"/>
  <c r="E421" i="5"/>
  <c r="P421" i="5"/>
  <c r="D421" i="5"/>
  <c r="O421" i="5"/>
  <c r="C421" i="5"/>
  <c r="N421" i="5"/>
  <c r="M421" i="5"/>
  <c r="L421" i="5"/>
  <c r="R459" i="5"/>
  <c r="F459" i="5"/>
  <c r="Q459" i="5"/>
  <c r="E459" i="5"/>
  <c r="P459" i="5"/>
  <c r="D459" i="5"/>
  <c r="O459" i="5"/>
  <c r="C459" i="5"/>
  <c r="M459" i="5"/>
  <c r="L459" i="5"/>
  <c r="K459" i="5"/>
  <c r="J459" i="5"/>
  <c r="I459" i="5"/>
  <c r="H459" i="5"/>
  <c r="G459" i="5"/>
  <c r="N459" i="5"/>
  <c r="B532" i="5"/>
  <c r="B495" i="5"/>
  <c r="B458" i="5"/>
  <c r="B420" i="5"/>
  <c r="G386" i="5"/>
  <c r="R386" i="5"/>
  <c r="F386" i="5"/>
  <c r="Q386" i="5"/>
  <c r="E386" i="5"/>
  <c r="P386" i="5"/>
  <c r="D386" i="5"/>
  <c r="H386" i="5"/>
  <c r="O386" i="5"/>
  <c r="C386" i="5"/>
  <c r="N386" i="5"/>
  <c r="M386" i="5"/>
  <c r="I386" i="5"/>
  <c r="L386" i="5"/>
  <c r="K386" i="5"/>
  <c r="J386" i="5"/>
  <c r="B385" i="5"/>
  <c r="Q237" i="5"/>
  <c r="E237" i="5"/>
  <c r="P237" i="5"/>
  <c r="D237" i="5"/>
  <c r="O237" i="5"/>
  <c r="C237" i="5"/>
  <c r="N237" i="5"/>
  <c r="M237" i="5"/>
  <c r="L237" i="5"/>
  <c r="K237" i="5"/>
  <c r="J237" i="5"/>
  <c r="I237" i="5"/>
  <c r="H237" i="5"/>
  <c r="R237" i="5"/>
  <c r="F237" i="5"/>
  <c r="G237" i="5"/>
  <c r="B126" i="5"/>
  <c r="G90" i="5"/>
  <c r="R90" i="5"/>
  <c r="F90" i="5"/>
  <c r="Q90" i="5"/>
  <c r="E90" i="5"/>
  <c r="P90" i="5"/>
  <c r="D90" i="5"/>
  <c r="O90" i="5"/>
  <c r="C90" i="5"/>
  <c r="N90" i="5"/>
  <c r="M90" i="5"/>
  <c r="L90" i="5"/>
  <c r="K90" i="5"/>
  <c r="I90" i="5"/>
  <c r="H90" i="5"/>
  <c r="J90" i="5"/>
  <c r="B89" i="5"/>
  <c r="I52" i="5"/>
  <c r="H52" i="5"/>
  <c r="G52" i="5"/>
  <c r="D52" i="5"/>
  <c r="R52" i="5"/>
  <c r="Q52" i="5"/>
  <c r="P52" i="5"/>
  <c r="F52" i="5"/>
  <c r="C52" i="5"/>
  <c r="O52" i="5"/>
  <c r="N52" i="5"/>
  <c r="M52" i="5"/>
  <c r="J52" i="5"/>
  <c r="L52" i="5"/>
  <c r="E52" i="5"/>
  <c r="K52" i="5"/>
  <c r="B51" i="5"/>
  <c r="B16" i="5"/>
  <c r="B15" i="5" s="1"/>
  <c r="Q17" i="5"/>
  <c r="N17" i="5"/>
  <c r="R17" i="5"/>
  <c r="J17" i="5"/>
  <c r="C17" i="5"/>
  <c r="F17" i="5"/>
  <c r="I17" i="5"/>
  <c r="P17" i="5"/>
  <c r="O17" i="5"/>
  <c r="M17" i="5"/>
  <c r="L17" i="5"/>
  <c r="H17" i="5"/>
  <c r="G17" i="5"/>
  <c r="E17" i="5"/>
  <c r="K17" i="5"/>
  <c r="R126" i="5" l="1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O532" i="5"/>
  <c r="C532" i="5"/>
  <c r="N532" i="5"/>
  <c r="M532" i="5"/>
  <c r="P532" i="5"/>
  <c r="L532" i="5"/>
  <c r="K532" i="5"/>
  <c r="D532" i="5"/>
  <c r="J532" i="5"/>
  <c r="I532" i="5"/>
  <c r="H532" i="5"/>
  <c r="G532" i="5"/>
  <c r="R532" i="5"/>
  <c r="F532" i="5"/>
  <c r="Q532" i="5"/>
  <c r="E532" i="5"/>
  <c r="M495" i="5"/>
  <c r="L495" i="5"/>
  <c r="K495" i="5"/>
  <c r="J495" i="5"/>
  <c r="I495" i="5"/>
  <c r="H495" i="5"/>
  <c r="G495" i="5"/>
  <c r="R495" i="5"/>
  <c r="F495" i="5"/>
  <c r="Q495" i="5"/>
  <c r="E495" i="5"/>
  <c r="N495" i="5"/>
  <c r="P495" i="5"/>
  <c r="D495" i="5"/>
  <c r="O495" i="5"/>
  <c r="C495" i="5"/>
  <c r="N420" i="5"/>
  <c r="M420" i="5"/>
  <c r="L420" i="5"/>
  <c r="K420" i="5"/>
  <c r="J420" i="5"/>
  <c r="I420" i="5"/>
  <c r="H420" i="5"/>
  <c r="G420" i="5"/>
  <c r="C420" i="5"/>
  <c r="R420" i="5"/>
  <c r="F420" i="5"/>
  <c r="Q420" i="5"/>
  <c r="E420" i="5"/>
  <c r="P420" i="5"/>
  <c r="D420" i="5"/>
  <c r="O420" i="5"/>
  <c r="J458" i="5"/>
  <c r="I458" i="5"/>
  <c r="H458" i="5"/>
  <c r="G458" i="5"/>
  <c r="Q458" i="5"/>
  <c r="E458" i="5"/>
  <c r="P458" i="5"/>
  <c r="D458" i="5"/>
  <c r="O458" i="5"/>
  <c r="C458" i="5"/>
  <c r="N458" i="5"/>
  <c r="M458" i="5"/>
  <c r="R458" i="5"/>
  <c r="L458" i="5"/>
  <c r="F458" i="5"/>
  <c r="K458" i="5"/>
  <c r="B531" i="5"/>
  <c r="B494" i="5"/>
  <c r="B457" i="5"/>
  <c r="B419" i="5"/>
  <c r="K385" i="5"/>
  <c r="J385" i="5"/>
  <c r="M385" i="5"/>
  <c r="I385" i="5"/>
  <c r="H385" i="5"/>
  <c r="G385" i="5"/>
  <c r="R385" i="5"/>
  <c r="F385" i="5"/>
  <c r="Q385" i="5"/>
  <c r="E385" i="5"/>
  <c r="P385" i="5"/>
  <c r="D385" i="5"/>
  <c r="O385" i="5"/>
  <c r="C385" i="5"/>
  <c r="N385" i="5"/>
  <c r="L385" i="5"/>
  <c r="B384" i="5"/>
  <c r="I236" i="5"/>
  <c r="H236" i="5"/>
  <c r="G236" i="5"/>
  <c r="R236" i="5"/>
  <c r="F236" i="5"/>
  <c r="Q236" i="5"/>
  <c r="E236" i="5"/>
  <c r="P236" i="5"/>
  <c r="D236" i="5"/>
  <c r="O236" i="5"/>
  <c r="C236" i="5"/>
  <c r="N236" i="5"/>
  <c r="K236" i="5"/>
  <c r="M236" i="5"/>
  <c r="L236" i="5"/>
  <c r="J236" i="5"/>
  <c r="B125" i="5"/>
  <c r="K89" i="5"/>
  <c r="L89" i="5"/>
  <c r="J89" i="5"/>
  <c r="I89" i="5"/>
  <c r="H89" i="5"/>
  <c r="G89" i="5"/>
  <c r="R89" i="5"/>
  <c r="F89" i="5"/>
  <c r="Q89" i="5"/>
  <c r="E89" i="5"/>
  <c r="P89" i="5"/>
  <c r="D89" i="5"/>
  <c r="O89" i="5"/>
  <c r="C89" i="5"/>
  <c r="M89" i="5"/>
  <c r="N89" i="5"/>
  <c r="B88" i="5"/>
  <c r="H51" i="5"/>
  <c r="G51" i="5"/>
  <c r="D51" i="5"/>
  <c r="R51" i="5"/>
  <c r="Q51" i="5"/>
  <c r="P51" i="5"/>
  <c r="F51" i="5"/>
  <c r="C51" i="5"/>
  <c r="O51" i="5"/>
  <c r="N51" i="5"/>
  <c r="M51" i="5"/>
  <c r="I51" i="5"/>
  <c r="L51" i="5"/>
  <c r="E51" i="5"/>
  <c r="K51" i="5"/>
  <c r="J51" i="5"/>
  <c r="B50" i="5"/>
  <c r="N16" i="5"/>
  <c r="O16" i="5"/>
  <c r="F16" i="5"/>
  <c r="I16" i="5"/>
  <c r="C16" i="5"/>
  <c r="H16" i="5"/>
  <c r="K16" i="5"/>
  <c r="D16" i="5"/>
  <c r="M16" i="5"/>
  <c r="L16" i="5"/>
  <c r="R16" i="5"/>
  <c r="E16" i="5"/>
  <c r="Q16" i="5"/>
  <c r="J16" i="5"/>
  <c r="P16" i="5"/>
  <c r="G16" i="5"/>
  <c r="K15" i="5"/>
  <c r="C15" i="5"/>
  <c r="L15" i="5"/>
  <c r="M15" i="5"/>
  <c r="N15" i="5"/>
  <c r="O15" i="5"/>
  <c r="P15" i="5"/>
  <c r="Q15" i="5"/>
  <c r="R15" i="5"/>
  <c r="B14" i="5"/>
  <c r="B13" i="5" s="1"/>
  <c r="D15" i="5"/>
  <c r="E15" i="5"/>
  <c r="F15" i="5"/>
  <c r="G15" i="5"/>
  <c r="H15" i="5"/>
  <c r="I15" i="5"/>
  <c r="J15" i="5"/>
  <c r="R125" i="5" l="1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G531" i="5"/>
  <c r="H531" i="5"/>
  <c r="R531" i="5"/>
  <c r="F531" i="5"/>
  <c r="Q531" i="5"/>
  <c r="E531" i="5"/>
  <c r="P531" i="5"/>
  <c r="D531" i="5"/>
  <c r="O531" i="5"/>
  <c r="C531" i="5"/>
  <c r="N531" i="5"/>
  <c r="M531" i="5"/>
  <c r="L531" i="5"/>
  <c r="K531" i="5"/>
  <c r="J531" i="5"/>
  <c r="I531" i="5"/>
  <c r="Q494" i="5"/>
  <c r="E494" i="5"/>
  <c r="P494" i="5"/>
  <c r="D494" i="5"/>
  <c r="F494" i="5"/>
  <c r="O494" i="5"/>
  <c r="C494" i="5"/>
  <c r="N494" i="5"/>
  <c r="M494" i="5"/>
  <c r="L494" i="5"/>
  <c r="K494" i="5"/>
  <c r="J494" i="5"/>
  <c r="I494" i="5"/>
  <c r="H494" i="5"/>
  <c r="R494" i="5"/>
  <c r="G494" i="5"/>
  <c r="R419" i="5"/>
  <c r="F419" i="5"/>
  <c r="Q419" i="5"/>
  <c r="E419" i="5"/>
  <c r="G419" i="5"/>
  <c r="P419" i="5"/>
  <c r="D419" i="5"/>
  <c r="O419" i="5"/>
  <c r="C419" i="5"/>
  <c r="N419" i="5"/>
  <c r="M419" i="5"/>
  <c r="L419" i="5"/>
  <c r="K419" i="5"/>
  <c r="J419" i="5"/>
  <c r="I419" i="5"/>
  <c r="H419" i="5"/>
  <c r="N457" i="5"/>
  <c r="M457" i="5"/>
  <c r="J457" i="5"/>
  <c r="L457" i="5"/>
  <c r="K457" i="5"/>
  <c r="I457" i="5"/>
  <c r="H457" i="5"/>
  <c r="G457" i="5"/>
  <c r="R457" i="5"/>
  <c r="F457" i="5"/>
  <c r="Q457" i="5"/>
  <c r="E457" i="5"/>
  <c r="P457" i="5"/>
  <c r="D457" i="5"/>
  <c r="O457" i="5"/>
  <c r="C457" i="5"/>
  <c r="B530" i="5"/>
  <c r="B493" i="5"/>
  <c r="B456" i="5"/>
  <c r="B418" i="5"/>
  <c r="O384" i="5"/>
  <c r="C384" i="5"/>
  <c r="Q384" i="5"/>
  <c r="N384" i="5"/>
  <c r="M384" i="5"/>
  <c r="P384" i="5"/>
  <c r="L384" i="5"/>
  <c r="K384" i="5"/>
  <c r="J384" i="5"/>
  <c r="I384" i="5"/>
  <c r="H384" i="5"/>
  <c r="E384" i="5"/>
  <c r="G384" i="5"/>
  <c r="D384" i="5"/>
  <c r="R384" i="5"/>
  <c r="F384" i="5"/>
  <c r="B383" i="5"/>
  <c r="M235" i="5"/>
  <c r="C235" i="5"/>
  <c r="L235" i="5"/>
  <c r="K235" i="5"/>
  <c r="J235" i="5"/>
  <c r="I235" i="5"/>
  <c r="O235" i="5"/>
  <c r="H235" i="5"/>
  <c r="G235" i="5"/>
  <c r="R235" i="5"/>
  <c r="F235" i="5"/>
  <c r="Q235" i="5"/>
  <c r="E235" i="5"/>
  <c r="P235" i="5"/>
  <c r="D235" i="5"/>
  <c r="N235" i="5"/>
  <c r="B124" i="5"/>
  <c r="O88" i="5"/>
  <c r="C88" i="5"/>
  <c r="N88" i="5"/>
  <c r="M88" i="5"/>
  <c r="E88" i="5"/>
  <c r="D88" i="5"/>
  <c r="L88" i="5"/>
  <c r="K88" i="5"/>
  <c r="Q88" i="5"/>
  <c r="P88" i="5"/>
  <c r="J88" i="5"/>
  <c r="I88" i="5"/>
  <c r="H88" i="5"/>
  <c r="G88" i="5"/>
  <c r="R88" i="5"/>
  <c r="F88" i="5"/>
  <c r="B87" i="5"/>
  <c r="R50" i="5"/>
  <c r="Q50" i="5"/>
  <c r="H50" i="5"/>
  <c r="P50" i="5"/>
  <c r="F50" i="5"/>
  <c r="C50" i="5"/>
  <c r="G50" i="5"/>
  <c r="O50" i="5"/>
  <c r="N50" i="5"/>
  <c r="M50" i="5"/>
  <c r="L50" i="5"/>
  <c r="E50" i="5"/>
  <c r="K50" i="5"/>
  <c r="D50" i="5"/>
  <c r="J50" i="5"/>
  <c r="I50" i="5"/>
  <c r="B49" i="5"/>
  <c r="B12" i="5"/>
  <c r="G13" i="5"/>
  <c r="H13" i="5"/>
  <c r="I13" i="5"/>
  <c r="R13" i="5"/>
  <c r="J13" i="5"/>
  <c r="K13" i="5"/>
  <c r="L13" i="5"/>
  <c r="M13" i="5"/>
  <c r="F13" i="5"/>
  <c r="N13" i="5"/>
  <c r="C13" i="5"/>
  <c r="O13" i="5"/>
  <c r="D13" i="5"/>
  <c r="P13" i="5"/>
  <c r="E13" i="5"/>
  <c r="Q13" i="5"/>
  <c r="C14" i="5"/>
  <c r="K14" i="5"/>
  <c r="P14" i="5"/>
  <c r="R14" i="5"/>
  <c r="Q14" i="5"/>
  <c r="O14" i="5"/>
  <c r="N14" i="5"/>
  <c r="L14" i="5"/>
  <c r="M14" i="5"/>
  <c r="E14" i="5"/>
  <c r="D14" i="5"/>
  <c r="J14" i="5"/>
  <c r="I14" i="5"/>
  <c r="G14" i="5"/>
  <c r="H14" i="5"/>
  <c r="F14" i="5"/>
  <c r="R124" i="5" l="1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K530" i="5"/>
  <c r="J530" i="5"/>
  <c r="I530" i="5"/>
  <c r="H530" i="5"/>
  <c r="G530" i="5"/>
  <c r="R530" i="5"/>
  <c r="F530" i="5"/>
  <c r="Q530" i="5"/>
  <c r="E530" i="5"/>
  <c r="P530" i="5"/>
  <c r="D530" i="5"/>
  <c r="O530" i="5"/>
  <c r="C530" i="5"/>
  <c r="N530" i="5"/>
  <c r="M530" i="5"/>
  <c r="L530" i="5"/>
  <c r="I493" i="5"/>
  <c r="H493" i="5"/>
  <c r="G493" i="5"/>
  <c r="R493" i="5"/>
  <c r="F493" i="5"/>
  <c r="Q493" i="5"/>
  <c r="E493" i="5"/>
  <c r="J493" i="5"/>
  <c r="P493" i="5"/>
  <c r="D493" i="5"/>
  <c r="O493" i="5"/>
  <c r="C493" i="5"/>
  <c r="N493" i="5"/>
  <c r="M493" i="5"/>
  <c r="L493" i="5"/>
  <c r="K493" i="5"/>
  <c r="J418" i="5"/>
  <c r="I418" i="5"/>
  <c r="H418" i="5"/>
  <c r="G418" i="5"/>
  <c r="R418" i="5"/>
  <c r="F418" i="5"/>
  <c r="Q418" i="5"/>
  <c r="E418" i="5"/>
  <c r="P418" i="5"/>
  <c r="D418" i="5"/>
  <c r="K418" i="5"/>
  <c r="O418" i="5"/>
  <c r="C418" i="5"/>
  <c r="N418" i="5"/>
  <c r="M418" i="5"/>
  <c r="L418" i="5"/>
  <c r="R456" i="5"/>
  <c r="F456" i="5"/>
  <c r="Q456" i="5"/>
  <c r="E456" i="5"/>
  <c r="P456" i="5"/>
  <c r="D456" i="5"/>
  <c r="O456" i="5"/>
  <c r="C456" i="5"/>
  <c r="M456" i="5"/>
  <c r="L456" i="5"/>
  <c r="K456" i="5"/>
  <c r="J456" i="5"/>
  <c r="I456" i="5"/>
  <c r="N456" i="5"/>
  <c r="H456" i="5"/>
  <c r="G456" i="5"/>
  <c r="B529" i="5"/>
  <c r="B492" i="5"/>
  <c r="B455" i="5"/>
  <c r="B417" i="5"/>
  <c r="G383" i="5"/>
  <c r="R383" i="5"/>
  <c r="F383" i="5"/>
  <c r="H383" i="5"/>
  <c r="Q383" i="5"/>
  <c r="E383" i="5"/>
  <c r="P383" i="5"/>
  <c r="D383" i="5"/>
  <c r="O383" i="5"/>
  <c r="C383" i="5"/>
  <c r="I383" i="5"/>
  <c r="N383" i="5"/>
  <c r="M383" i="5"/>
  <c r="L383" i="5"/>
  <c r="K383" i="5"/>
  <c r="J383" i="5"/>
  <c r="B382" i="5"/>
  <c r="Q234" i="5"/>
  <c r="E234" i="5"/>
  <c r="P234" i="5"/>
  <c r="D234" i="5"/>
  <c r="O234" i="5"/>
  <c r="C234" i="5"/>
  <c r="N234" i="5"/>
  <c r="G234" i="5"/>
  <c r="M234" i="5"/>
  <c r="L234" i="5"/>
  <c r="K234" i="5"/>
  <c r="J234" i="5"/>
  <c r="I234" i="5"/>
  <c r="H234" i="5"/>
  <c r="R234" i="5"/>
  <c r="F234" i="5"/>
  <c r="B123" i="5"/>
  <c r="G87" i="5"/>
  <c r="R87" i="5"/>
  <c r="F87" i="5"/>
  <c r="Q87" i="5"/>
  <c r="E87" i="5"/>
  <c r="P87" i="5"/>
  <c r="D87" i="5"/>
  <c r="H87" i="5"/>
  <c r="O87" i="5"/>
  <c r="C87" i="5"/>
  <c r="N87" i="5"/>
  <c r="M87" i="5"/>
  <c r="L87" i="5"/>
  <c r="K87" i="5"/>
  <c r="I87" i="5"/>
  <c r="J87" i="5"/>
  <c r="B86" i="5"/>
  <c r="R49" i="5"/>
  <c r="Q49" i="5"/>
  <c r="P49" i="5"/>
  <c r="F49" i="5"/>
  <c r="C49" i="5"/>
  <c r="O49" i="5"/>
  <c r="N49" i="5"/>
  <c r="M49" i="5"/>
  <c r="L49" i="5"/>
  <c r="E49" i="5"/>
  <c r="K49" i="5"/>
  <c r="J49" i="5"/>
  <c r="I49" i="5"/>
  <c r="H49" i="5"/>
  <c r="G49" i="5"/>
  <c r="D49" i="5"/>
  <c r="B48" i="5"/>
  <c r="B11" i="5"/>
  <c r="K12" i="5"/>
  <c r="L12" i="5"/>
  <c r="M12" i="5"/>
  <c r="N12" i="5"/>
  <c r="C12" i="5"/>
  <c r="O12" i="5"/>
  <c r="D12" i="5"/>
  <c r="P12" i="5"/>
  <c r="J12" i="5"/>
  <c r="E12" i="5"/>
  <c r="Q12" i="5"/>
  <c r="F12" i="5"/>
  <c r="R12" i="5"/>
  <c r="G12" i="5"/>
  <c r="H12" i="5"/>
  <c r="I12" i="5"/>
  <c r="R123" i="5" l="1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O529" i="5"/>
  <c r="C529" i="5"/>
  <c r="N529" i="5"/>
  <c r="D529" i="5"/>
  <c r="M529" i="5"/>
  <c r="L529" i="5"/>
  <c r="K529" i="5"/>
  <c r="J529" i="5"/>
  <c r="I529" i="5"/>
  <c r="H529" i="5"/>
  <c r="P529" i="5"/>
  <c r="G529" i="5"/>
  <c r="R529" i="5"/>
  <c r="F529" i="5"/>
  <c r="Q529" i="5"/>
  <c r="E529" i="5"/>
  <c r="M492" i="5"/>
  <c r="L492" i="5"/>
  <c r="K492" i="5"/>
  <c r="J492" i="5"/>
  <c r="I492" i="5"/>
  <c r="H492" i="5"/>
  <c r="G492" i="5"/>
  <c r="R492" i="5"/>
  <c r="F492" i="5"/>
  <c r="N492" i="5"/>
  <c r="Q492" i="5"/>
  <c r="E492" i="5"/>
  <c r="P492" i="5"/>
  <c r="D492" i="5"/>
  <c r="O492" i="5"/>
  <c r="C492" i="5"/>
  <c r="N417" i="5"/>
  <c r="M417" i="5"/>
  <c r="L417" i="5"/>
  <c r="K417" i="5"/>
  <c r="J417" i="5"/>
  <c r="I417" i="5"/>
  <c r="H417" i="5"/>
  <c r="G417" i="5"/>
  <c r="R417" i="5"/>
  <c r="F417" i="5"/>
  <c r="Q417" i="5"/>
  <c r="E417" i="5"/>
  <c r="O417" i="5"/>
  <c r="P417" i="5"/>
  <c r="D417" i="5"/>
  <c r="C417" i="5"/>
  <c r="J455" i="5"/>
  <c r="I455" i="5"/>
  <c r="H455" i="5"/>
  <c r="R455" i="5"/>
  <c r="G455" i="5"/>
  <c r="F455" i="5"/>
  <c r="Q455" i="5"/>
  <c r="E455" i="5"/>
  <c r="P455" i="5"/>
  <c r="D455" i="5"/>
  <c r="O455" i="5"/>
  <c r="C455" i="5"/>
  <c r="N455" i="5"/>
  <c r="M455" i="5"/>
  <c r="L455" i="5"/>
  <c r="K455" i="5"/>
  <c r="B528" i="5"/>
  <c r="B491" i="5"/>
  <c r="B454" i="5"/>
  <c r="B416" i="5"/>
  <c r="K382" i="5"/>
  <c r="J382" i="5"/>
  <c r="I382" i="5"/>
  <c r="H382" i="5"/>
  <c r="M382" i="5"/>
  <c r="L382" i="5"/>
  <c r="G382" i="5"/>
  <c r="R382" i="5"/>
  <c r="F382" i="5"/>
  <c r="Q382" i="5"/>
  <c r="E382" i="5"/>
  <c r="P382" i="5"/>
  <c r="D382" i="5"/>
  <c r="O382" i="5"/>
  <c r="C382" i="5"/>
  <c r="N382" i="5"/>
  <c r="B381" i="5"/>
  <c r="I233" i="5"/>
  <c r="H233" i="5"/>
  <c r="G233" i="5"/>
  <c r="R233" i="5"/>
  <c r="F233" i="5"/>
  <c r="K233" i="5"/>
  <c r="Q233" i="5"/>
  <c r="E233" i="5"/>
  <c r="P233" i="5"/>
  <c r="D233" i="5"/>
  <c r="O233" i="5"/>
  <c r="C233" i="5"/>
  <c r="N233" i="5"/>
  <c r="M233" i="5"/>
  <c r="L233" i="5"/>
  <c r="J233" i="5"/>
  <c r="B122" i="5"/>
  <c r="K86" i="5"/>
  <c r="J86" i="5"/>
  <c r="I86" i="5"/>
  <c r="H86" i="5"/>
  <c r="G86" i="5"/>
  <c r="R86" i="5"/>
  <c r="F86" i="5"/>
  <c r="Q86" i="5"/>
  <c r="E86" i="5"/>
  <c r="P86" i="5"/>
  <c r="D86" i="5"/>
  <c r="O86" i="5"/>
  <c r="C86" i="5"/>
  <c r="M86" i="5"/>
  <c r="N86" i="5"/>
  <c r="L86" i="5"/>
  <c r="B85" i="5"/>
  <c r="Q48" i="5"/>
  <c r="P48" i="5"/>
  <c r="F48" i="5"/>
  <c r="C48" i="5"/>
  <c r="O48" i="5"/>
  <c r="N48" i="5"/>
  <c r="M48" i="5"/>
  <c r="L48" i="5"/>
  <c r="E48" i="5"/>
  <c r="K48" i="5"/>
  <c r="J48" i="5"/>
  <c r="I48" i="5"/>
  <c r="H48" i="5"/>
  <c r="G48" i="5"/>
  <c r="D48" i="5"/>
  <c r="R48" i="5"/>
  <c r="B47" i="5"/>
  <c r="B10" i="5"/>
  <c r="D10" i="5" s="1"/>
  <c r="C11" i="5"/>
  <c r="O11" i="5"/>
  <c r="D11" i="5"/>
  <c r="P11" i="5"/>
  <c r="E11" i="5"/>
  <c r="Q11" i="5"/>
  <c r="F11" i="5"/>
  <c r="R11" i="5"/>
  <c r="G11" i="5"/>
  <c r="H11" i="5"/>
  <c r="I11" i="5"/>
  <c r="J11" i="5"/>
  <c r="N11" i="5"/>
  <c r="K11" i="5"/>
  <c r="L11" i="5"/>
  <c r="M11" i="5"/>
  <c r="R122" i="5" l="1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G528" i="5"/>
  <c r="R528" i="5"/>
  <c r="F528" i="5"/>
  <c r="Q528" i="5"/>
  <c r="E528" i="5"/>
  <c r="P528" i="5"/>
  <c r="D528" i="5"/>
  <c r="O528" i="5"/>
  <c r="C528" i="5"/>
  <c r="N528" i="5"/>
  <c r="M528" i="5"/>
  <c r="L528" i="5"/>
  <c r="K528" i="5"/>
  <c r="H528" i="5"/>
  <c r="J528" i="5"/>
  <c r="I528" i="5"/>
  <c r="Q491" i="5"/>
  <c r="E491" i="5"/>
  <c r="R491" i="5"/>
  <c r="P491" i="5"/>
  <c r="D491" i="5"/>
  <c r="O491" i="5"/>
  <c r="C491" i="5"/>
  <c r="N491" i="5"/>
  <c r="F491" i="5"/>
  <c r="M491" i="5"/>
  <c r="L491" i="5"/>
  <c r="K491" i="5"/>
  <c r="J491" i="5"/>
  <c r="I491" i="5"/>
  <c r="H491" i="5"/>
  <c r="G491" i="5"/>
  <c r="R416" i="5"/>
  <c r="F416" i="5"/>
  <c r="Q416" i="5"/>
  <c r="E416" i="5"/>
  <c r="P416" i="5"/>
  <c r="D416" i="5"/>
  <c r="O416" i="5"/>
  <c r="C416" i="5"/>
  <c r="N416" i="5"/>
  <c r="G416" i="5"/>
  <c r="M416" i="5"/>
  <c r="L416" i="5"/>
  <c r="K416" i="5"/>
  <c r="J416" i="5"/>
  <c r="I416" i="5"/>
  <c r="H416" i="5"/>
  <c r="N454" i="5"/>
  <c r="M454" i="5"/>
  <c r="L454" i="5"/>
  <c r="K454" i="5"/>
  <c r="I454" i="5"/>
  <c r="H454" i="5"/>
  <c r="G454" i="5"/>
  <c r="R454" i="5"/>
  <c r="F454" i="5"/>
  <c r="Q454" i="5"/>
  <c r="E454" i="5"/>
  <c r="J454" i="5"/>
  <c r="P454" i="5"/>
  <c r="D454" i="5"/>
  <c r="O454" i="5"/>
  <c r="C454" i="5"/>
  <c r="B527" i="5"/>
  <c r="B490" i="5"/>
  <c r="B453" i="5"/>
  <c r="B415" i="5"/>
  <c r="O381" i="5"/>
  <c r="C381" i="5"/>
  <c r="P381" i="5"/>
  <c r="N381" i="5"/>
  <c r="M381" i="5"/>
  <c r="Q381" i="5"/>
  <c r="L381" i="5"/>
  <c r="K381" i="5"/>
  <c r="J381" i="5"/>
  <c r="I381" i="5"/>
  <c r="H381" i="5"/>
  <c r="D381" i="5"/>
  <c r="G381" i="5"/>
  <c r="E381" i="5"/>
  <c r="R381" i="5"/>
  <c r="F381" i="5"/>
  <c r="B380" i="5"/>
  <c r="M232" i="5"/>
  <c r="L232" i="5"/>
  <c r="K232" i="5"/>
  <c r="C232" i="5"/>
  <c r="J232" i="5"/>
  <c r="I232" i="5"/>
  <c r="H232" i="5"/>
  <c r="G232" i="5"/>
  <c r="R232" i="5"/>
  <c r="F232" i="5"/>
  <c r="Q232" i="5"/>
  <c r="E232" i="5"/>
  <c r="O232" i="5"/>
  <c r="P232" i="5"/>
  <c r="D232" i="5"/>
  <c r="N232" i="5"/>
  <c r="B121" i="5"/>
  <c r="O85" i="5"/>
  <c r="C85" i="5"/>
  <c r="P85" i="5"/>
  <c r="N85" i="5"/>
  <c r="M85" i="5"/>
  <c r="L85" i="5"/>
  <c r="K85" i="5"/>
  <c r="J85" i="5"/>
  <c r="I85" i="5"/>
  <c r="H85" i="5"/>
  <c r="D85" i="5"/>
  <c r="G85" i="5"/>
  <c r="E85" i="5"/>
  <c r="R85" i="5"/>
  <c r="F85" i="5"/>
  <c r="Q85" i="5"/>
  <c r="B84" i="5"/>
  <c r="P47" i="5"/>
  <c r="G47" i="5"/>
  <c r="D47" i="5"/>
  <c r="O47" i="5"/>
  <c r="Q47" i="5"/>
  <c r="N47" i="5"/>
  <c r="M47" i="5"/>
  <c r="L47" i="5"/>
  <c r="F47" i="5"/>
  <c r="C47" i="5"/>
  <c r="K47" i="5"/>
  <c r="J47" i="5"/>
  <c r="I47" i="5"/>
  <c r="H47" i="5"/>
  <c r="E47" i="5"/>
  <c r="R47" i="5"/>
  <c r="B46" i="5"/>
  <c r="B9" i="5"/>
  <c r="G10" i="5"/>
  <c r="H10" i="5"/>
  <c r="I10" i="5"/>
  <c r="J10" i="5"/>
  <c r="K10" i="5"/>
  <c r="R10" i="5"/>
  <c r="L10" i="5"/>
  <c r="M10" i="5"/>
  <c r="N10" i="5"/>
  <c r="C10" i="5"/>
  <c r="O10" i="5"/>
  <c r="F10" i="5"/>
  <c r="P10" i="5"/>
  <c r="E10" i="5"/>
  <c r="Q10" i="5"/>
  <c r="R121" i="5" l="1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K527" i="5"/>
  <c r="J527" i="5"/>
  <c r="I527" i="5"/>
  <c r="H527" i="5"/>
  <c r="G527" i="5"/>
  <c r="L527" i="5"/>
  <c r="R527" i="5"/>
  <c r="F527" i="5"/>
  <c r="Q527" i="5"/>
  <c r="E527" i="5"/>
  <c r="P527" i="5"/>
  <c r="D527" i="5"/>
  <c r="O527" i="5"/>
  <c r="C527" i="5"/>
  <c r="N527" i="5"/>
  <c r="M527" i="5"/>
  <c r="I490" i="5"/>
  <c r="H490" i="5"/>
  <c r="G490" i="5"/>
  <c r="J490" i="5"/>
  <c r="R490" i="5"/>
  <c r="F490" i="5"/>
  <c r="Q490" i="5"/>
  <c r="E490" i="5"/>
  <c r="P490" i="5"/>
  <c r="D490" i="5"/>
  <c r="O490" i="5"/>
  <c r="C490" i="5"/>
  <c r="N490" i="5"/>
  <c r="M490" i="5"/>
  <c r="L490" i="5"/>
  <c r="K490" i="5"/>
  <c r="J415" i="5"/>
  <c r="I415" i="5"/>
  <c r="H415" i="5"/>
  <c r="G415" i="5"/>
  <c r="K415" i="5"/>
  <c r="R415" i="5"/>
  <c r="F415" i="5"/>
  <c r="Q415" i="5"/>
  <c r="E415" i="5"/>
  <c r="P415" i="5"/>
  <c r="D415" i="5"/>
  <c r="O415" i="5"/>
  <c r="C415" i="5"/>
  <c r="N415" i="5"/>
  <c r="M415" i="5"/>
  <c r="L415" i="5"/>
  <c r="R453" i="5"/>
  <c r="F453" i="5"/>
  <c r="Q453" i="5"/>
  <c r="E453" i="5"/>
  <c r="P453" i="5"/>
  <c r="D453" i="5"/>
  <c r="O453" i="5"/>
  <c r="C453" i="5"/>
  <c r="M453" i="5"/>
  <c r="L453" i="5"/>
  <c r="K453" i="5"/>
  <c r="J453" i="5"/>
  <c r="I453" i="5"/>
  <c r="H453" i="5"/>
  <c r="G453" i="5"/>
  <c r="N453" i="5"/>
  <c r="B526" i="5"/>
  <c r="B489" i="5"/>
  <c r="B452" i="5"/>
  <c r="G380" i="5"/>
  <c r="R380" i="5"/>
  <c r="F380" i="5"/>
  <c r="Q380" i="5"/>
  <c r="E380" i="5"/>
  <c r="P380" i="5"/>
  <c r="D380" i="5"/>
  <c r="H380" i="5"/>
  <c r="O380" i="5"/>
  <c r="C380" i="5"/>
  <c r="I380" i="5"/>
  <c r="N380" i="5"/>
  <c r="M380" i="5"/>
  <c r="L380" i="5"/>
  <c r="K380" i="5"/>
  <c r="J380" i="5"/>
  <c r="B379" i="5"/>
  <c r="B120" i="5"/>
  <c r="G84" i="5"/>
  <c r="R84" i="5"/>
  <c r="F84" i="5"/>
  <c r="Q84" i="5"/>
  <c r="E84" i="5"/>
  <c r="P84" i="5"/>
  <c r="D84" i="5"/>
  <c r="O84" i="5"/>
  <c r="C84" i="5"/>
  <c r="I84" i="5"/>
  <c r="H84" i="5"/>
  <c r="N84" i="5"/>
  <c r="M84" i="5"/>
  <c r="L84" i="5"/>
  <c r="K84" i="5"/>
  <c r="J84" i="5"/>
  <c r="B83" i="5"/>
  <c r="N46" i="5"/>
  <c r="M46" i="5"/>
  <c r="L46" i="5"/>
  <c r="K46" i="5"/>
  <c r="F46" i="5"/>
  <c r="J46" i="5"/>
  <c r="I46" i="5"/>
  <c r="B45" i="5"/>
  <c r="H46" i="5"/>
  <c r="G46" i="5"/>
  <c r="Q46" i="5"/>
  <c r="E46" i="5"/>
  <c r="P46" i="5"/>
  <c r="D46" i="5"/>
  <c r="R46" i="5"/>
  <c r="O46" i="5"/>
  <c r="C46" i="5"/>
  <c r="B8" i="5"/>
  <c r="K9" i="5"/>
  <c r="L9" i="5"/>
  <c r="M9" i="5"/>
  <c r="N9" i="5"/>
  <c r="C9" i="5"/>
  <c r="O9" i="5"/>
  <c r="D9" i="5"/>
  <c r="P9" i="5"/>
  <c r="E9" i="5"/>
  <c r="Q9" i="5"/>
  <c r="F9" i="5"/>
  <c r="R9" i="5"/>
  <c r="G9" i="5"/>
  <c r="H9" i="5"/>
  <c r="J9" i="5"/>
  <c r="I9" i="5"/>
  <c r="R120" i="5" l="1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O526" i="5"/>
  <c r="C526" i="5"/>
  <c r="N526" i="5"/>
  <c r="M526" i="5"/>
  <c r="P526" i="5"/>
  <c r="L526" i="5"/>
  <c r="K526" i="5"/>
  <c r="J526" i="5"/>
  <c r="I526" i="5"/>
  <c r="D526" i="5"/>
  <c r="H526" i="5"/>
  <c r="G526" i="5"/>
  <c r="R526" i="5"/>
  <c r="F526" i="5"/>
  <c r="Q526" i="5"/>
  <c r="E526" i="5"/>
  <c r="M489" i="5"/>
  <c r="L489" i="5"/>
  <c r="K489" i="5"/>
  <c r="J489" i="5"/>
  <c r="I489" i="5"/>
  <c r="H489" i="5"/>
  <c r="G489" i="5"/>
  <c r="R489" i="5"/>
  <c r="F489" i="5"/>
  <c r="Q489" i="5"/>
  <c r="E489" i="5"/>
  <c r="P489" i="5"/>
  <c r="D489" i="5"/>
  <c r="O489" i="5"/>
  <c r="C489" i="5"/>
  <c r="N489" i="5"/>
  <c r="J452" i="5"/>
  <c r="I452" i="5"/>
  <c r="H452" i="5"/>
  <c r="G452" i="5"/>
  <c r="Q452" i="5"/>
  <c r="E452" i="5"/>
  <c r="P452" i="5"/>
  <c r="D452" i="5"/>
  <c r="O452" i="5"/>
  <c r="C452" i="5"/>
  <c r="N452" i="5"/>
  <c r="M452" i="5"/>
  <c r="F452" i="5"/>
  <c r="L452" i="5"/>
  <c r="R452" i="5"/>
  <c r="K452" i="5"/>
  <c r="K379" i="5"/>
  <c r="J379" i="5"/>
  <c r="M379" i="5"/>
  <c r="I379" i="5"/>
  <c r="H379" i="5"/>
  <c r="G379" i="5"/>
  <c r="L379" i="5"/>
  <c r="R379" i="5"/>
  <c r="F379" i="5"/>
  <c r="Q379" i="5"/>
  <c r="E379" i="5"/>
  <c r="P379" i="5"/>
  <c r="D379" i="5"/>
  <c r="O379" i="5"/>
  <c r="C379" i="5"/>
  <c r="N379" i="5"/>
  <c r="B378" i="5"/>
  <c r="B119" i="5"/>
  <c r="M83" i="5"/>
  <c r="L83" i="5"/>
  <c r="K83" i="5"/>
  <c r="J83" i="5"/>
  <c r="I83" i="5"/>
  <c r="B82" i="5"/>
  <c r="H83" i="5"/>
  <c r="N83" i="5"/>
  <c r="G83" i="5"/>
  <c r="R83" i="5"/>
  <c r="F83" i="5"/>
  <c r="Q83" i="5"/>
  <c r="E83" i="5"/>
  <c r="P83" i="5"/>
  <c r="D83" i="5"/>
  <c r="O83" i="5"/>
  <c r="C83" i="5"/>
  <c r="G45" i="5"/>
  <c r="R45" i="5"/>
  <c r="F45" i="5"/>
  <c r="Q45" i="5"/>
  <c r="E45" i="5"/>
  <c r="P45" i="5"/>
  <c r="D45" i="5"/>
  <c r="O45" i="5"/>
  <c r="C45" i="5"/>
  <c r="N45" i="5"/>
  <c r="M45" i="5"/>
  <c r="L45" i="5"/>
  <c r="J45" i="5"/>
  <c r="K45" i="5"/>
  <c r="I45" i="5"/>
  <c r="H45" i="5"/>
  <c r="C8" i="5"/>
  <c r="O8" i="5"/>
  <c r="D8" i="5"/>
  <c r="P8" i="5"/>
  <c r="E8" i="5"/>
  <c r="Q8" i="5"/>
  <c r="F8" i="5"/>
  <c r="R8" i="5"/>
  <c r="G8" i="5"/>
  <c r="H8" i="5"/>
  <c r="I8" i="5"/>
  <c r="J8" i="5"/>
  <c r="K8" i="5"/>
  <c r="L8" i="5"/>
  <c r="M8" i="5"/>
  <c r="N8" i="5"/>
  <c r="R119" i="5" l="1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O378" i="5"/>
  <c r="C378" i="5"/>
  <c r="E378" i="5"/>
  <c r="N378" i="5"/>
  <c r="D378" i="5"/>
  <c r="M378" i="5"/>
  <c r="L378" i="5"/>
  <c r="K378" i="5"/>
  <c r="J378" i="5"/>
  <c r="I378" i="5"/>
  <c r="H378" i="5"/>
  <c r="Q378" i="5"/>
  <c r="G378" i="5"/>
  <c r="P378" i="5"/>
  <c r="R378" i="5"/>
  <c r="F378" i="5"/>
  <c r="R82" i="5"/>
  <c r="F82" i="5"/>
  <c r="Q82" i="5"/>
  <c r="E82" i="5"/>
  <c r="P82" i="5"/>
  <c r="D82" i="5"/>
  <c r="G82" i="5"/>
  <c r="O82" i="5"/>
  <c r="C82" i="5"/>
  <c r="N82" i="5"/>
  <c r="M82" i="5"/>
  <c r="L82" i="5"/>
  <c r="K82" i="5"/>
  <c r="J82" i="5"/>
  <c r="I82" i="5"/>
  <c r="H82" i="5"/>
</calcChain>
</file>

<file path=xl/sharedStrings.xml><?xml version="1.0" encoding="utf-8"?>
<sst xmlns="http://schemas.openxmlformats.org/spreadsheetml/2006/main" count="753" uniqueCount="91">
  <si>
    <t>Média</t>
  </si>
  <si>
    <t>Desvio Padrão</t>
  </si>
  <si>
    <t>Máximo</t>
  </si>
  <si>
    <t>Mínimo</t>
  </si>
  <si>
    <t>Ano</t>
  </si>
  <si>
    <t>Bim</t>
  </si>
  <si>
    <t>Trim</t>
  </si>
  <si>
    <t>Quad</t>
  </si>
  <si>
    <t>Sem</t>
  </si>
  <si>
    <t>PERIODO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</si>
  <si>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</si>
  <si>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</si>
  <si>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</si>
  <si>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</si>
  <si>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</si>
  <si>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</si>
  <si>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</si>
  <si>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</si>
  <si>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</si>
  <si>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</si>
  <si>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</si>
  <si>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</si>
  <si>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</si>
  <si>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</si>
  <si>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</si>
  <si>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LME</t>
  </si>
  <si>
    <t>VME</t>
  </si>
  <si>
    <t>V01 - NÚMERO DE DENÚNCIAS DE ASSÉDIO MORAL APURADAS NO PERÍODO RECEBIDAS PELOS DIVERSOS CANAIS DE DENÚNCIAS DA COMPANHIA</t>
  </si>
  <si>
    <t>DADOS</t>
  </si>
  <si>
    <t>SOMA</t>
  </si>
  <si>
    <t>AMPLITUDE</t>
  </si>
  <si>
    <t>Período</t>
  </si>
  <si>
    <t>Soma</t>
  </si>
  <si>
    <t>Amplitude</t>
  </si>
  <si>
    <t>LIC</t>
  </si>
  <si>
    <t>L2I</t>
  </si>
  <si>
    <t>L1I</t>
  </si>
  <si>
    <t>LMC</t>
  </si>
  <si>
    <t>L1S</t>
  </si>
  <si>
    <t>L2S</t>
  </si>
  <si>
    <t>LSC</t>
  </si>
  <si>
    <t>V02 - NÚMERO TOTAL DE DENÚNCIAS NO PERÍODO DE REFERÊNCIA RECEBIDAS PELOS DIVERSOS CANAIS DE DENÚNCIAS DA COMPANHIA</t>
  </si>
  <si>
    <t>V03 - NÚMERO DE DENÚNCIAS DE ASSÉDIO SEXUAL APURADAS NO PERÍODO RECEBIDAS PELOS DIVERSOS CANAIS DE DENÚNCIAS DA COMPANHIA</t>
  </si>
  <si>
    <t>V04 - NÚMERO DE DENÚNCIAS APURADAS E TRATADAS NO ÂMBITO DA PRGI E CECC NO PERÍODO DE REFERÊNCIA</t>
  </si>
  <si>
    <t>V07 - QUANTIDADE DE EMPREGADOS E MEMBROS DOS ÓRGÃOS ESTATUTÁRIOS TREINADOS NO PROGRAMA DE INTEGRIDADE DA CAESB</t>
  </si>
  <si>
    <t>2022.03</t>
  </si>
  <si>
    <t>2023.01</t>
  </si>
  <si>
    <t>2023.02</t>
  </si>
  <si>
    <t>2023.03</t>
  </si>
  <si>
    <t>2024.01</t>
  </si>
  <si>
    <t>2024.02</t>
  </si>
  <si>
    <t>2024.03</t>
  </si>
  <si>
    <t>V08 - QUANTIDADE TOTAL DE EMPREGADOS E MEMBROS DOS ÓRGÃOS ESTATUTÁRIOS</t>
  </si>
  <si>
    <t>V09 - QUANTIDADE DE EVASÃO DE EMPREGADOS E MEMBROS DE ÓRGÃOS ESTATUTÁRIOS NO TREINAMENTO DE INTEGRIDADE DA CAESB</t>
  </si>
  <si>
    <t>V10 - QUANTIDADE DE VAGAS OFERTADAS PARA O TREINAMENTO NO PROGRAMA DE INTEGRIDADE DA CAESB</t>
  </si>
  <si>
    <t>V11 - NÚMERO DE DENÚNCIAS DE NEPOTISMO APURADAS NO PERÍODO RECEBIDAS PELOS DIVERSOS CANAIS DE DENÚNCIAS DA COMPANHIA</t>
  </si>
  <si>
    <t>V12 - NÚMERO DE DENÚNCIAS DE CONFLITO DE INTERESSES APURADAS NO PERÍODO RECEBIDAS PELOS DIVERSOS CANAIS DE DENÚNCIAS DA COMPANHIA</t>
  </si>
  <si>
    <t>V13 - NÚMERO DE DENÚNCIAS CONSIDERADAS PROCEDENTES COM INDICATIVO DE TAC, PAD, TCE, MEDIAÇÃO DE CONFLITOS E APURAÇÃO ÉTICA</t>
  </si>
  <si>
    <t>V15 - NÚMERO DE DENÚNCIAS CONSIDERADAS PROCEDENTES COM INDICATIVO DE TAC, PAD, TCE, MEDIAÇÃO DE CONFLITOS E APURAÇÃO ÉTICA NO EXERCÍCIO</t>
  </si>
  <si>
    <t>I05 - PERCENTUAL DE EMPREGADOS E MEMBROS DOS ÓRGÃOS ESTATUTÁRIOS TREINADOS NO PROGRAMA DE INTEGRIDADE DA CAESB</t>
  </si>
  <si>
    <t>PERCENTUAL</t>
  </si>
  <si>
    <t>I05</t>
  </si>
  <si>
    <t>I06 - PERCENTUAL DE EVASÃO NO TREINAMENTO DO PROGRAMA DE INTEGRIDADE DA CAESB</t>
  </si>
  <si>
    <t>I06</t>
  </si>
  <si>
    <t>PERÍODO</t>
  </si>
  <si>
    <t>V01 - NÚMERO DE DENÚNCIAS DE ASSÉDIO MORAL</t>
  </si>
  <si>
    <t>VMC</t>
  </si>
  <si>
    <t>Soma Móvel</t>
  </si>
  <si>
    <t>Amplitude Móvel</t>
  </si>
  <si>
    <t>Periodo</t>
  </si>
  <si>
    <t>Apurado</t>
  </si>
  <si>
    <t>V02 - NÚMERO TOTAL DE DENÚNCIAS RECEBIDAS</t>
  </si>
  <si>
    <t>V03 - NÚMERO DE DENÚNCIAS DE ASSÉDIO SEXUAL</t>
  </si>
  <si>
    <t>V04 - NÚMERO DE DENÚNCIAS APURADAS E TRATADAS</t>
  </si>
  <si>
    <t>V05 - NÚMERO DE CONTRATOS CERTIFICADOS PELA CGDF</t>
  </si>
  <si>
    <t>V06 - NÚMERO TOTAL DE CONTRATOS VIGENTES ENQUADRADOS NA LEI 6112/2018</t>
  </si>
  <si>
    <t>V07 - NÚMERO DE EMPREGADOS E MEMBROS DE ÓRGÃOS ESTATUTÁRIOS TREINADOS NO PROGRAMA DE INTEGRIDADE DA CAESB</t>
  </si>
  <si>
    <t>V08 - NÚMERO TOTAL DE EMPREGADOS E MEMBROS DE ÓRGÃOS ESTATUTÁRIOS</t>
  </si>
  <si>
    <t>V09 - NÚMERO DE EMPREGADOS QUE NÃO COMPARECERAM OU NÃO CONCLUÍRAM O TREINAMENTO NO PROGRAMA DE INTEGRIDADE DA CAESB</t>
  </si>
  <si>
    <t>V10 - NÚMERO TOTAL DE VAGAS OFERTADAS PARA O TREINAMENTO NO PROGRAMA DE INTEGRIDADE DA CAESB</t>
  </si>
  <si>
    <t>V11 - NÚMERO DE DENÚNCIAS DE NEPOTISMO RECEBIDAS</t>
  </si>
  <si>
    <t>V12 - NÚMERO DE DENÚNCIAS DE CONFLITO DE INTERESSES RECEBIDAS</t>
  </si>
  <si>
    <t>V13 - NÚMERO DE DENÚNCIAS COM INDICATIVO DE TAC, PAD, TCE, MEDIAÇÃO DE CONFLITOS, APURAÇÃO ÉTICA</t>
  </si>
  <si>
    <t>V14 - NÚMERO DE DENÚNCIAS ENVIADAS PARA AS COMISSÕES DE TAC, PAD, TCE, MEDIAÇÃO DE CONFLITOS, APURAÇÃO ÉTICA COM APLICAÇÃO DE PENALIDADE</t>
  </si>
  <si>
    <t>V15 - NÚMERO DE DENÚNCIAS ENVIADAS PARA AS COMISSÕES DE TAC, PAD, TCE, MEDIAÇÃO DE CONFLITOS, APURAÇÃO ÉTICA NO EXERCÍCIO</t>
  </si>
  <si>
    <t>1.</t>
  </si>
  <si>
    <t>A princípio foi mantida a proposta inicial de apuração quadrimestral, contudo torna-se necessária uma observação futura para reavaliar a melhor periodicidade dos indicadores</t>
  </si>
  <si>
    <t>2.</t>
  </si>
  <si>
    <t>Aparentemente o processo de treinamento não apresenta comportamento de recorrência sistêmica preestabelecida</t>
  </si>
  <si>
    <t>3.</t>
  </si>
  <si>
    <t>A base de dados é insuficiente para realização de inferência estatística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</si>
</sst>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"/>
    <numFmt numFmtId="165" formatCode="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b/>
      <sz val="28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5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 style="medium">
        <color theme="4" tint="0.39997558519241921"/>
      </bottom>
      <diagonal/>
    </border>
    <border>
      <left/>
      <right style="thin">
        <color rgb="FF3F3F3F"/>
      </right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3F3F3F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auto="1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</borders>
  <cellStyleXfs count="10">
    <xf numFmtId="0" fontId="0" fillId="0" borderId="0"/>
    <xf numFmtId="0" fontId="1" fillId="2" borderId="2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3" applyNumberFormat="0" applyAlignment="0" applyProtection="0"/>
    <xf numFmtId="0" fontId="5" fillId="7" borderId="4" applyNumberFormat="0" applyAlignment="0" applyProtection="0"/>
    <xf numFmtId="0" fontId="6" fillId="7" borderId="3" applyNumberFormat="0" applyAlignment="0" applyProtection="0"/>
    <xf numFmtId="0" fontId="11" fillId="9" borderId="0" applyNumberFormat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3" borderId="1" xfId="2" applyBorder="1" applyAlignment="1">
      <alignment horizontal="center"/>
    </xf>
    <xf numFmtId="164" fontId="0" fillId="2" borderId="2" xfId="1" applyNumberFormat="1" applyFont="1"/>
    <xf numFmtId="0" fontId="1" fillId="4" borderId="2" xfId="3" applyBorder="1"/>
    <xf numFmtId="0" fontId="0" fillId="0" borderId="0" xfId="0" applyAlignment="1">
      <alignment horizontal="center"/>
    </xf>
    <xf numFmtId="164" fontId="4" fillId="8" borderId="3" xfId="5" applyNumberFormat="1" applyFill="1"/>
    <xf numFmtId="0" fontId="6" fillId="7" borderId="3" xfId="7"/>
    <xf numFmtId="2" fontId="7" fillId="7" borderId="3" xfId="7" applyNumberFormat="1" applyFont="1"/>
    <xf numFmtId="2" fontId="3" fillId="5" borderId="2" xfId="4" applyNumberFormat="1" applyBorder="1"/>
    <xf numFmtId="0" fontId="1" fillId="3" borderId="8" xfId="2" applyBorder="1" applyAlignment="1">
      <alignment horizontal="center"/>
    </xf>
    <xf numFmtId="0" fontId="1" fillId="3" borderId="9" xfId="2" applyBorder="1" applyAlignment="1">
      <alignment horizontal="center"/>
    </xf>
    <xf numFmtId="2" fontId="3" fillId="5" borderId="10" xfId="4" applyNumberFormat="1" applyBorder="1"/>
    <xf numFmtId="2" fontId="3" fillId="5" borderId="11" xfId="4" applyNumberFormat="1" applyBorder="1"/>
    <xf numFmtId="2" fontId="1" fillId="4" borderId="11" xfId="3" applyNumberFormat="1" applyBorder="1"/>
    <xf numFmtId="2" fontId="5" fillId="7" borderId="4" xfId="6" applyNumberFormat="1"/>
    <xf numFmtId="0" fontId="0" fillId="10" borderId="0" xfId="0" applyFill="1"/>
    <xf numFmtId="3" fontId="1" fillId="4" borderId="2" xfId="3" applyNumberFormat="1" applyBorder="1"/>
    <xf numFmtId="1" fontId="1" fillId="4" borderId="11" xfId="3" applyNumberFormat="1" applyBorder="1"/>
    <xf numFmtId="2" fontId="1" fillId="4" borderId="11" xfId="9" applyNumberFormat="1" applyFill="1" applyBorder="1"/>
    <xf numFmtId="10" fontId="0" fillId="0" borderId="0" xfId="9" applyNumberFormat="1" applyFont="1"/>
    <xf numFmtId="0" fontId="13" fillId="9" borderId="21" xfId="8" applyFont="1" applyBorder="1" applyAlignment="1">
      <alignment horizontal="center" vertical="center" wrapText="1"/>
    </xf>
    <xf numFmtId="0" fontId="13" fillId="9" borderId="0" xfId="8" applyFont="1" applyBorder="1" applyAlignment="1">
      <alignment horizontal="center" vertical="center" wrapText="1"/>
    </xf>
    <xf numFmtId="0" fontId="13" fillId="9" borderId="22" xfId="8" applyFont="1" applyBorder="1" applyAlignment="1">
      <alignment horizontal="center" vertical="center" wrapText="1"/>
    </xf>
    <xf numFmtId="0" fontId="13" fillId="9" borderId="23" xfId="8" applyFont="1" applyBorder="1" applyAlignment="1">
      <alignment horizontal="center" vertical="center" wrapText="1"/>
    </xf>
    <xf numFmtId="0" fontId="5" fillId="7" borderId="4" xfId="6" applyAlignment="1">
      <alignment horizontal="center"/>
    </xf>
    <xf numFmtId="0" fontId="5" fillId="7" borderId="5" xfId="6" applyBorder="1" applyAlignment="1">
      <alignment horizontal="center"/>
    </xf>
    <xf numFmtId="0" fontId="5" fillId="7" borderId="6" xfId="6" applyBorder="1" applyAlignment="1">
      <alignment horizontal="center"/>
    </xf>
    <xf numFmtId="0" fontId="5" fillId="7" borderId="7" xfId="6" applyBorder="1" applyAlignment="1">
      <alignment horizontal="center"/>
    </xf>
    <xf numFmtId="0" fontId="12" fillId="9" borderId="13" xfId="8" applyFont="1" applyBorder="1" applyAlignment="1">
      <alignment horizontal="center" vertical="center"/>
    </xf>
    <xf numFmtId="0" fontId="12" fillId="9" borderId="14" xfId="8" applyFont="1" applyBorder="1" applyAlignment="1">
      <alignment horizontal="center" vertical="center"/>
    </xf>
    <xf numFmtId="0" fontId="12" fillId="9" borderId="15" xfId="8" applyFont="1" applyBorder="1" applyAlignment="1">
      <alignment horizontal="center" vertical="center"/>
    </xf>
    <xf numFmtId="0" fontId="12" fillId="9" borderId="16" xfId="8" applyFont="1" applyBorder="1" applyAlignment="1">
      <alignment horizontal="center" vertical="center"/>
    </xf>
    <xf numFmtId="0" fontId="12" fillId="9" borderId="2" xfId="8" applyFont="1" applyBorder="1" applyAlignment="1">
      <alignment horizontal="center" vertical="center"/>
    </xf>
    <xf numFmtId="0" fontId="12" fillId="9" borderId="17" xfId="8" applyFont="1" applyBorder="1" applyAlignment="1">
      <alignment horizontal="center" vertical="center"/>
    </xf>
    <xf numFmtId="0" fontId="12" fillId="9" borderId="18" xfId="8" applyFont="1" applyBorder="1" applyAlignment="1">
      <alignment horizontal="center" vertical="center"/>
    </xf>
    <xf numFmtId="0" fontId="12" fillId="9" borderId="19" xfId="8" applyFont="1" applyBorder="1" applyAlignment="1">
      <alignment horizontal="center" vertical="center"/>
    </xf>
    <xf numFmtId="0" fontId="12" fillId="9" borderId="20" xfId="8" applyFont="1" applyBorder="1" applyAlignment="1">
      <alignment horizontal="center" vertical="center"/>
    </xf>
    <xf numFmtId="0" fontId="8" fillId="2" borderId="12" xfId="1" applyFont="1" applyBorder="1" applyAlignment="1">
      <alignment horizontal="center" vertical="center"/>
    </xf>
    <xf numFmtId="164" fontId="9" fillId="6" borderId="12" xfId="5" applyNumberFormat="1" applyFont="1" applyBorder="1" applyAlignment="1">
      <alignment horizontal="center" vertical="center"/>
    </xf>
    <xf numFmtId="165" fontId="10" fillId="7" borderId="12" xfId="6" applyNumberFormat="1" applyFont="1" applyBorder="1" applyAlignment="1">
      <alignment horizontal="right" vertical="center"/>
    </xf>
    <xf numFmtId="2" fontId="9" fillId="6" borderId="12" xfId="5" applyNumberFormat="1" applyFont="1" applyBorder="1" applyAlignment="1">
      <alignment horizontal="right" vertical="center"/>
    </xf>
    <xf numFmtId="1" fontId="10" fillId="7" borderId="12" xfId="6" applyNumberFormat="1" applyFont="1" applyBorder="1" applyAlignment="1">
      <alignment horizontal="right" vertical="center"/>
    </xf>
    <xf numFmtId="0" fontId="12" fillId="9" borderId="13" xfId="8" applyFont="1" applyBorder="1" applyAlignment="1">
      <alignment horizontal="center" vertical="center" wrapText="1"/>
    </xf>
    <xf numFmtId="0" fontId="12" fillId="9" borderId="14" xfId="8" applyFont="1" applyBorder="1" applyAlignment="1">
      <alignment horizontal="center" vertical="center" wrapText="1"/>
    </xf>
    <xf numFmtId="0" fontId="12" fillId="9" borderId="15" xfId="8" applyFont="1" applyBorder="1" applyAlignment="1">
      <alignment horizontal="center" vertical="center" wrapText="1"/>
    </xf>
    <xf numFmtId="0" fontId="12" fillId="9" borderId="16" xfId="8" applyFont="1" applyBorder="1" applyAlignment="1">
      <alignment horizontal="center" vertical="center" wrapText="1"/>
    </xf>
    <xf numFmtId="0" fontId="12" fillId="9" borderId="2" xfId="8" applyFont="1" applyBorder="1" applyAlignment="1">
      <alignment horizontal="center" vertical="center" wrapText="1"/>
    </xf>
    <xf numFmtId="0" fontId="12" fillId="9" borderId="17" xfId="8" applyFont="1" applyBorder="1" applyAlignment="1">
      <alignment horizontal="center" vertical="center" wrapText="1"/>
    </xf>
    <xf numFmtId="0" fontId="12" fillId="9" borderId="18" xfId="8" applyFont="1" applyBorder="1" applyAlignment="1">
      <alignment horizontal="center" vertical="center" wrapText="1"/>
    </xf>
    <xf numFmtId="0" fontId="12" fillId="9" borderId="19" xfId="8" applyFont="1" applyBorder="1" applyAlignment="1">
      <alignment horizontal="center" vertical="center" wrapText="1"/>
    </xf>
    <xf numFmtId="0" fontId="12" fillId="9" borderId="20" xfId="8" applyFont="1" applyBorder="1" applyAlignment="1">
      <alignment horizontal="center" vertical="center" wrapText="1"/>
    </xf>
  </cellXfs>
  <cellStyles count="10">
    <cellStyle name="20% - Ênfase1" xfId="2" builtinId="30"/>
    <cellStyle name="20% - Ênfase2" xfId="3" builtinId="34"/>
    <cellStyle name="Cálculo" xfId="7" builtinId="22"/>
    <cellStyle name="Ênfase1" xfId="8" builtinId="29"/>
    <cellStyle name="Entrada" xfId="5" builtinId="20"/>
    <cellStyle name="Neutro" xfId="4" builtinId="28"/>
    <cellStyle name="Normal" xfId="0" builtinId="0"/>
    <cellStyle name="Nota" xfId="1" builtinId="10"/>
    <cellStyle name="Porcentagem" xfId="9" builtinId="5"/>
    <cellStyle name="Saída" xfId="6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V01 - SM4M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PainelDeVariaveis!$C$7:$C$16</c:f>
              <c:strCache>
                <c:ptCount val="10"/>
                <c:pt idx="0">
                  <c:v>Apurado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PainelDeVariaveis!$C$17:$C$37</c:f>
              <c:numCache>
                <c:formatCode>General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8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8</c:v>
                </c:pt>
                <c:pt idx="2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F2-4973-85E2-6844B979EC41}"/>
            </c:ext>
          </c:extLst>
        </c:ser>
        <c:ser>
          <c:idx val="1"/>
          <c:order val="1"/>
          <c:tx>
            <c:strRef>
              <c:f>PainelDeVariaveis!$D$7:$D$16</c:f>
              <c:strCache>
                <c:ptCount val="10"/>
                <c:pt idx="0">
                  <c:v>LIC</c:v>
                </c:pt>
                <c:pt idx="1">
                  <c:v>-3,47</c:v>
                </c:pt>
                <c:pt idx="2">
                  <c:v>-3,47</c:v>
                </c:pt>
                <c:pt idx="3">
                  <c:v>-3,47</c:v>
                </c:pt>
                <c:pt idx="4">
                  <c:v>-3,47</c:v>
                </c:pt>
                <c:pt idx="5">
                  <c:v>-3,47</c:v>
                </c:pt>
                <c:pt idx="6">
                  <c:v>-3,47</c:v>
                </c:pt>
                <c:pt idx="7">
                  <c:v>-3,47</c:v>
                </c:pt>
                <c:pt idx="8">
                  <c:v>-3,47</c:v>
                </c:pt>
                <c:pt idx="9">
                  <c:v>-3,47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F2-4973-85E2-6844B979EC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PainelDeVariaveis!$D$17:$D$37</c:f>
              <c:numCache>
                <c:formatCode>0.00</c:formatCode>
                <c:ptCount val="21"/>
                <c:pt idx="0">
                  <c:v>-3.4730071117494075</c:v>
                </c:pt>
                <c:pt idx="1">
                  <c:v>-3.4730071117494075</c:v>
                </c:pt>
                <c:pt idx="2">
                  <c:v>-3.4730071117494075</c:v>
                </c:pt>
                <c:pt idx="3">
                  <c:v>-3.4730071117494075</c:v>
                </c:pt>
                <c:pt idx="4">
                  <c:v>-3.4730071117494075</c:v>
                </c:pt>
                <c:pt idx="5">
                  <c:v>-3.4730071117494075</c:v>
                </c:pt>
                <c:pt idx="6">
                  <c:v>-3.4730071117494075</c:v>
                </c:pt>
                <c:pt idx="7">
                  <c:v>-3.4730071117494075</c:v>
                </c:pt>
                <c:pt idx="8">
                  <c:v>-3.4730071117494075</c:v>
                </c:pt>
                <c:pt idx="9">
                  <c:v>-3.4730071117494075</c:v>
                </c:pt>
                <c:pt idx="10">
                  <c:v>-3.4730071117494075</c:v>
                </c:pt>
                <c:pt idx="11">
                  <c:v>-3.4730071117494075</c:v>
                </c:pt>
                <c:pt idx="12">
                  <c:v>-3.4730071117494075</c:v>
                </c:pt>
                <c:pt idx="13">
                  <c:v>-3.4730071117494075</c:v>
                </c:pt>
                <c:pt idx="14">
                  <c:v>-3.4730071117494075</c:v>
                </c:pt>
                <c:pt idx="15">
                  <c:v>-3.4730071117494075</c:v>
                </c:pt>
                <c:pt idx="16">
                  <c:v>-3.4730071117494075</c:v>
                </c:pt>
                <c:pt idx="17">
                  <c:v>-3.4730071117494075</c:v>
                </c:pt>
                <c:pt idx="18">
                  <c:v>-3.4730071117494075</c:v>
                </c:pt>
                <c:pt idx="19">
                  <c:v>-3.4730071117494075</c:v>
                </c:pt>
                <c:pt idx="20">
                  <c:v>-3.4730071117494075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F2-4973-85E2-6844B979EC41}"/>
            </c:ext>
          </c:extLst>
        </c:ser>
        <c:ser>
          <c:idx val="2"/>
          <c:order val="2"/>
          <c:tx>
            <c:strRef>
              <c:f>PainelDeVariaveis!$E$7:$E$16</c:f>
              <c:strCache>
                <c:ptCount val="10"/>
                <c:pt idx="0">
                  <c:v>L2I</c:v>
                </c:pt>
                <c:pt idx="1">
                  <c:v>-1,01</c:v>
                </c:pt>
                <c:pt idx="2">
                  <c:v>-1,01</c:v>
                </c:pt>
                <c:pt idx="3">
                  <c:v>-1,01</c:v>
                </c:pt>
                <c:pt idx="4">
                  <c:v>-1,01</c:v>
                </c:pt>
                <c:pt idx="5">
                  <c:v>-1,01</c:v>
                </c:pt>
                <c:pt idx="6">
                  <c:v>-1,01</c:v>
                </c:pt>
                <c:pt idx="7">
                  <c:v>-1,01</c:v>
                </c:pt>
                <c:pt idx="8">
                  <c:v>-1,01</c:v>
                </c:pt>
                <c:pt idx="9">
                  <c:v>-1,01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PainelDeVariaveis!$E$17:$E$37</c:f>
              <c:numCache>
                <c:formatCode>0.00</c:formatCode>
                <c:ptCount val="21"/>
                <c:pt idx="0">
                  <c:v>-1.0083205306399559</c:v>
                </c:pt>
                <c:pt idx="1">
                  <c:v>-1.0083205306399559</c:v>
                </c:pt>
                <c:pt idx="2">
                  <c:v>-1.0083205306399559</c:v>
                </c:pt>
                <c:pt idx="3">
                  <c:v>-1.0083205306399559</c:v>
                </c:pt>
                <c:pt idx="4">
                  <c:v>-1.0083205306399559</c:v>
                </c:pt>
                <c:pt idx="5">
                  <c:v>-1.0083205306399559</c:v>
                </c:pt>
                <c:pt idx="6">
                  <c:v>-1.0083205306399559</c:v>
                </c:pt>
                <c:pt idx="7">
                  <c:v>-1.0083205306399559</c:v>
                </c:pt>
                <c:pt idx="8">
                  <c:v>-1.0083205306399559</c:v>
                </c:pt>
                <c:pt idx="9">
                  <c:v>-1.0083205306399559</c:v>
                </c:pt>
                <c:pt idx="10">
                  <c:v>-1.0083205306399559</c:v>
                </c:pt>
                <c:pt idx="11">
                  <c:v>-1.0083205306399559</c:v>
                </c:pt>
                <c:pt idx="12">
                  <c:v>-1.0083205306399559</c:v>
                </c:pt>
                <c:pt idx="13">
                  <c:v>-1.0083205306399559</c:v>
                </c:pt>
                <c:pt idx="14">
                  <c:v>-1.0083205306399559</c:v>
                </c:pt>
                <c:pt idx="15">
                  <c:v>-1.0083205306399559</c:v>
                </c:pt>
                <c:pt idx="16">
                  <c:v>-1.0083205306399559</c:v>
                </c:pt>
                <c:pt idx="17">
                  <c:v>-1.0083205306399559</c:v>
                </c:pt>
                <c:pt idx="18">
                  <c:v>-1.0083205306399559</c:v>
                </c:pt>
                <c:pt idx="19">
                  <c:v>-1.0083205306399559</c:v>
                </c:pt>
                <c:pt idx="20">
                  <c:v>-1.0083205306399559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F2-4973-85E2-6844B979EC41}"/>
            </c:ext>
          </c:extLst>
        </c:ser>
        <c:ser>
          <c:idx val="3"/>
          <c:order val="3"/>
          <c:tx>
            <c:strRef>
              <c:f>PainelDeVariaveis!$F$7:$F$16</c:f>
              <c:strCache>
                <c:ptCount val="10"/>
                <c:pt idx="0">
                  <c:v>L1I</c:v>
                </c:pt>
                <c:pt idx="1">
                  <c:v>1,46</c:v>
                </c:pt>
                <c:pt idx="2">
                  <c:v>1,46</c:v>
                </c:pt>
                <c:pt idx="3">
                  <c:v>1,46</c:v>
                </c:pt>
                <c:pt idx="4">
                  <c:v>1,46</c:v>
                </c:pt>
                <c:pt idx="5">
                  <c:v>1,46</c:v>
                </c:pt>
                <c:pt idx="6">
                  <c:v>1,46</c:v>
                </c:pt>
                <c:pt idx="7">
                  <c:v>1,46</c:v>
                </c:pt>
                <c:pt idx="8">
                  <c:v>1,46</c:v>
                </c:pt>
                <c:pt idx="9">
                  <c:v>1,46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PainelDeVariaveis!$F$17:$F$37</c:f>
              <c:numCache>
                <c:formatCode>0.00</c:formatCode>
                <c:ptCount val="21"/>
                <c:pt idx="0">
                  <c:v>1.4563660504694957</c:v>
                </c:pt>
                <c:pt idx="1">
                  <c:v>1.4563660504694957</c:v>
                </c:pt>
                <c:pt idx="2">
                  <c:v>1.4563660504694957</c:v>
                </c:pt>
                <c:pt idx="3">
                  <c:v>1.4563660504694957</c:v>
                </c:pt>
                <c:pt idx="4">
                  <c:v>1.4563660504694957</c:v>
                </c:pt>
                <c:pt idx="5">
                  <c:v>1.4563660504694957</c:v>
                </c:pt>
                <c:pt idx="6">
                  <c:v>1.4563660504694957</c:v>
                </c:pt>
                <c:pt idx="7">
                  <c:v>1.4563660504694957</c:v>
                </c:pt>
                <c:pt idx="8">
                  <c:v>1.4563660504694957</c:v>
                </c:pt>
                <c:pt idx="9">
                  <c:v>1.4563660504694957</c:v>
                </c:pt>
                <c:pt idx="10">
                  <c:v>1.4563660504694957</c:v>
                </c:pt>
                <c:pt idx="11">
                  <c:v>1.4563660504694957</c:v>
                </c:pt>
                <c:pt idx="12">
                  <c:v>1.4563660504694957</c:v>
                </c:pt>
                <c:pt idx="13">
                  <c:v>1.4563660504694957</c:v>
                </c:pt>
                <c:pt idx="14">
                  <c:v>1.4563660504694957</c:v>
                </c:pt>
                <c:pt idx="15">
                  <c:v>1.4563660504694957</c:v>
                </c:pt>
                <c:pt idx="16">
                  <c:v>1.4563660504694957</c:v>
                </c:pt>
                <c:pt idx="17">
                  <c:v>1.4563660504694957</c:v>
                </c:pt>
                <c:pt idx="18">
                  <c:v>1.4563660504694957</c:v>
                </c:pt>
                <c:pt idx="19">
                  <c:v>1.4563660504694957</c:v>
                </c:pt>
                <c:pt idx="20">
                  <c:v>1.4563660504694957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F2-4973-85E2-6844B979EC41}"/>
            </c:ext>
          </c:extLst>
        </c:ser>
        <c:ser>
          <c:idx val="4"/>
          <c:order val="4"/>
          <c:tx>
            <c:strRef>
              <c:f>PainelDeVariaveis!$G$7:$G$16</c:f>
              <c:strCache>
                <c:ptCount val="10"/>
                <c:pt idx="0">
                  <c:v>LMC</c:v>
                </c:pt>
                <c:pt idx="1">
                  <c:v>3,92</c:v>
                </c:pt>
                <c:pt idx="2">
                  <c:v>3,92</c:v>
                </c:pt>
                <c:pt idx="3">
                  <c:v>3,92</c:v>
                </c:pt>
                <c:pt idx="4">
                  <c:v>3,92</c:v>
                </c:pt>
                <c:pt idx="5">
                  <c:v>3,92</c:v>
                </c:pt>
                <c:pt idx="6">
                  <c:v>3,92</c:v>
                </c:pt>
                <c:pt idx="7">
                  <c:v>3,92</c:v>
                </c:pt>
                <c:pt idx="8">
                  <c:v>3,92</c:v>
                </c:pt>
                <c:pt idx="9">
                  <c:v>3,92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F2-4973-85E2-6844B979EC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PainelDeVariaveis!$G$17:$G$37</c:f>
              <c:numCache>
                <c:formatCode>0.00</c:formatCode>
                <c:ptCount val="21"/>
                <c:pt idx="0">
                  <c:v>3.9210526315789473</c:v>
                </c:pt>
                <c:pt idx="1">
                  <c:v>3.9210526315789473</c:v>
                </c:pt>
                <c:pt idx="2">
                  <c:v>3.9210526315789473</c:v>
                </c:pt>
                <c:pt idx="3">
                  <c:v>3.9210526315789473</c:v>
                </c:pt>
                <c:pt idx="4">
                  <c:v>3.9210526315789473</c:v>
                </c:pt>
                <c:pt idx="5">
                  <c:v>3.9210526315789473</c:v>
                </c:pt>
                <c:pt idx="6">
                  <c:v>3.9210526315789473</c:v>
                </c:pt>
                <c:pt idx="7">
                  <c:v>3.9210526315789473</c:v>
                </c:pt>
                <c:pt idx="8">
                  <c:v>3.9210526315789473</c:v>
                </c:pt>
                <c:pt idx="9">
                  <c:v>3.9210526315789473</c:v>
                </c:pt>
                <c:pt idx="10">
                  <c:v>3.9210526315789473</c:v>
                </c:pt>
                <c:pt idx="11">
                  <c:v>3.9210526315789473</c:v>
                </c:pt>
                <c:pt idx="12">
                  <c:v>3.9210526315789473</c:v>
                </c:pt>
                <c:pt idx="13">
                  <c:v>3.9210526315789473</c:v>
                </c:pt>
                <c:pt idx="14">
                  <c:v>3.9210526315789473</c:v>
                </c:pt>
                <c:pt idx="15">
                  <c:v>3.9210526315789473</c:v>
                </c:pt>
                <c:pt idx="16">
                  <c:v>3.9210526315789473</c:v>
                </c:pt>
                <c:pt idx="17">
                  <c:v>3.9210526315789473</c:v>
                </c:pt>
                <c:pt idx="18">
                  <c:v>3.9210526315789473</c:v>
                </c:pt>
                <c:pt idx="19">
                  <c:v>3.9210526315789473</c:v>
                </c:pt>
                <c:pt idx="20">
                  <c:v>3.9210526315789473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F2-4973-85E2-6844B979EC41}"/>
            </c:ext>
          </c:extLst>
        </c:ser>
        <c:ser>
          <c:idx val="5"/>
          <c:order val="5"/>
          <c:tx>
            <c:strRef>
              <c:f>PainelDeVariaveis!$H$7:$H$16</c:f>
              <c:strCache>
                <c:ptCount val="10"/>
                <c:pt idx="0">
                  <c:v>L1S</c:v>
                </c:pt>
                <c:pt idx="1">
                  <c:v>6,39</c:v>
                </c:pt>
                <c:pt idx="2">
                  <c:v>6,39</c:v>
                </c:pt>
                <c:pt idx="3">
                  <c:v>6,39</c:v>
                </c:pt>
                <c:pt idx="4">
                  <c:v>6,39</c:v>
                </c:pt>
                <c:pt idx="5">
                  <c:v>6,39</c:v>
                </c:pt>
                <c:pt idx="6">
                  <c:v>6,39</c:v>
                </c:pt>
                <c:pt idx="7">
                  <c:v>6,39</c:v>
                </c:pt>
                <c:pt idx="8">
                  <c:v>6,39</c:v>
                </c:pt>
                <c:pt idx="9">
                  <c:v>6,39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PainelDeVariaveis!$H$17:$H$37</c:f>
              <c:numCache>
                <c:formatCode>0.00</c:formatCode>
                <c:ptCount val="21"/>
                <c:pt idx="0">
                  <c:v>6.3857392126883994</c:v>
                </c:pt>
                <c:pt idx="1">
                  <c:v>6.3857392126883994</c:v>
                </c:pt>
                <c:pt idx="2">
                  <c:v>6.3857392126883994</c:v>
                </c:pt>
                <c:pt idx="3">
                  <c:v>6.3857392126883994</c:v>
                </c:pt>
                <c:pt idx="4">
                  <c:v>6.3857392126883994</c:v>
                </c:pt>
                <c:pt idx="5">
                  <c:v>6.3857392126883994</c:v>
                </c:pt>
                <c:pt idx="6">
                  <c:v>6.3857392126883994</c:v>
                </c:pt>
                <c:pt idx="7">
                  <c:v>6.3857392126883994</c:v>
                </c:pt>
                <c:pt idx="8">
                  <c:v>6.3857392126883994</c:v>
                </c:pt>
                <c:pt idx="9">
                  <c:v>6.3857392126883994</c:v>
                </c:pt>
                <c:pt idx="10">
                  <c:v>6.3857392126883994</c:v>
                </c:pt>
                <c:pt idx="11">
                  <c:v>6.3857392126883994</c:v>
                </c:pt>
                <c:pt idx="12">
                  <c:v>6.3857392126883994</c:v>
                </c:pt>
                <c:pt idx="13">
                  <c:v>6.3857392126883994</c:v>
                </c:pt>
                <c:pt idx="14">
                  <c:v>6.3857392126883994</c:v>
                </c:pt>
                <c:pt idx="15">
                  <c:v>6.3857392126883994</c:v>
                </c:pt>
                <c:pt idx="16">
                  <c:v>6.3857392126883994</c:v>
                </c:pt>
                <c:pt idx="17">
                  <c:v>6.3857392126883994</c:v>
                </c:pt>
                <c:pt idx="18">
                  <c:v>6.3857392126883994</c:v>
                </c:pt>
                <c:pt idx="19">
                  <c:v>6.3857392126883994</c:v>
                </c:pt>
                <c:pt idx="20">
                  <c:v>6.3857392126883994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F2-4973-85E2-6844B979EC41}"/>
            </c:ext>
          </c:extLst>
        </c:ser>
        <c:ser>
          <c:idx val="6"/>
          <c:order val="6"/>
          <c:tx>
            <c:strRef>
              <c:f>PainelDeVariaveis!$I$7:$I$16</c:f>
              <c:strCache>
                <c:ptCount val="10"/>
                <c:pt idx="0">
                  <c:v>L2S</c:v>
                </c:pt>
                <c:pt idx="1">
                  <c:v>8,85</c:v>
                </c:pt>
                <c:pt idx="2">
                  <c:v>8,85</c:v>
                </c:pt>
                <c:pt idx="3">
                  <c:v>8,85</c:v>
                </c:pt>
                <c:pt idx="4">
                  <c:v>8,85</c:v>
                </c:pt>
                <c:pt idx="5">
                  <c:v>8,85</c:v>
                </c:pt>
                <c:pt idx="6">
                  <c:v>8,85</c:v>
                </c:pt>
                <c:pt idx="7">
                  <c:v>8,85</c:v>
                </c:pt>
                <c:pt idx="8">
                  <c:v>8,85</c:v>
                </c:pt>
                <c:pt idx="9">
                  <c:v>8,85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PainelDeVariaveis!$I$17:$I$37</c:f>
              <c:numCache>
                <c:formatCode>0.00</c:formatCode>
                <c:ptCount val="21"/>
                <c:pt idx="0">
                  <c:v>8.8504257937978501</c:v>
                </c:pt>
                <c:pt idx="1">
                  <c:v>8.8504257937978501</c:v>
                </c:pt>
                <c:pt idx="2">
                  <c:v>8.8504257937978501</c:v>
                </c:pt>
                <c:pt idx="3">
                  <c:v>8.8504257937978501</c:v>
                </c:pt>
                <c:pt idx="4">
                  <c:v>8.8504257937978501</c:v>
                </c:pt>
                <c:pt idx="5">
                  <c:v>8.8504257937978501</c:v>
                </c:pt>
                <c:pt idx="6">
                  <c:v>8.8504257937978501</c:v>
                </c:pt>
                <c:pt idx="7">
                  <c:v>8.8504257937978501</c:v>
                </c:pt>
                <c:pt idx="8">
                  <c:v>8.8504257937978501</c:v>
                </c:pt>
                <c:pt idx="9">
                  <c:v>8.8504257937978501</c:v>
                </c:pt>
                <c:pt idx="10">
                  <c:v>8.8504257937978501</c:v>
                </c:pt>
                <c:pt idx="11">
                  <c:v>8.8504257937978501</c:v>
                </c:pt>
                <c:pt idx="12">
                  <c:v>8.8504257937978501</c:v>
                </c:pt>
                <c:pt idx="13">
                  <c:v>8.8504257937978501</c:v>
                </c:pt>
                <c:pt idx="14">
                  <c:v>8.8504257937978501</c:v>
                </c:pt>
                <c:pt idx="15">
                  <c:v>8.8504257937978501</c:v>
                </c:pt>
                <c:pt idx="16">
                  <c:v>8.8504257937978501</c:v>
                </c:pt>
                <c:pt idx="17">
                  <c:v>8.8504257937978501</c:v>
                </c:pt>
                <c:pt idx="18">
                  <c:v>8.8504257937978501</c:v>
                </c:pt>
                <c:pt idx="19">
                  <c:v>8.8504257937978501</c:v>
                </c:pt>
                <c:pt idx="20">
                  <c:v>8.8504257937978501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F2-4973-85E2-6844B979EC41}"/>
            </c:ext>
          </c:extLst>
        </c:ser>
        <c:ser>
          <c:idx val="7"/>
          <c:order val="7"/>
          <c:tx>
            <c:strRef>
              <c:f>PainelDeVariaveis!$J$7:$J$16</c:f>
              <c:strCache>
                <c:ptCount val="10"/>
                <c:pt idx="0">
                  <c:v>LSC</c:v>
                </c:pt>
                <c:pt idx="1">
                  <c:v>11,32</c:v>
                </c:pt>
                <c:pt idx="2">
                  <c:v>11,32</c:v>
                </c:pt>
                <c:pt idx="3">
                  <c:v>11,32</c:v>
                </c:pt>
                <c:pt idx="4">
                  <c:v>11,32</c:v>
                </c:pt>
                <c:pt idx="5">
                  <c:v>11,32</c:v>
                </c:pt>
                <c:pt idx="6">
                  <c:v>11,32</c:v>
                </c:pt>
                <c:pt idx="7">
                  <c:v>11,32</c:v>
                </c:pt>
                <c:pt idx="8">
                  <c:v>11,32</c:v>
                </c:pt>
                <c:pt idx="9">
                  <c:v>11,32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7F2-4973-85E2-6844B979EC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PainelDeVariaveis!$J$17:$J$37</c:f>
              <c:numCache>
                <c:formatCode>0.00</c:formatCode>
                <c:ptCount val="21"/>
                <c:pt idx="0">
                  <c:v>11.315112374907303</c:v>
                </c:pt>
                <c:pt idx="1">
                  <c:v>11.315112374907303</c:v>
                </c:pt>
                <c:pt idx="2">
                  <c:v>11.315112374907303</c:v>
                </c:pt>
                <c:pt idx="3">
                  <c:v>11.315112374907303</c:v>
                </c:pt>
                <c:pt idx="4">
                  <c:v>11.315112374907303</c:v>
                </c:pt>
                <c:pt idx="5">
                  <c:v>11.315112374907303</c:v>
                </c:pt>
                <c:pt idx="6">
                  <c:v>11.315112374907303</c:v>
                </c:pt>
                <c:pt idx="7">
                  <c:v>11.315112374907303</c:v>
                </c:pt>
                <c:pt idx="8">
                  <c:v>11.315112374907303</c:v>
                </c:pt>
                <c:pt idx="9">
                  <c:v>11.315112374907303</c:v>
                </c:pt>
                <c:pt idx="10">
                  <c:v>11.315112374907303</c:v>
                </c:pt>
                <c:pt idx="11">
                  <c:v>11.315112374907303</c:v>
                </c:pt>
                <c:pt idx="12">
                  <c:v>11.315112374907303</c:v>
                </c:pt>
                <c:pt idx="13">
                  <c:v>11.315112374907303</c:v>
                </c:pt>
                <c:pt idx="14">
                  <c:v>11.315112374907303</c:v>
                </c:pt>
                <c:pt idx="15">
                  <c:v>11.315112374907303</c:v>
                </c:pt>
                <c:pt idx="16">
                  <c:v>11.315112374907303</c:v>
                </c:pt>
                <c:pt idx="17">
                  <c:v>11.315112374907303</c:v>
                </c:pt>
                <c:pt idx="18">
                  <c:v>11.315112374907303</c:v>
                </c:pt>
                <c:pt idx="19">
                  <c:v>11.315112374907303</c:v>
                </c:pt>
                <c:pt idx="20">
                  <c:v>11.315112374907303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F2-4973-85E2-6844B979E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384208"/>
        <c:axId val="430389488"/>
      </c:lineChart>
      <c:dateAx>
        <c:axId val="430384208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389488"/>
        <c:crosses val="autoZero"/>
        <c:auto val="1"/>
        <c:lblOffset val="100"/>
        <c:baseTimeUnit val="months"/>
      </c:dateAx>
      <c:valAx>
        <c:axId val="43038948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3038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V01 - AM4M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PainelDeVariaveis!$K$7:$K$16</c:f>
              <c:strCache>
                <c:ptCount val="10"/>
                <c:pt idx="0">
                  <c:v>Apurado</c:v>
                </c:pt>
                <c:pt idx="1">
                  <c:v>0</c:v>
                </c:pt>
                <c:pt idx="2">
                  <c:v>-0,25</c:v>
                </c:pt>
                <c:pt idx="3">
                  <c:v>0,5</c:v>
                </c:pt>
                <c:pt idx="4">
                  <c:v>0,5</c:v>
                </c:pt>
                <c:pt idx="5">
                  <c:v>0</c:v>
                </c:pt>
                <c:pt idx="6">
                  <c:v>-0,25</c:v>
                </c:pt>
                <c:pt idx="7">
                  <c:v>-0,5</c:v>
                </c:pt>
                <c:pt idx="8">
                  <c:v>-0,5</c:v>
                </c:pt>
                <c:pt idx="9">
                  <c:v>0,25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PainelDeVariaveis!$K$17:$K$37</c:f>
              <c:numCache>
                <c:formatCode>General</c:formatCode>
                <c:ptCount val="2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-0.25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0.75</c:v>
                </c:pt>
                <c:pt idx="8">
                  <c:v>-0.25</c:v>
                </c:pt>
                <c:pt idx="9">
                  <c:v>-0.25</c:v>
                </c:pt>
                <c:pt idx="10">
                  <c:v>-0.5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0.5</c:v>
                </c:pt>
                <c:pt idx="15">
                  <c:v>-0.75</c:v>
                </c:pt>
                <c:pt idx="16">
                  <c:v>0</c:v>
                </c:pt>
                <c:pt idx="17">
                  <c:v>0.25</c:v>
                </c:pt>
                <c:pt idx="18">
                  <c:v>-0.25</c:v>
                </c:pt>
                <c:pt idx="19">
                  <c:v>0.75</c:v>
                </c:pt>
                <c:pt idx="20">
                  <c:v>-0.25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C-46ED-BD89-07F37C3C61D1}"/>
            </c:ext>
          </c:extLst>
        </c:ser>
        <c:ser>
          <c:idx val="1"/>
          <c:order val="1"/>
          <c:tx>
            <c:strRef>
              <c:f>PainelDeVariaveis!$L$7:$L$16</c:f>
              <c:strCache>
                <c:ptCount val="10"/>
                <c:pt idx="0">
                  <c:v>LIC</c:v>
                </c:pt>
                <c:pt idx="1">
                  <c:v>-0,998070834</c:v>
                </c:pt>
                <c:pt idx="2">
                  <c:v>-0,998070834</c:v>
                </c:pt>
                <c:pt idx="3">
                  <c:v>-0,998070834</c:v>
                </c:pt>
                <c:pt idx="4">
                  <c:v>-0,998070834</c:v>
                </c:pt>
                <c:pt idx="5">
                  <c:v>-0,998070834</c:v>
                </c:pt>
                <c:pt idx="6">
                  <c:v>-0,998070834</c:v>
                </c:pt>
                <c:pt idx="7">
                  <c:v>-0,998070834</c:v>
                </c:pt>
                <c:pt idx="8">
                  <c:v>-0,998070834</c:v>
                </c:pt>
                <c:pt idx="9">
                  <c:v>-0,998070834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6C-46ED-BD89-07F37C3C61D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PainelDeVariaveis!$L$17:$L$37</c:f>
              <c:numCache>
                <c:formatCode>General</c:formatCode>
                <c:ptCount val="21"/>
                <c:pt idx="0">
                  <c:v>-0.99807083441216138</c:v>
                </c:pt>
                <c:pt idx="1">
                  <c:v>-0.99807083441216138</c:v>
                </c:pt>
                <c:pt idx="2">
                  <c:v>-0.99807083441216138</c:v>
                </c:pt>
                <c:pt idx="3">
                  <c:v>-0.99807083441216138</c:v>
                </c:pt>
                <c:pt idx="4">
                  <c:v>-0.99807083441216138</c:v>
                </c:pt>
                <c:pt idx="5">
                  <c:v>-0.99807083441216138</c:v>
                </c:pt>
                <c:pt idx="6">
                  <c:v>-0.99807083441216138</c:v>
                </c:pt>
                <c:pt idx="7">
                  <c:v>-0.99807083441216138</c:v>
                </c:pt>
                <c:pt idx="8">
                  <c:v>-0.99807083441216138</c:v>
                </c:pt>
                <c:pt idx="9">
                  <c:v>-0.99807083441216138</c:v>
                </c:pt>
                <c:pt idx="10">
                  <c:v>-0.99807083441216138</c:v>
                </c:pt>
                <c:pt idx="11">
                  <c:v>-0.99807083441216138</c:v>
                </c:pt>
                <c:pt idx="12">
                  <c:v>-0.99807083441216138</c:v>
                </c:pt>
                <c:pt idx="13">
                  <c:v>-0.99807083441216138</c:v>
                </c:pt>
                <c:pt idx="14">
                  <c:v>-0.99807083441216138</c:v>
                </c:pt>
                <c:pt idx="15">
                  <c:v>-0.99807083441216138</c:v>
                </c:pt>
                <c:pt idx="16">
                  <c:v>-0.99807083441216138</c:v>
                </c:pt>
                <c:pt idx="17">
                  <c:v>-0.99807083441216138</c:v>
                </c:pt>
                <c:pt idx="18">
                  <c:v>-0.99807083441216138</c:v>
                </c:pt>
                <c:pt idx="19">
                  <c:v>-0.99807083441216138</c:v>
                </c:pt>
                <c:pt idx="20">
                  <c:v>-0.99807083441216138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6C-46ED-BD89-07F37C3C61D1}"/>
            </c:ext>
          </c:extLst>
        </c:ser>
        <c:ser>
          <c:idx val="2"/>
          <c:order val="2"/>
          <c:tx>
            <c:strRef>
              <c:f>PainelDeVariaveis!$M$7:$M$16</c:f>
              <c:strCache>
                <c:ptCount val="10"/>
                <c:pt idx="0">
                  <c:v>L2I</c:v>
                </c:pt>
                <c:pt idx="1">
                  <c:v>-0,650029679</c:v>
                </c:pt>
                <c:pt idx="2">
                  <c:v>-0,650029679</c:v>
                </c:pt>
                <c:pt idx="3">
                  <c:v>-0,650029679</c:v>
                </c:pt>
                <c:pt idx="4">
                  <c:v>-0,650029679</c:v>
                </c:pt>
                <c:pt idx="5">
                  <c:v>-0,650029679</c:v>
                </c:pt>
                <c:pt idx="6">
                  <c:v>-0,650029679</c:v>
                </c:pt>
                <c:pt idx="7">
                  <c:v>-0,650029679</c:v>
                </c:pt>
                <c:pt idx="8">
                  <c:v>-0,650029679</c:v>
                </c:pt>
                <c:pt idx="9">
                  <c:v>-0,650029679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PainelDeVariaveis!$M$17:$M$37</c:f>
              <c:numCache>
                <c:formatCode>General</c:formatCode>
                <c:ptCount val="21"/>
                <c:pt idx="0">
                  <c:v>-0.65002967908179188</c:v>
                </c:pt>
                <c:pt idx="1">
                  <c:v>-0.65002967908179188</c:v>
                </c:pt>
                <c:pt idx="2">
                  <c:v>-0.65002967908179188</c:v>
                </c:pt>
                <c:pt idx="3">
                  <c:v>-0.65002967908179188</c:v>
                </c:pt>
                <c:pt idx="4">
                  <c:v>-0.65002967908179188</c:v>
                </c:pt>
                <c:pt idx="5">
                  <c:v>-0.65002967908179188</c:v>
                </c:pt>
                <c:pt idx="6">
                  <c:v>-0.65002967908179188</c:v>
                </c:pt>
                <c:pt idx="7">
                  <c:v>-0.65002967908179188</c:v>
                </c:pt>
                <c:pt idx="8">
                  <c:v>-0.65002967908179188</c:v>
                </c:pt>
                <c:pt idx="9">
                  <c:v>-0.65002967908179188</c:v>
                </c:pt>
                <c:pt idx="10">
                  <c:v>-0.65002967908179188</c:v>
                </c:pt>
                <c:pt idx="11">
                  <c:v>-0.65002967908179188</c:v>
                </c:pt>
                <c:pt idx="12">
                  <c:v>-0.65002967908179188</c:v>
                </c:pt>
                <c:pt idx="13">
                  <c:v>-0.65002967908179188</c:v>
                </c:pt>
                <c:pt idx="14">
                  <c:v>-0.65002967908179188</c:v>
                </c:pt>
                <c:pt idx="15">
                  <c:v>-0.65002967908179188</c:v>
                </c:pt>
                <c:pt idx="16">
                  <c:v>-0.65002967908179188</c:v>
                </c:pt>
                <c:pt idx="17">
                  <c:v>-0.65002967908179188</c:v>
                </c:pt>
                <c:pt idx="18">
                  <c:v>-0.65002967908179188</c:v>
                </c:pt>
                <c:pt idx="19">
                  <c:v>-0.65002967908179188</c:v>
                </c:pt>
                <c:pt idx="20">
                  <c:v>-0.65002967908179188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6C-46ED-BD89-07F37C3C61D1}"/>
            </c:ext>
          </c:extLst>
        </c:ser>
        <c:ser>
          <c:idx val="3"/>
          <c:order val="3"/>
          <c:tx>
            <c:strRef>
              <c:f>PainelDeVariaveis!$N$7:$N$16</c:f>
              <c:strCache>
                <c:ptCount val="10"/>
                <c:pt idx="0">
                  <c:v>L1I</c:v>
                </c:pt>
                <c:pt idx="1">
                  <c:v>-0,301988524</c:v>
                </c:pt>
                <c:pt idx="2">
                  <c:v>-0,301988524</c:v>
                </c:pt>
                <c:pt idx="3">
                  <c:v>-0,301988524</c:v>
                </c:pt>
                <c:pt idx="4">
                  <c:v>-0,301988524</c:v>
                </c:pt>
                <c:pt idx="5">
                  <c:v>-0,301988524</c:v>
                </c:pt>
                <c:pt idx="6">
                  <c:v>-0,301988524</c:v>
                </c:pt>
                <c:pt idx="7">
                  <c:v>-0,301988524</c:v>
                </c:pt>
                <c:pt idx="8">
                  <c:v>-0,301988524</c:v>
                </c:pt>
                <c:pt idx="9">
                  <c:v>-0,301988524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PainelDeVariaveis!$N$17:$N$37</c:f>
              <c:numCache>
                <c:formatCode>General</c:formatCode>
                <c:ptCount val="21"/>
                <c:pt idx="0">
                  <c:v>-0.30198852375142227</c:v>
                </c:pt>
                <c:pt idx="1">
                  <c:v>-0.30198852375142227</c:v>
                </c:pt>
                <c:pt idx="2">
                  <c:v>-0.30198852375142227</c:v>
                </c:pt>
                <c:pt idx="3">
                  <c:v>-0.30198852375142227</c:v>
                </c:pt>
                <c:pt idx="4">
                  <c:v>-0.30198852375142227</c:v>
                </c:pt>
                <c:pt idx="5">
                  <c:v>-0.30198852375142227</c:v>
                </c:pt>
                <c:pt idx="6">
                  <c:v>-0.30198852375142227</c:v>
                </c:pt>
                <c:pt idx="7">
                  <c:v>-0.30198852375142227</c:v>
                </c:pt>
                <c:pt idx="8">
                  <c:v>-0.30198852375142227</c:v>
                </c:pt>
                <c:pt idx="9">
                  <c:v>-0.30198852375142227</c:v>
                </c:pt>
                <c:pt idx="10">
                  <c:v>-0.30198852375142227</c:v>
                </c:pt>
                <c:pt idx="11">
                  <c:v>-0.30198852375142227</c:v>
                </c:pt>
                <c:pt idx="12">
                  <c:v>-0.30198852375142227</c:v>
                </c:pt>
                <c:pt idx="13">
                  <c:v>-0.30198852375142227</c:v>
                </c:pt>
                <c:pt idx="14">
                  <c:v>-0.30198852375142227</c:v>
                </c:pt>
                <c:pt idx="15">
                  <c:v>-0.30198852375142227</c:v>
                </c:pt>
                <c:pt idx="16">
                  <c:v>-0.30198852375142227</c:v>
                </c:pt>
                <c:pt idx="17">
                  <c:v>-0.30198852375142227</c:v>
                </c:pt>
                <c:pt idx="18">
                  <c:v>-0.30198852375142227</c:v>
                </c:pt>
                <c:pt idx="19">
                  <c:v>-0.30198852375142227</c:v>
                </c:pt>
                <c:pt idx="20">
                  <c:v>-0.30198852375142227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6C-46ED-BD89-07F37C3C61D1}"/>
            </c:ext>
          </c:extLst>
        </c:ser>
        <c:ser>
          <c:idx val="4"/>
          <c:order val="4"/>
          <c:tx>
            <c:strRef>
              <c:f>PainelDeVariaveis!$O$7:$O$16</c:f>
              <c:strCache>
                <c:ptCount val="10"/>
                <c:pt idx="0">
                  <c:v>LMC</c:v>
                </c:pt>
                <c:pt idx="1">
                  <c:v>0,046052632</c:v>
                </c:pt>
                <c:pt idx="2">
                  <c:v>0,046052632</c:v>
                </c:pt>
                <c:pt idx="3">
                  <c:v>0,046052632</c:v>
                </c:pt>
                <c:pt idx="4">
                  <c:v>0,046052632</c:v>
                </c:pt>
                <c:pt idx="5">
                  <c:v>0,046052632</c:v>
                </c:pt>
                <c:pt idx="6">
                  <c:v>0,046052632</c:v>
                </c:pt>
                <c:pt idx="7">
                  <c:v>0,046052632</c:v>
                </c:pt>
                <c:pt idx="8">
                  <c:v>0,046052632</c:v>
                </c:pt>
                <c:pt idx="9">
                  <c:v>0,046052632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6C-46ED-BD89-07F37C3C61D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PainelDeVariaveis!$O$17:$O$37</c:f>
              <c:numCache>
                <c:formatCode>General</c:formatCode>
                <c:ptCount val="21"/>
                <c:pt idx="0">
                  <c:v>4.6052631578947366E-2</c:v>
                </c:pt>
                <c:pt idx="1">
                  <c:v>4.6052631578947366E-2</c:v>
                </c:pt>
                <c:pt idx="2">
                  <c:v>4.6052631578947366E-2</c:v>
                </c:pt>
                <c:pt idx="3">
                  <c:v>4.6052631578947366E-2</c:v>
                </c:pt>
                <c:pt idx="4">
                  <c:v>4.6052631578947366E-2</c:v>
                </c:pt>
                <c:pt idx="5">
                  <c:v>4.6052631578947366E-2</c:v>
                </c:pt>
                <c:pt idx="6">
                  <c:v>4.6052631578947366E-2</c:v>
                </c:pt>
                <c:pt idx="7">
                  <c:v>4.6052631578947366E-2</c:v>
                </c:pt>
                <c:pt idx="8">
                  <c:v>4.6052631578947366E-2</c:v>
                </c:pt>
                <c:pt idx="9">
                  <c:v>4.6052631578947366E-2</c:v>
                </c:pt>
                <c:pt idx="10">
                  <c:v>4.6052631578947366E-2</c:v>
                </c:pt>
                <c:pt idx="11">
                  <c:v>4.6052631578947366E-2</c:v>
                </c:pt>
                <c:pt idx="12">
                  <c:v>4.6052631578947366E-2</c:v>
                </c:pt>
                <c:pt idx="13">
                  <c:v>4.6052631578947366E-2</c:v>
                </c:pt>
                <c:pt idx="14">
                  <c:v>4.6052631578947366E-2</c:v>
                </c:pt>
                <c:pt idx="15">
                  <c:v>4.6052631578947366E-2</c:v>
                </c:pt>
                <c:pt idx="16">
                  <c:v>4.6052631578947366E-2</c:v>
                </c:pt>
                <c:pt idx="17">
                  <c:v>4.6052631578947366E-2</c:v>
                </c:pt>
                <c:pt idx="18">
                  <c:v>4.6052631578947366E-2</c:v>
                </c:pt>
                <c:pt idx="19">
                  <c:v>4.6052631578947366E-2</c:v>
                </c:pt>
                <c:pt idx="20">
                  <c:v>4.6052631578947366E-2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6C-46ED-BD89-07F37C3C61D1}"/>
            </c:ext>
          </c:extLst>
        </c:ser>
        <c:ser>
          <c:idx val="5"/>
          <c:order val="5"/>
          <c:tx>
            <c:strRef>
              <c:f>PainelDeVariaveis!$P$7:$P$16</c:f>
              <c:strCache>
                <c:ptCount val="10"/>
                <c:pt idx="0">
                  <c:v>L1S</c:v>
                </c:pt>
                <c:pt idx="1">
                  <c:v>0,394093787</c:v>
                </c:pt>
                <c:pt idx="2">
                  <c:v>0,394093787</c:v>
                </c:pt>
                <c:pt idx="3">
                  <c:v>0,394093787</c:v>
                </c:pt>
                <c:pt idx="4">
                  <c:v>0,394093787</c:v>
                </c:pt>
                <c:pt idx="5">
                  <c:v>0,394093787</c:v>
                </c:pt>
                <c:pt idx="6">
                  <c:v>0,394093787</c:v>
                </c:pt>
                <c:pt idx="7">
                  <c:v>0,394093787</c:v>
                </c:pt>
                <c:pt idx="8">
                  <c:v>0,394093787</c:v>
                </c:pt>
                <c:pt idx="9">
                  <c:v>0,394093787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PainelDeVariaveis!$P$17:$P$37</c:f>
              <c:numCache>
                <c:formatCode>General</c:formatCode>
                <c:ptCount val="21"/>
                <c:pt idx="0">
                  <c:v>0.39409378690931696</c:v>
                </c:pt>
                <c:pt idx="1">
                  <c:v>0.39409378690931696</c:v>
                </c:pt>
                <c:pt idx="2">
                  <c:v>0.39409378690931696</c:v>
                </c:pt>
                <c:pt idx="3">
                  <c:v>0.39409378690931696</c:v>
                </c:pt>
                <c:pt idx="4">
                  <c:v>0.39409378690931696</c:v>
                </c:pt>
                <c:pt idx="5">
                  <c:v>0.39409378690931696</c:v>
                </c:pt>
                <c:pt idx="6">
                  <c:v>0.39409378690931696</c:v>
                </c:pt>
                <c:pt idx="7">
                  <c:v>0.39409378690931696</c:v>
                </c:pt>
                <c:pt idx="8">
                  <c:v>0.39409378690931696</c:v>
                </c:pt>
                <c:pt idx="9">
                  <c:v>0.39409378690931696</c:v>
                </c:pt>
                <c:pt idx="10">
                  <c:v>0.39409378690931696</c:v>
                </c:pt>
                <c:pt idx="11">
                  <c:v>0.39409378690931696</c:v>
                </c:pt>
                <c:pt idx="12">
                  <c:v>0.39409378690931696</c:v>
                </c:pt>
                <c:pt idx="13">
                  <c:v>0.39409378690931696</c:v>
                </c:pt>
                <c:pt idx="14">
                  <c:v>0.39409378690931696</c:v>
                </c:pt>
                <c:pt idx="15">
                  <c:v>0.39409378690931696</c:v>
                </c:pt>
                <c:pt idx="16">
                  <c:v>0.39409378690931696</c:v>
                </c:pt>
                <c:pt idx="17">
                  <c:v>0.39409378690931696</c:v>
                </c:pt>
                <c:pt idx="18">
                  <c:v>0.39409378690931696</c:v>
                </c:pt>
                <c:pt idx="19">
                  <c:v>0.39409378690931696</c:v>
                </c:pt>
                <c:pt idx="20">
                  <c:v>0.39409378690931696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6C-46ED-BD89-07F37C3C61D1}"/>
            </c:ext>
          </c:extLst>
        </c:ser>
        <c:ser>
          <c:idx val="6"/>
          <c:order val="6"/>
          <c:tx>
            <c:strRef>
              <c:f>PainelDeVariaveis!$Q$7:$Q$16</c:f>
              <c:strCache>
                <c:ptCount val="10"/>
                <c:pt idx="0">
                  <c:v>L2S</c:v>
                </c:pt>
                <c:pt idx="1">
                  <c:v>0,742134942</c:v>
                </c:pt>
                <c:pt idx="2">
                  <c:v>0,742134942</c:v>
                </c:pt>
                <c:pt idx="3">
                  <c:v>0,742134942</c:v>
                </c:pt>
                <c:pt idx="4">
                  <c:v>0,742134942</c:v>
                </c:pt>
                <c:pt idx="5">
                  <c:v>0,742134942</c:v>
                </c:pt>
                <c:pt idx="6">
                  <c:v>0,742134942</c:v>
                </c:pt>
                <c:pt idx="7">
                  <c:v>0,742134942</c:v>
                </c:pt>
                <c:pt idx="8">
                  <c:v>0,742134942</c:v>
                </c:pt>
                <c:pt idx="9">
                  <c:v>0,742134942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PainelDeVariaveis!$Q$17:$Q$37</c:f>
              <c:numCache>
                <c:formatCode>General</c:formatCode>
                <c:ptCount val="21"/>
                <c:pt idx="0">
                  <c:v>0.74213494223968657</c:v>
                </c:pt>
                <c:pt idx="1">
                  <c:v>0.74213494223968657</c:v>
                </c:pt>
                <c:pt idx="2">
                  <c:v>0.74213494223968657</c:v>
                </c:pt>
                <c:pt idx="3">
                  <c:v>0.74213494223968657</c:v>
                </c:pt>
                <c:pt idx="4">
                  <c:v>0.74213494223968657</c:v>
                </c:pt>
                <c:pt idx="5">
                  <c:v>0.74213494223968657</c:v>
                </c:pt>
                <c:pt idx="6">
                  <c:v>0.74213494223968657</c:v>
                </c:pt>
                <c:pt idx="7">
                  <c:v>0.74213494223968657</c:v>
                </c:pt>
                <c:pt idx="8">
                  <c:v>0.74213494223968657</c:v>
                </c:pt>
                <c:pt idx="9">
                  <c:v>0.74213494223968657</c:v>
                </c:pt>
                <c:pt idx="10">
                  <c:v>0.74213494223968657</c:v>
                </c:pt>
                <c:pt idx="11">
                  <c:v>0.74213494223968657</c:v>
                </c:pt>
                <c:pt idx="12">
                  <c:v>0.74213494223968657</c:v>
                </c:pt>
                <c:pt idx="13">
                  <c:v>0.74213494223968657</c:v>
                </c:pt>
                <c:pt idx="14">
                  <c:v>0.74213494223968657</c:v>
                </c:pt>
                <c:pt idx="15">
                  <c:v>0.74213494223968657</c:v>
                </c:pt>
                <c:pt idx="16">
                  <c:v>0.74213494223968657</c:v>
                </c:pt>
                <c:pt idx="17">
                  <c:v>0.74213494223968657</c:v>
                </c:pt>
                <c:pt idx="18">
                  <c:v>0.74213494223968657</c:v>
                </c:pt>
                <c:pt idx="19">
                  <c:v>0.74213494223968657</c:v>
                </c:pt>
                <c:pt idx="20">
                  <c:v>0.74213494223968657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6C-46ED-BD89-07F37C3C61D1}"/>
            </c:ext>
          </c:extLst>
        </c:ser>
        <c:ser>
          <c:idx val="7"/>
          <c:order val="7"/>
          <c:tx>
            <c:strRef>
              <c:f>PainelDeVariaveis!$R$7:$R$16</c:f>
              <c:strCache>
                <c:ptCount val="10"/>
                <c:pt idx="0">
                  <c:v>LSC</c:v>
                </c:pt>
                <c:pt idx="1">
                  <c:v>1,090176098</c:v>
                </c:pt>
                <c:pt idx="2">
                  <c:v>1,090176098</c:v>
                </c:pt>
                <c:pt idx="3">
                  <c:v>1,090176098</c:v>
                </c:pt>
                <c:pt idx="4">
                  <c:v>1,090176098</c:v>
                </c:pt>
                <c:pt idx="5">
                  <c:v>1,090176098</c:v>
                </c:pt>
                <c:pt idx="6">
                  <c:v>1,090176098</c:v>
                </c:pt>
                <c:pt idx="7">
                  <c:v>1,090176098</c:v>
                </c:pt>
                <c:pt idx="8">
                  <c:v>1,090176098</c:v>
                </c:pt>
                <c:pt idx="9">
                  <c:v>1,090176098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6C-46ED-BD89-07F37C3C61D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PainelDeVariaveis!$B$17:$B$37</c:f>
              <c:numCache>
                <c:formatCode>yyyy\.mm</c:formatCode>
                <c:ptCount val="21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</c:numCache>
            </c:numRef>
          </c:cat>
          <c:val>
            <c:numRef>
              <c:f>PainelDeVariaveis!$R$17:$R$37</c:f>
              <c:numCache>
                <c:formatCode>General</c:formatCode>
                <c:ptCount val="21"/>
                <c:pt idx="0">
                  <c:v>1.0901760975700561</c:v>
                </c:pt>
                <c:pt idx="1">
                  <c:v>1.0901760975700561</c:v>
                </c:pt>
                <c:pt idx="2">
                  <c:v>1.0901760975700561</c:v>
                </c:pt>
                <c:pt idx="3">
                  <c:v>1.0901760975700561</c:v>
                </c:pt>
                <c:pt idx="4">
                  <c:v>1.0901760975700561</c:v>
                </c:pt>
                <c:pt idx="5">
                  <c:v>1.0901760975700561</c:v>
                </c:pt>
                <c:pt idx="6">
                  <c:v>1.0901760975700561</c:v>
                </c:pt>
                <c:pt idx="7">
                  <c:v>1.0901760975700561</c:v>
                </c:pt>
                <c:pt idx="8">
                  <c:v>1.0901760975700561</c:v>
                </c:pt>
                <c:pt idx="9">
                  <c:v>1.0901760975700561</c:v>
                </c:pt>
                <c:pt idx="10">
                  <c:v>1.0901760975700561</c:v>
                </c:pt>
                <c:pt idx="11">
                  <c:v>1.0901760975700561</c:v>
                </c:pt>
                <c:pt idx="12">
                  <c:v>1.0901760975700561</c:v>
                </c:pt>
                <c:pt idx="13">
                  <c:v>1.0901760975700561</c:v>
                </c:pt>
                <c:pt idx="14">
                  <c:v>1.0901760975700561</c:v>
                </c:pt>
                <c:pt idx="15">
                  <c:v>1.0901760975700561</c:v>
                </c:pt>
                <c:pt idx="16">
                  <c:v>1.0901760975700561</c:v>
                </c:pt>
                <c:pt idx="17">
                  <c:v>1.0901760975700561</c:v>
                </c:pt>
                <c:pt idx="18">
                  <c:v>1.0901760975700561</c:v>
                </c:pt>
                <c:pt idx="19">
                  <c:v>1.0901760975700561</c:v>
                </c:pt>
                <c:pt idx="20">
                  <c:v>1.0901760975700561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6C-46ED-BD89-07F37C3C6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384208"/>
        <c:axId val="430389488"/>
      </c:lineChart>
      <c:dateAx>
        <c:axId val="430384208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389488"/>
        <c:crosses val="autoZero"/>
        <c:auto val="1"/>
        <c:lblOffset val="100"/>
        <c:baseTimeUnit val="months"/>
      </c:dateAx>
      <c:valAx>
        <c:axId val="43038948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3038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V02 - AM4M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PainelDeVariaveis!$K$44:$K$53</c:f>
              <c:strCache>
                <c:ptCount val="10"/>
                <c:pt idx="0">
                  <c:v>Apurado</c:v>
                </c:pt>
                <c:pt idx="1">
                  <c:v>0</c:v>
                </c:pt>
                <c:pt idx="2">
                  <c:v>-0,25</c:v>
                </c:pt>
                <c:pt idx="3">
                  <c:v>1,25</c:v>
                </c:pt>
                <c:pt idx="4">
                  <c:v>0,5</c:v>
                </c:pt>
                <c:pt idx="5">
                  <c:v>-0,5</c:v>
                </c:pt>
                <c:pt idx="6">
                  <c:v>2,25</c:v>
                </c:pt>
                <c:pt idx="7">
                  <c:v>1</c:v>
                </c:pt>
                <c:pt idx="8">
                  <c:v>1</c:v>
                </c:pt>
                <c:pt idx="9">
                  <c:v>0,5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PainelDeVariaveis!$K$54:$K$74</c:f>
              <c:numCache>
                <c:formatCode>General</c:formatCode>
                <c:ptCount val="21"/>
                <c:pt idx="0">
                  <c:v>-2.5</c:v>
                </c:pt>
                <c:pt idx="1">
                  <c:v>-2.5</c:v>
                </c:pt>
                <c:pt idx="2">
                  <c:v>-1.75</c:v>
                </c:pt>
                <c:pt idx="3">
                  <c:v>0</c:v>
                </c:pt>
                <c:pt idx="4">
                  <c:v>4.25</c:v>
                </c:pt>
                <c:pt idx="5">
                  <c:v>3.75</c:v>
                </c:pt>
                <c:pt idx="6">
                  <c:v>4</c:v>
                </c:pt>
                <c:pt idx="7">
                  <c:v>2.75</c:v>
                </c:pt>
                <c:pt idx="8">
                  <c:v>-1.5</c:v>
                </c:pt>
                <c:pt idx="9">
                  <c:v>-2.5</c:v>
                </c:pt>
                <c:pt idx="10">
                  <c:v>-6</c:v>
                </c:pt>
                <c:pt idx="11">
                  <c:v>1.25</c:v>
                </c:pt>
                <c:pt idx="12">
                  <c:v>-0.75</c:v>
                </c:pt>
                <c:pt idx="13">
                  <c:v>0.5</c:v>
                </c:pt>
                <c:pt idx="14">
                  <c:v>3.5</c:v>
                </c:pt>
                <c:pt idx="15">
                  <c:v>-5</c:v>
                </c:pt>
                <c:pt idx="16">
                  <c:v>-2.5</c:v>
                </c:pt>
                <c:pt idx="17">
                  <c:v>-0.5</c:v>
                </c:pt>
                <c:pt idx="18">
                  <c:v>-0.75</c:v>
                </c:pt>
                <c:pt idx="19">
                  <c:v>2.5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B-4BD3-A347-07B9D67D7000}"/>
            </c:ext>
          </c:extLst>
        </c:ser>
        <c:ser>
          <c:idx val="1"/>
          <c:order val="1"/>
          <c:tx>
            <c:strRef>
              <c:f>PainelDeVariaveis!$L$44:$L$53</c:f>
              <c:strCache>
                <c:ptCount val="10"/>
                <c:pt idx="0">
                  <c:v>LIC</c:v>
                </c:pt>
                <c:pt idx="1">
                  <c:v>-0,998070834</c:v>
                </c:pt>
                <c:pt idx="2">
                  <c:v>-0,998070834</c:v>
                </c:pt>
                <c:pt idx="3">
                  <c:v>-6,973007112</c:v>
                </c:pt>
                <c:pt idx="4">
                  <c:v>-6,973007112</c:v>
                </c:pt>
                <c:pt idx="5">
                  <c:v>-6,973007112</c:v>
                </c:pt>
                <c:pt idx="6">
                  <c:v>-6,973007112</c:v>
                </c:pt>
                <c:pt idx="7">
                  <c:v>-6,973007112</c:v>
                </c:pt>
                <c:pt idx="8">
                  <c:v>-6,973007112</c:v>
                </c:pt>
                <c:pt idx="9">
                  <c:v>-6,973007112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2B-4BD3-A347-07B9D67D700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PainelDeVariaveis!$L$54:$L$74</c:f>
              <c:numCache>
                <c:formatCode>General</c:formatCode>
                <c:ptCount val="21"/>
                <c:pt idx="0">
                  <c:v>-6.973007111749407</c:v>
                </c:pt>
                <c:pt idx="1">
                  <c:v>-6.973007111749407</c:v>
                </c:pt>
                <c:pt idx="2">
                  <c:v>-6.973007111749407</c:v>
                </c:pt>
                <c:pt idx="3">
                  <c:v>-6.973007111749407</c:v>
                </c:pt>
                <c:pt idx="4">
                  <c:v>-6.973007111749407</c:v>
                </c:pt>
                <c:pt idx="5">
                  <c:v>-6.973007111749407</c:v>
                </c:pt>
                <c:pt idx="6">
                  <c:v>-6.973007111749407</c:v>
                </c:pt>
                <c:pt idx="7">
                  <c:v>-6.973007111749407</c:v>
                </c:pt>
                <c:pt idx="8">
                  <c:v>-6.973007111749407</c:v>
                </c:pt>
                <c:pt idx="9">
                  <c:v>-6.973007111749407</c:v>
                </c:pt>
                <c:pt idx="10">
                  <c:v>-6.973007111749407</c:v>
                </c:pt>
                <c:pt idx="11">
                  <c:v>-6.973007111749407</c:v>
                </c:pt>
                <c:pt idx="12">
                  <c:v>-6.973007111749407</c:v>
                </c:pt>
                <c:pt idx="13">
                  <c:v>-6.973007111749407</c:v>
                </c:pt>
                <c:pt idx="14">
                  <c:v>-6.973007111749407</c:v>
                </c:pt>
                <c:pt idx="15">
                  <c:v>-6.973007111749407</c:v>
                </c:pt>
                <c:pt idx="16">
                  <c:v>-6.973007111749407</c:v>
                </c:pt>
                <c:pt idx="17">
                  <c:v>-6.973007111749407</c:v>
                </c:pt>
                <c:pt idx="18">
                  <c:v>-6.973007111749407</c:v>
                </c:pt>
                <c:pt idx="19">
                  <c:v>-6.973007111749407</c:v>
                </c:pt>
                <c:pt idx="20">
                  <c:v>-6.973007111749407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2B-4BD3-A347-07B9D67D7000}"/>
            </c:ext>
          </c:extLst>
        </c:ser>
        <c:ser>
          <c:idx val="2"/>
          <c:order val="2"/>
          <c:tx>
            <c:strRef>
              <c:f>PainelDeVariaveis!$M$44:$M$53</c:f>
              <c:strCache>
                <c:ptCount val="10"/>
                <c:pt idx="0">
                  <c:v>L2I</c:v>
                </c:pt>
                <c:pt idx="1">
                  <c:v>-0,650029679</c:v>
                </c:pt>
                <c:pt idx="2">
                  <c:v>-0,650029679</c:v>
                </c:pt>
                <c:pt idx="3">
                  <c:v>-4,508320531</c:v>
                </c:pt>
                <c:pt idx="4">
                  <c:v>-4,508320531</c:v>
                </c:pt>
                <c:pt idx="5">
                  <c:v>-4,508320531</c:v>
                </c:pt>
                <c:pt idx="6">
                  <c:v>-4,508320531</c:v>
                </c:pt>
                <c:pt idx="7">
                  <c:v>-4,508320531</c:v>
                </c:pt>
                <c:pt idx="8">
                  <c:v>-4,508320531</c:v>
                </c:pt>
                <c:pt idx="9">
                  <c:v>-4,508320531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PainelDeVariaveis!$M$54:$M$74</c:f>
              <c:numCache>
                <c:formatCode>General</c:formatCode>
                <c:ptCount val="21"/>
                <c:pt idx="0">
                  <c:v>-4.5083205306399545</c:v>
                </c:pt>
                <c:pt idx="1">
                  <c:v>-4.5083205306399545</c:v>
                </c:pt>
                <c:pt idx="2">
                  <c:v>-4.5083205306399545</c:v>
                </c:pt>
                <c:pt idx="3">
                  <c:v>-4.5083205306399545</c:v>
                </c:pt>
                <c:pt idx="4">
                  <c:v>-4.5083205306399545</c:v>
                </c:pt>
                <c:pt idx="5">
                  <c:v>-4.5083205306399545</c:v>
                </c:pt>
                <c:pt idx="6">
                  <c:v>-4.5083205306399545</c:v>
                </c:pt>
                <c:pt idx="7">
                  <c:v>-4.5083205306399545</c:v>
                </c:pt>
                <c:pt idx="8">
                  <c:v>-4.5083205306399545</c:v>
                </c:pt>
                <c:pt idx="9">
                  <c:v>-4.5083205306399545</c:v>
                </c:pt>
                <c:pt idx="10">
                  <c:v>-4.5083205306399545</c:v>
                </c:pt>
                <c:pt idx="11">
                  <c:v>-4.5083205306399545</c:v>
                </c:pt>
                <c:pt idx="12">
                  <c:v>-4.5083205306399545</c:v>
                </c:pt>
                <c:pt idx="13">
                  <c:v>-4.5083205306399545</c:v>
                </c:pt>
                <c:pt idx="14">
                  <c:v>-4.5083205306399545</c:v>
                </c:pt>
                <c:pt idx="15">
                  <c:v>-4.5083205306399545</c:v>
                </c:pt>
                <c:pt idx="16">
                  <c:v>-4.5083205306399545</c:v>
                </c:pt>
                <c:pt idx="17">
                  <c:v>-4.5083205306399545</c:v>
                </c:pt>
                <c:pt idx="18">
                  <c:v>-4.5083205306399545</c:v>
                </c:pt>
                <c:pt idx="19">
                  <c:v>-4.5083205306399545</c:v>
                </c:pt>
                <c:pt idx="20">
                  <c:v>-4.5083205306399545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2B-4BD3-A347-07B9D67D7000}"/>
            </c:ext>
          </c:extLst>
        </c:ser>
        <c:ser>
          <c:idx val="3"/>
          <c:order val="3"/>
          <c:tx>
            <c:strRef>
              <c:f>PainelDeVariaveis!$N$44:$N$53</c:f>
              <c:strCache>
                <c:ptCount val="10"/>
                <c:pt idx="0">
                  <c:v>L1I</c:v>
                </c:pt>
                <c:pt idx="1">
                  <c:v>-0,301988524</c:v>
                </c:pt>
                <c:pt idx="2">
                  <c:v>-0,301988524</c:v>
                </c:pt>
                <c:pt idx="3">
                  <c:v>-2,04363395</c:v>
                </c:pt>
                <c:pt idx="4">
                  <c:v>-2,04363395</c:v>
                </c:pt>
                <c:pt idx="5">
                  <c:v>-2,04363395</c:v>
                </c:pt>
                <c:pt idx="6">
                  <c:v>-2,04363395</c:v>
                </c:pt>
                <c:pt idx="7">
                  <c:v>-2,04363395</c:v>
                </c:pt>
                <c:pt idx="8">
                  <c:v>-2,04363395</c:v>
                </c:pt>
                <c:pt idx="9">
                  <c:v>-2,04363395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PainelDeVariaveis!$N$54:$N$74</c:f>
              <c:numCache>
                <c:formatCode>General</c:formatCode>
                <c:ptCount val="21"/>
                <c:pt idx="0">
                  <c:v>-2.0436339495305038</c:v>
                </c:pt>
                <c:pt idx="1">
                  <c:v>-2.0436339495305038</c:v>
                </c:pt>
                <c:pt idx="2">
                  <c:v>-2.0436339495305038</c:v>
                </c:pt>
                <c:pt idx="3">
                  <c:v>-2.0436339495305038</c:v>
                </c:pt>
                <c:pt idx="4">
                  <c:v>-2.0436339495305038</c:v>
                </c:pt>
                <c:pt idx="5">
                  <c:v>-2.0436339495305038</c:v>
                </c:pt>
                <c:pt idx="6">
                  <c:v>-2.0436339495305038</c:v>
                </c:pt>
                <c:pt idx="7">
                  <c:v>-2.0436339495305038</c:v>
                </c:pt>
                <c:pt idx="8">
                  <c:v>-2.0436339495305038</c:v>
                </c:pt>
                <c:pt idx="9">
                  <c:v>-2.0436339495305038</c:v>
                </c:pt>
                <c:pt idx="10">
                  <c:v>-2.0436339495305038</c:v>
                </c:pt>
                <c:pt idx="11">
                  <c:v>-2.0436339495305038</c:v>
                </c:pt>
                <c:pt idx="12">
                  <c:v>-2.0436339495305038</c:v>
                </c:pt>
                <c:pt idx="13">
                  <c:v>-2.0436339495305038</c:v>
                </c:pt>
                <c:pt idx="14">
                  <c:v>-2.0436339495305038</c:v>
                </c:pt>
                <c:pt idx="15">
                  <c:v>-2.0436339495305038</c:v>
                </c:pt>
                <c:pt idx="16">
                  <c:v>-2.0436339495305038</c:v>
                </c:pt>
                <c:pt idx="17">
                  <c:v>-2.0436339495305038</c:v>
                </c:pt>
                <c:pt idx="18">
                  <c:v>-2.0436339495305038</c:v>
                </c:pt>
                <c:pt idx="19">
                  <c:v>-2.0436339495305038</c:v>
                </c:pt>
                <c:pt idx="20">
                  <c:v>-2.0436339495305038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2B-4BD3-A347-07B9D67D7000}"/>
            </c:ext>
          </c:extLst>
        </c:ser>
        <c:ser>
          <c:idx val="4"/>
          <c:order val="4"/>
          <c:tx>
            <c:strRef>
              <c:f>PainelDeVariaveis!$O$44:$O$53</c:f>
              <c:strCache>
                <c:ptCount val="10"/>
                <c:pt idx="0">
                  <c:v>LMC</c:v>
                </c:pt>
                <c:pt idx="1">
                  <c:v>0,046052632</c:v>
                </c:pt>
                <c:pt idx="2">
                  <c:v>0,046052632</c:v>
                </c:pt>
                <c:pt idx="3">
                  <c:v>0,421052632</c:v>
                </c:pt>
                <c:pt idx="4">
                  <c:v>0,421052632</c:v>
                </c:pt>
                <c:pt idx="5">
                  <c:v>0,421052632</c:v>
                </c:pt>
                <c:pt idx="6">
                  <c:v>0,421052632</c:v>
                </c:pt>
                <c:pt idx="7">
                  <c:v>0,421052632</c:v>
                </c:pt>
                <c:pt idx="8">
                  <c:v>0,421052632</c:v>
                </c:pt>
                <c:pt idx="9">
                  <c:v>0,421052632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2B-4BD3-A347-07B9D67D700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PainelDeVariaveis!$O$54:$O$74</c:f>
              <c:numCache>
                <c:formatCode>General</c:formatCode>
                <c:ptCount val="21"/>
                <c:pt idx="0">
                  <c:v>0.42105263157894735</c:v>
                </c:pt>
                <c:pt idx="1">
                  <c:v>0.42105263157894735</c:v>
                </c:pt>
                <c:pt idx="2">
                  <c:v>0.42105263157894735</c:v>
                </c:pt>
                <c:pt idx="3">
                  <c:v>0.42105263157894735</c:v>
                </c:pt>
                <c:pt idx="4">
                  <c:v>0.42105263157894735</c:v>
                </c:pt>
                <c:pt idx="5">
                  <c:v>0.42105263157894735</c:v>
                </c:pt>
                <c:pt idx="6">
                  <c:v>0.42105263157894735</c:v>
                </c:pt>
                <c:pt idx="7">
                  <c:v>0.42105263157894735</c:v>
                </c:pt>
                <c:pt idx="8">
                  <c:v>0.42105263157894735</c:v>
                </c:pt>
                <c:pt idx="9">
                  <c:v>0.42105263157894735</c:v>
                </c:pt>
                <c:pt idx="10">
                  <c:v>0.42105263157894735</c:v>
                </c:pt>
                <c:pt idx="11">
                  <c:v>0.42105263157894735</c:v>
                </c:pt>
                <c:pt idx="12">
                  <c:v>0.42105263157894735</c:v>
                </c:pt>
                <c:pt idx="13">
                  <c:v>0.42105263157894735</c:v>
                </c:pt>
                <c:pt idx="14">
                  <c:v>0.42105263157894735</c:v>
                </c:pt>
                <c:pt idx="15">
                  <c:v>0.42105263157894735</c:v>
                </c:pt>
                <c:pt idx="16">
                  <c:v>0.42105263157894735</c:v>
                </c:pt>
                <c:pt idx="17">
                  <c:v>0.42105263157894735</c:v>
                </c:pt>
                <c:pt idx="18">
                  <c:v>0.42105263157894735</c:v>
                </c:pt>
                <c:pt idx="19">
                  <c:v>0.42105263157894735</c:v>
                </c:pt>
                <c:pt idx="20">
                  <c:v>0.42105263157894735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2B-4BD3-A347-07B9D67D7000}"/>
            </c:ext>
          </c:extLst>
        </c:ser>
        <c:ser>
          <c:idx val="5"/>
          <c:order val="5"/>
          <c:tx>
            <c:strRef>
              <c:f>PainelDeVariaveis!$P$44:$P$53</c:f>
              <c:strCache>
                <c:ptCount val="10"/>
                <c:pt idx="0">
                  <c:v>L1S</c:v>
                </c:pt>
                <c:pt idx="1">
                  <c:v>0,394093787</c:v>
                </c:pt>
                <c:pt idx="2">
                  <c:v>0,394093787</c:v>
                </c:pt>
                <c:pt idx="3">
                  <c:v>2,885739213</c:v>
                </c:pt>
                <c:pt idx="4">
                  <c:v>2,885739213</c:v>
                </c:pt>
                <c:pt idx="5">
                  <c:v>2,885739213</c:v>
                </c:pt>
                <c:pt idx="6">
                  <c:v>2,885739213</c:v>
                </c:pt>
                <c:pt idx="7">
                  <c:v>2,885739213</c:v>
                </c:pt>
                <c:pt idx="8">
                  <c:v>2,885739213</c:v>
                </c:pt>
                <c:pt idx="9">
                  <c:v>2,885739213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PainelDeVariaveis!$P$54:$P$74</c:f>
              <c:numCache>
                <c:formatCode>General</c:formatCode>
                <c:ptCount val="21"/>
                <c:pt idx="0">
                  <c:v>2.8857392126883985</c:v>
                </c:pt>
                <c:pt idx="1">
                  <c:v>2.8857392126883985</c:v>
                </c:pt>
                <c:pt idx="2">
                  <c:v>2.8857392126883985</c:v>
                </c:pt>
                <c:pt idx="3">
                  <c:v>2.8857392126883985</c:v>
                </c:pt>
                <c:pt idx="4">
                  <c:v>2.8857392126883985</c:v>
                </c:pt>
                <c:pt idx="5">
                  <c:v>2.8857392126883985</c:v>
                </c:pt>
                <c:pt idx="6">
                  <c:v>2.8857392126883985</c:v>
                </c:pt>
                <c:pt idx="7">
                  <c:v>2.8857392126883985</c:v>
                </c:pt>
                <c:pt idx="8">
                  <c:v>2.8857392126883985</c:v>
                </c:pt>
                <c:pt idx="9">
                  <c:v>2.8857392126883985</c:v>
                </c:pt>
                <c:pt idx="10">
                  <c:v>2.8857392126883985</c:v>
                </c:pt>
                <c:pt idx="11">
                  <c:v>2.8857392126883985</c:v>
                </c:pt>
                <c:pt idx="12">
                  <c:v>2.8857392126883985</c:v>
                </c:pt>
                <c:pt idx="13">
                  <c:v>2.8857392126883985</c:v>
                </c:pt>
                <c:pt idx="14">
                  <c:v>2.8857392126883985</c:v>
                </c:pt>
                <c:pt idx="15">
                  <c:v>2.8857392126883985</c:v>
                </c:pt>
                <c:pt idx="16">
                  <c:v>2.8857392126883985</c:v>
                </c:pt>
                <c:pt idx="17">
                  <c:v>2.8857392126883985</c:v>
                </c:pt>
                <c:pt idx="18">
                  <c:v>2.8857392126883985</c:v>
                </c:pt>
                <c:pt idx="19">
                  <c:v>2.8857392126883985</c:v>
                </c:pt>
                <c:pt idx="20">
                  <c:v>2.8857392126883985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2B-4BD3-A347-07B9D67D7000}"/>
            </c:ext>
          </c:extLst>
        </c:ser>
        <c:ser>
          <c:idx val="6"/>
          <c:order val="6"/>
          <c:tx>
            <c:strRef>
              <c:f>PainelDeVariaveis!$Q$44:$Q$53</c:f>
              <c:strCache>
                <c:ptCount val="10"/>
                <c:pt idx="0">
                  <c:v>L2S</c:v>
                </c:pt>
                <c:pt idx="1">
                  <c:v>0,742134942</c:v>
                </c:pt>
                <c:pt idx="2">
                  <c:v>0,742134942</c:v>
                </c:pt>
                <c:pt idx="3">
                  <c:v>5,350425794</c:v>
                </c:pt>
                <c:pt idx="4">
                  <c:v>5,350425794</c:v>
                </c:pt>
                <c:pt idx="5">
                  <c:v>5,350425794</c:v>
                </c:pt>
                <c:pt idx="6">
                  <c:v>5,350425794</c:v>
                </c:pt>
                <c:pt idx="7">
                  <c:v>5,350425794</c:v>
                </c:pt>
                <c:pt idx="8">
                  <c:v>5,350425794</c:v>
                </c:pt>
                <c:pt idx="9">
                  <c:v>5,350425794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PainelDeVariaveis!$Q$54:$Q$74</c:f>
              <c:numCache>
                <c:formatCode>General</c:formatCode>
                <c:ptCount val="21"/>
                <c:pt idx="0">
                  <c:v>5.3504257937978501</c:v>
                </c:pt>
                <c:pt idx="1">
                  <c:v>5.3504257937978501</c:v>
                </c:pt>
                <c:pt idx="2">
                  <c:v>5.3504257937978501</c:v>
                </c:pt>
                <c:pt idx="3">
                  <c:v>5.3504257937978501</c:v>
                </c:pt>
                <c:pt idx="4">
                  <c:v>5.3504257937978501</c:v>
                </c:pt>
                <c:pt idx="5">
                  <c:v>5.3504257937978501</c:v>
                </c:pt>
                <c:pt idx="6">
                  <c:v>5.3504257937978501</c:v>
                </c:pt>
                <c:pt idx="7">
                  <c:v>5.3504257937978501</c:v>
                </c:pt>
                <c:pt idx="8">
                  <c:v>5.3504257937978501</c:v>
                </c:pt>
                <c:pt idx="9">
                  <c:v>5.3504257937978501</c:v>
                </c:pt>
                <c:pt idx="10">
                  <c:v>5.3504257937978501</c:v>
                </c:pt>
                <c:pt idx="11">
                  <c:v>5.3504257937978501</c:v>
                </c:pt>
                <c:pt idx="12">
                  <c:v>5.3504257937978501</c:v>
                </c:pt>
                <c:pt idx="13">
                  <c:v>5.3504257937978501</c:v>
                </c:pt>
                <c:pt idx="14">
                  <c:v>5.3504257937978501</c:v>
                </c:pt>
                <c:pt idx="15">
                  <c:v>5.3504257937978501</c:v>
                </c:pt>
                <c:pt idx="16">
                  <c:v>5.3504257937978501</c:v>
                </c:pt>
                <c:pt idx="17">
                  <c:v>5.3504257937978501</c:v>
                </c:pt>
                <c:pt idx="18">
                  <c:v>5.3504257937978501</c:v>
                </c:pt>
                <c:pt idx="19">
                  <c:v>5.3504257937978501</c:v>
                </c:pt>
                <c:pt idx="20">
                  <c:v>5.3504257937978501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42B-4BD3-A347-07B9D67D7000}"/>
            </c:ext>
          </c:extLst>
        </c:ser>
        <c:ser>
          <c:idx val="7"/>
          <c:order val="7"/>
          <c:tx>
            <c:strRef>
              <c:f>PainelDeVariaveis!$R$44:$R$53</c:f>
              <c:strCache>
                <c:ptCount val="10"/>
                <c:pt idx="0">
                  <c:v>LSC</c:v>
                </c:pt>
                <c:pt idx="1">
                  <c:v>1,090176098</c:v>
                </c:pt>
                <c:pt idx="2">
                  <c:v>1,090176098</c:v>
                </c:pt>
                <c:pt idx="3">
                  <c:v>7,815112375</c:v>
                </c:pt>
                <c:pt idx="4">
                  <c:v>7,815112375</c:v>
                </c:pt>
                <c:pt idx="5">
                  <c:v>7,815112375</c:v>
                </c:pt>
                <c:pt idx="6">
                  <c:v>7,815112375</c:v>
                </c:pt>
                <c:pt idx="7">
                  <c:v>7,815112375</c:v>
                </c:pt>
                <c:pt idx="8">
                  <c:v>7,815112375</c:v>
                </c:pt>
                <c:pt idx="9">
                  <c:v>7,815112375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2B-4BD3-A347-07B9D67D700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PainelDeVariaveis!$R$54:$R$74</c:f>
              <c:numCache>
                <c:formatCode>General</c:formatCode>
                <c:ptCount val="21"/>
                <c:pt idx="0">
                  <c:v>7.8151123749073008</c:v>
                </c:pt>
                <c:pt idx="1">
                  <c:v>7.8151123749073008</c:v>
                </c:pt>
                <c:pt idx="2">
                  <c:v>7.8151123749073008</c:v>
                </c:pt>
                <c:pt idx="3">
                  <c:v>7.8151123749073008</c:v>
                </c:pt>
                <c:pt idx="4">
                  <c:v>7.8151123749073008</c:v>
                </c:pt>
                <c:pt idx="5">
                  <c:v>7.8151123749073008</c:v>
                </c:pt>
                <c:pt idx="6">
                  <c:v>7.8151123749073008</c:v>
                </c:pt>
                <c:pt idx="7">
                  <c:v>7.8151123749073008</c:v>
                </c:pt>
                <c:pt idx="8">
                  <c:v>7.8151123749073008</c:v>
                </c:pt>
                <c:pt idx="9">
                  <c:v>7.8151123749073008</c:v>
                </c:pt>
                <c:pt idx="10">
                  <c:v>7.8151123749073008</c:v>
                </c:pt>
                <c:pt idx="11">
                  <c:v>7.8151123749073008</c:v>
                </c:pt>
                <c:pt idx="12">
                  <c:v>7.8151123749073008</c:v>
                </c:pt>
                <c:pt idx="13">
                  <c:v>7.8151123749073008</c:v>
                </c:pt>
                <c:pt idx="14">
                  <c:v>7.8151123749073008</c:v>
                </c:pt>
                <c:pt idx="15">
                  <c:v>7.8151123749073008</c:v>
                </c:pt>
                <c:pt idx="16">
                  <c:v>7.8151123749073008</c:v>
                </c:pt>
                <c:pt idx="17">
                  <c:v>7.8151123749073008</c:v>
                </c:pt>
                <c:pt idx="18">
                  <c:v>7.8151123749073008</c:v>
                </c:pt>
                <c:pt idx="19">
                  <c:v>7.8151123749073008</c:v>
                </c:pt>
                <c:pt idx="20">
                  <c:v>7.8151123749073008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42B-4BD3-A347-07B9D67D7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214544"/>
        <c:axId val="479221264"/>
      </c:lineChart>
      <c:dateAx>
        <c:axId val="479214544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9221264"/>
        <c:crosses val="autoZero"/>
        <c:auto val="1"/>
        <c:lblOffset val="100"/>
        <c:baseTimeUnit val="months"/>
      </c:dateAx>
      <c:valAx>
        <c:axId val="47922126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921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V02 - SM4M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PainelDeVariaveis!$C$44:$C$53</c:f>
              <c:strCache>
                <c:ptCount val="10"/>
                <c:pt idx="0">
                  <c:v>Apurado</c:v>
                </c:pt>
                <c:pt idx="1">
                  <c:v>2</c:v>
                </c:pt>
                <c:pt idx="2">
                  <c:v>1</c:v>
                </c:pt>
                <c:pt idx="3">
                  <c:v>52</c:v>
                </c:pt>
                <c:pt idx="4">
                  <c:v>54</c:v>
                </c:pt>
                <c:pt idx="5">
                  <c:v>52</c:v>
                </c:pt>
                <c:pt idx="6">
                  <c:v>61</c:v>
                </c:pt>
                <c:pt idx="7">
                  <c:v>65</c:v>
                </c:pt>
                <c:pt idx="8">
                  <c:v>69</c:v>
                </c:pt>
                <c:pt idx="9">
                  <c:v>71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PainelDeVariaveis!$C$54:$C$74</c:f>
              <c:numCache>
                <c:formatCode>General</c:formatCode>
                <c:ptCount val="21"/>
                <c:pt idx="0">
                  <c:v>61</c:v>
                </c:pt>
                <c:pt idx="1">
                  <c:v>51</c:v>
                </c:pt>
                <c:pt idx="2">
                  <c:v>44</c:v>
                </c:pt>
                <c:pt idx="3">
                  <c:v>44</c:v>
                </c:pt>
                <c:pt idx="4">
                  <c:v>61</c:v>
                </c:pt>
                <c:pt idx="5">
                  <c:v>76</c:v>
                </c:pt>
                <c:pt idx="6">
                  <c:v>92</c:v>
                </c:pt>
                <c:pt idx="7">
                  <c:v>103</c:v>
                </c:pt>
                <c:pt idx="8">
                  <c:v>97</c:v>
                </c:pt>
                <c:pt idx="9">
                  <c:v>87</c:v>
                </c:pt>
                <c:pt idx="10">
                  <c:v>63</c:v>
                </c:pt>
                <c:pt idx="11">
                  <c:v>68</c:v>
                </c:pt>
                <c:pt idx="12">
                  <c:v>65</c:v>
                </c:pt>
                <c:pt idx="13">
                  <c:v>67</c:v>
                </c:pt>
                <c:pt idx="14">
                  <c:v>81</c:v>
                </c:pt>
                <c:pt idx="15">
                  <c:v>61</c:v>
                </c:pt>
                <c:pt idx="16">
                  <c:v>51</c:v>
                </c:pt>
                <c:pt idx="17">
                  <c:v>49</c:v>
                </c:pt>
                <c:pt idx="18">
                  <c:v>46</c:v>
                </c:pt>
                <c:pt idx="19">
                  <c:v>56</c:v>
                </c:pt>
                <c:pt idx="20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BB-4B63-B75D-B7228D0DC975}"/>
            </c:ext>
          </c:extLst>
        </c:ser>
        <c:ser>
          <c:idx val="1"/>
          <c:order val="1"/>
          <c:tx>
            <c:strRef>
              <c:f>PainelDeVariaveis!$D$44:$D$53</c:f>
              <c:strCache>
                <c:ptCount val="10"/>
                <c:pt idx="0">
                  <c:v>LIC</c:v>
                </c:pt>
                <c:pt idx="1">
                  <c:v>-3,47</c:v>
                </c:pt>
                <c:pt idx="2">
                  <c:v>-3,47</c:v>
                </c:pt>
                <c:pt idx="3">
                  <c:v>1,76</c:v>
                </c:pt>
                <c:pt idx="4">
                  <c:v>1,76</c:v>
                </c:pt>
                <c:pt idx="5">
                  <c:v>1,76</c:v>
                </c:pt>
                <c:pt idx="6">
                  <c:v>1,76</c:v>
                </c:pt>
                <c:pt idx="7">
                  <c:v>1,76</c:v>
                </c:pt>
                <c:pt idx="8">
                  <c:v>1,76</c:v>
                </c:pt>
                <c:pt idx="9">
                  <c:v>1,76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BB-4B63-B75D-B7228D0DC97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PainelDeVariaveis!$D$54:$D$74</c:f>
              <c:numCache>
                <c:formatCode>0.00</c:formatCode>
                <c:ptCount val="21"/>
                <c:pt idx="0">
                  <c:v>1.7611741366579494</c:v>
                </c:pt>
                <c:pt idx="1">
                  <c:v>1.7611741366579494</c:v>
                </c:pt>
                <c:pt idx="2">
                  <c:v>1.7611741366579494</c:v>
                </c:pt>
                <c:pt idx="3">
                  <c:v>1.7611741366579494</c:v>
                </c:pt>
                <c:pt idx="4">
                  <c:v>1.7611741366579494</c:v>
                </c:pt>
                <c:pt idx="5">
                  <c:v>1.7611741366579494</c:v>
                </c:pt>
                <c:pt idx="6">
                  <c:v>1.7611741366579494</c:v>
                </c:pt>
                <c:pt idx="7">
                  <c:v>1.7611741366579494</c:v>
                </c:pt>
                <c:pt idx="8">
                  <c:v>1.7611741366579494</c:v>
                </c:pt>
                <c:pt idx="9">
                  <c:v>1.7611741366579494</c:v>
                </c:pt>
                <c:pt idx="10">
                  <c:v>1.7611741366579494</c:v>
                </c:pt>
                <c:pt idx="11">
                  <c:v>1.7611741366579494</c:v>
                </c:pt>
                <c:pt idx="12">
                  <c:v>1.7611741366579494</c:v>
                </c:pt>
                <c:pt idx="13">
                  <c:v>1.7611741366579494</c:v>
                </c:pt>
                <c:pt idx="14">
                  <c:v>1.7611741366579494</c:v>
                </c:pt>
                <c:pt idx="15">
                  <c:v>1.7611741366579494</c:v>
                </c:pt>
                <c:pt idx="16">
                  <c:v>1.7611741366579494</c:v>
                </c:pt>
                <c:pt idx="17">
                  <c:v>1.7611741366579494</c:v>
                </c:pt>
                <c:pt idx="18">
                  <c:v>1.7611741366579494</c:v>
                </c:pt>
                <c:pt idx="19">
                  <c:v>1.7611741366579494</c:v>
                </c:pt>
                <c:pt idx="20">
                  <c:v>1.7611741366579494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BB-4B63-B75D-B7228D0DC975}"/>
            </c:ext>
          </c:extLst>
        </c:ser>
        <c:ser>
          <c:idx val="2"/>
          <c:order val="2"/>
          <c:tx>
            <c:strRef>
              <c:f>PainelDeVariaveis!$E$44:$E$53</c:f>
              <c:strCache>
                <c:ptCount val="10"/>
                <c:pt idx="0">
                  <c:v>L2I</c:v>
                </c:pt>
                <c:pt idx="1">
                  <c:v>-1,01</c:v>
                </c:pt>
                <c:pt idx="2">
                  <c:v>-1,01</c:v>
                </c:pt>
                <c:pt idx="3">
                  <c:v>20,38</c:v>
                </c:pt>
                <c:pt idx="4">
                  <c:v>20,38</c:v>
                </c:pt>
                <c:pt idx="5">
                  <c:v>20,38</c:v>
                </c:pt>
                <c:pt idx="6">
                  <c:v>20,38</c:v>
                </c:pt>
                <c:pt idx="7">
                  <c:v>20,38</c:v>
                </c:pt>
                <c:pt idx="8">
                  <c:v>20,38</c:v>
                </c:pt>
                <c:pt idx="9">
                  <c:v>20,38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PainelDeVariaveis!$E$54:$E$74</c:f>
              <c:numCache>
                <c:formatCode>0.00</c:formatCode>
                <c:ptCount val="21"/>
                <c:pt idx="0">
                  <c:v>20.38464240689477</c:v>
                </c:pt>
                <c:pt idx="1">
                  <c:v>20.38464240689477</c:v>
                </c:pt>
                <c:pt idx="2">
                  <c:v>20.38464240689477</c:v>
                </c:pt>
                <c:pt idx="3">
                  <c:v>20.38464240689477</c:v>
                </c:pt>
                <c:pt idx="4">
                  <c:v>20.38464240689477</c:v>
                </c:pt>
                <c:pt idx="5">
                  <c:v>20.38464240689477</c:v>
                </c:pt>
                <c:pt idx="6">
                  <c:v>20.38464240689477</c:v>
                </c:pt>
                <c:pt idx="7">
                  <c:v>20.38464240689477</c:v>
                </c:pt>
                <c:pt idx="8">
                  <c:v>20.38464240689477</c:v>
                </c:pt>
                <c:pt idx="9">
                  <c:v>20.38464240689477</c:v>
                </c:pt>
                <c:pt idx="10">
                  <c:v>20.38464240689477</c:v>
                </c:pt>
                <c:pt idx="11">
                  <c:v>20.38464240689477</c:v>
                </c:pt>
                <c:pt idx="12">
                  <c:v>20.38464240689477</c:v>
                </c:pt>
                <c:pt idx="13">
                  <c:v>20.38464240689477</c:v>
                </c:pt>
                <c:pt idx="14">
                  <c:v>20.38464240689477</c:v>
                </c:pt>
                <c:pt idx="15">
                  <c:v>20.38464240689477</c:v>
                </c:pt>
                <c:pt idx="16">
                  <c:v>20.38464240689477</c:v>
                </c:pt>
                <c:pt idx="17">
                  <c:v>20.38464240689477</c:v>
                </c:pt>
                <c:pt idx="18">
                  <c:v>20.38464240689477</c:v>
                </c:pt>
                <c:pt idx="19">
                  <c:v>20.38464240689477</c:v>
                </c:pt>
                <c:pt idx="20">
                  <c:v>20.38464240689477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BB-4B63-B75D-B7228D0DC975}"/>
            </c:ext>
          </c:extLst>
        </c:ser>
        <c:ser>
          <c:idx val="3"/>
          <c:order val="3"/>
          <c:tx>
            <c:strRef>
              <c:f>PainelDeVariaveis!$F$44:$F$53</c:f>
              <c:strCache>
                <c:ptCount val="10"/>
                <c:pt idx="0">
                  <c:v>L1I</c:v>
                </c:pt>
                <c:pt idx="1">
                  <c:v>1,46</c:v>
                </c:pt>
                <c:pt idx="2">
                  <c:v>1,46</c:v>
                </c:pt>
                <c:pt idx="3">
                  <c:v>39,01</c:v>
                </c:pt>
                <c:pt idx="4">
                  <c:v>39,01</c:v>
                </c:pt>
                <c:pt idx="5">
                  <c:v>39,01</c:v>
                </c:pt>
                <c:pt idx="6">
                  <c:v>39,01</c:v>
                </c:pt>
                <c:pt idx="7">
                  <c:v>39,01</c:v>
                </c:pt>
                <c:pt idx="8">
                  <c:v>39,01</c:v>
                </c:pt>
                <c:pt idx="9">
                  <c:v>39,01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PainelDeVariaveis!$F$54:$F$74</c:f>
              <c:numCache>
                <c:formatCode>0.00</c:formatCode>
                <c:ptCount val="21"/>
                <c:pt idx="0">
                  <c:v>39.008110677131597</c:v>
                </c:pt>
                <c:pt idx="1">
                  <c:v>39.008110677131597</c:v>
                </c:pt>
                <c:pt idx="2">
                  <c:v>39.008110677131597</c:v>
                </c:pt>
                <c:pt idx="3">
                  <c:v>39.008110677131597</c:v>
                </c:pt>
                <c:pt idx="4">
                  <c:v>39.008110677131597</c:v>
                </c:pt>
                <c:pt idx="5">
                  <c:v>39.008110677131597</c:v>
                </c:pt>
                <c:pt idx="6">
                  <c:v>39.008110677131597</c:v>
                </c:pt>
                <c:pt idx="7">
                  <c:v>39.008110677131597</c:v>
                </c:pt>
                <c:pt idx="8">
                  <c:v>39.008110677131597</c:v>
                </c:pt>
                <c:pt idx="9">
                  <c:v>39.008110677131597</c:v>
                </c:pt>
                <c:pt idx="10">
                  <c:v>39.008110677131597</c:v>
                </c:pt>
                <c:pt idx="11">
                  <c:v>39.008110677131597</c:v>
                </c:pt>
                <c:pt idx="12">
                  <c:v>39.008110677131597</c:v>
                </c:pt>
                <c:pt idx="13">
                  <c:v>39.008110677131597</c:v>
                </c:pt>
                <c:pt idx="14">
                  <c:v>39.008110677131597</c:v>
                </c:pt>
                <c:pt idx="15">
                  <c:v>39.008110677131597</c:v>
                </c:pt>
                <c:pt idx="16">
                  <c:v>39.008110677131597</c:v>
                </c:pt>
                <c:pt idx="17">
                  <c:v>39.008110677131597</c:v>
                </c:pt>
                <c:pt idx="18">
                  <c:v>39.008110677131597</c:v>
                </c:pt>
                <c:pt idx="19">
                  <c:v>39.008110677131597</c:v>
                </c:pt>
                <c:pt idx="20">
                  <c:v>39.008110677131597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BB-4B63-B75D-B7228D0DC975}"/>
            </c:ext>
          </c:extLst>
        </c:ser>
        <c:ser>
          <c:idx val="4"/>
          <c:order val="4"/>
          <c:tx>
            <c:strRef>
              <c:f>PainelDeVariaveis!$G$44:$G$53</c:f>
              <c:strCache>
                <c:ptCount val="10"/>
                <c:pt idx="0">
                  <c:v>LMC</c:v>
                </c:pt>
                <c:pt idx="1">
                  <c:v>3,92</c:v>
                </c:pt>
                <c:pt idx="2">
                  <c:v>3,92</c:v>
                </c:pt>
                <c:pt idx="3">
                  <c:v>57,63</c:v>
                </c:pt>
                <c:pt idx="4">
                  <c:v>57,63</c:v>
                </c:pt>
                <c:pt idx="5">
                  <c:v>57,63</c:v>
                </c:pt>
                <c:pt idx="6">
                  <c:v>57,63</c:v>
                </c:pt>
                <c:pt idx="7">
                  <c:v>57,63</c:v>
                </c:pt>
                <c:pt idx="8">
                  <c:v>57,63</c:v>
                </c:pt>
                <c:pt idx="9">
                  <c:v>57,63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BB-4B63-B75D-B7228D0DC97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PainelDeVariaveis!$G$54:$G$74</c:f>
              <c:numCache>
                <c:formatCode>0.00</c:formatCode>
                <c:ptCount val="21"/>
                <c:pt idx="0">
                  <c:v>57.631578947368418</c:v>
                </c:pt>
                <c:pt idx="1">
                  <c:v>57.631578947368418</c:v>
                </c:pt>
                <c:pt idx="2">
                  <c:v>57.631578947368418</c:v>
                </c:pt>
                <c:pt idx="3">
                  <c:v>57.631578947368418</c:v>
                </c:pt>
                <c:pt idx="4">
                  <c:v>57.631578947368418</c:v>
                </c:pt>
                <c:pt idx="5">
                  <c:v>57.631578947368418</c:v>
                </c:pt>
                <c:pt idx="6">
                  <c:v>57.631578947368418</c:v>
                </c:pt>
                <c:pt idx="7">
                  <c:v>57.631578947368418</c:v>
                </c:pt>
                <c:pt idx="8">
                  <c:v>57.631578947368418</c:v>
                </c:pt>
                <c:pt idx="9">
                  <c:v>57.631578947368418</c:v>
                </c:pt>
                <c:pt idx="10">
                  <c:v>57.631578947368418</c:v>
                </c:pt>
                <c:pt idx="11">
                  <c:v>57.631578947368418</c:v>
                </c:pt>
                <c:pt idx="12">
                  <c:v>57.631578947368418</c:v>
                </c:pt>
                <c:pt idx="13">
                  <c:v>57.631578947368418</c:v>
                </c:pt>
                <c:pt idx="14">
                  <c:v>57.631578947368418</c:v>
                </c:pt>
                <c:pt idx="15">
                  <c:v>57.631578947368418</c:v>
                </c:pt>
                <c:pt idx="16">
                  <c:v>57.631578947368418</c:v>
                </c:pt>
                <c:pt idx="17">
                  <c:v>57.631578947368418</c:v>
                </c:pt>
                <c:pt idx="18">
                  <c:v>57.631578947368418</c:v>
                </c:pt>
                <c:pt idx="19">
                  <c:v>57.631578947368418</c:v>
                </c:pt>
                <c:pt idx="20">
                  <c:v>57.631578947368418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BB-4B63-B75D-B7228D0DC975}"/>
            </c:ext>
          </c:extLst>
        </c:ser>
        <c:ser>
          <c:idx val="5"/>
          <c:order val="5"/>
          <c:tx>
            <c:strRef>
              <c:f>PainelDeVariaveis!$H$44:$H$53</c:f>
              <c:strCache>
                <c:ptCount val="10"/>
                <c:pt idx="0">
                  <c:v>L1S</c:v>
                </c:pt>
                <c:pt idx="1">
                  <c:v>6,39</c:v>
                </c:pt>
                <c:pt idx="2">
                  <c:v>6,39</c:v>
                </c:pt>
                <c:pt idx="3">
                  <c:v>76,26</c:v>
                </c:pt>
                <c:pt idx="4">
                  <c:v>76,26</c:v>
                </c:pt>
                <c:pt idx="5">
                  <c:v>76,26</c:v>
                </c:pt>
                <c:pt idx="6">
                  <c:v>76,26</c:v>
                </c:pt>
                <c:pt idx="7">
                  <c:v>76,26</c:v>
                </c:pt>
                <c:pt idx="8">
                  <c:v>76,26</c:v>
                </c:pt>
                <c:pt idx="9">
                  <c:v>76,26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PainelDeVariaveis!$H$54:$H$74</c:f>
              <c:numCache>
                <c:formatCode>0.00</c:formatCode>
                <c:ptCount val="21"/>
                <c:pt idx="0">
                  <c:v>76.255047217605238</c:v>
                </c:pt>
                <c:pt idx="1">
                  <c:v>76.255047217605238</c:v>
                </c:pt>
                <c:pt idx="2">
                  <c:v>76.255047217605238</c:v>
                </c:pt>
                <c:pt idx="3">
                  <c:v>76.255047217605238</c:v>
                </c:pt>
                <c:pt idx="4">
                  <c:v>76.255047217605238</c:v>
                </c:pt>
                <c:pt idx="5">
                  <c:v>76.255047217605238</c:v>
                </c:pt>
                <c:pt idx="6">
                  <c:v>76.255047217605238</c:v>
                </c:pt>
                <c:pt idx="7">
                  <c:v>76.255047217605238</c:v>
                </c:pt>
                <c:pt idx="8">
                  <c:v>76.255047217605238</c:v>
                </c:pt>
                <c:pt idx="9">
                  <c:v>76.255047217605238</c:v>
                </c:pt>
                <c:pt idx="10">
                  <c:v>76.255047217605238</c:v>
                </c:pt>
                <c:pt idx="11">
                  <c:v>76.255047217605238</c:v>
                </c:pt>
                <c:pt idx="12">
                  <c:v>76.255047217605238</c:v>
                </c:pt>
                <c:pt idx="13">
                  <c:v>76.255047217605238</c:v>
                </c:pt>
                <c:pt idx="14">
                  <c:v>76.255047217605238</c:v>
                </c:pt>
                <c:pt idx="15">
                  <c:v>76.255047217605238</c:v>
                </c:pt>
                <c:pt idx="16">
                  <c:v>76.255047217605238</c:v>
                </c:pt>
                <c:pt idx="17">
                  <c:v>76.255047217605238</c:v>
                </c:pt>
                <c:pt idx="18">
                  <c:v>76.255047217605238</c:v>
                </c:pt>
                <c:pt idx="19">
                  <c:v>76.255047217605238</c:v>
                </c:pt>
                <c:pt idx="20">
                  <c:v>76.255047217605238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BB-4B63-B75D-B7228D0DC975}"/>
            </c:ext>
          </c:extLst>
        </c:ser>
        <c:ser>
          <c:idx val="6"/>
          <c:order val="6"/>
          <c:tx>
            <c:strRef>
              <c:f>PainelDeVariaveis!$I$44:$I$53</c:f>
              <c:strCache>
                <c:ptCount val="10"/>
                <c:pt idx="0">
                  <c:v>L2S</c:v>
                </c:pt>
                <c:pt idx="1">
                  <c:v>8,85</c:v>
                </c:pt>
                <c:pt idx="2">
                  <c:v>8,85</c:v>
                </c:pt>
                <c:pt idx="3">
                  <c:v>94,88</c:v>
                </c:pt>
                <c:pt idx="4">
                  <c:v>94,88</c:v>
                </c:pt>
                <c:pt idx="5">
                  <c:v>94,88</c:v>
                </c:pt>
                <c:pt idx="6">
                  <c:v>94,88</c:v>
                </c:pt>
                <c:pt idx="7">
                  <c:v>94,88</c:v>
                </c:pt>
                <c:pt idx="8">
                  <c:v>94,88</c:v>
                </c:pt>
                <c:pt idx="9">
                  <c:v>94,88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PainelDeVariaveis!$I$54:$I$74</c:f>
              <c:numCache>
                <c:formatCode>0.00</c:formatCode>
                <c:ptCount val="21"/>
                <c:pt idx="0">
                  <c:v>94.878515487842066</c:v>
                </c:pt>
                <c:pt idx="1">
                  <c:v>94.878515487842066</c:v>
                </c:pt>
                <c:pt idx="2">
                  <c:v>94.878515487842066</c:v>
                </c:pt>
                <c:pt idx="3">
                  <c:v>94.878515487842066</c:v>
                </c:pt>
                <c:pt idx="4">
                  <c:v>94.878515487842066</c:v>
                </c:pt>
                <c:pt idx="5">
                  <c:v>94.878515487842066</c:v>
                </c:pt>
                <c:pt idx="6">
                  <c:v>94.878515487842066</c:v>
                </c:pt>
                <c:pt idx="7">
                  <c:v>94.878515487842066</c:v>
                </c:pt>
                <c:pt idx="8">
                  <c:v>94.878515487842066</c:v>
                </c:pt>
                <c:pt idx="9">
                  <c:v>94.878515487842066</c:v>
                </c:pt>
                <c:pt idx="10">
                  <c:v>94.878515487842066</c:v>
                </c:pt>
                <c:pt idx="11">
                  <c:v>94.878515487842066</c:v>
                </c:pt>
                <c:pt idx="12">
                  <c:v>94.878515487842066</c:v>
                </c:pt>
                <c:pt idx="13">
                  <c:v>94.878515487842066</c:v>
                </c:pt>
                <c:pt idx="14">
                  <c:v>94.878515487842066</c:v>
                </c:pt>
                <c:pt idx="15">
                  <c:v>94.878515487842066</c:v>
                </c:pt>
                <c:pt idx="16">
                  <c:v>94.878515487842066</c:v>
                </c:pt>
                <c:pt idx="17">
                  <c:v>94.878515487842066</c:v>
                </c:pt>
                <c:pt idx="18">
                  <c:v>94.878515487842066</c:v>
                </c:pt>
                <c:pt idx="19">
                  <c:v>94.878515487842066</c:v>
                </c:pt>
                <c:pt idx="20">
                  <c:v>94.878515487842066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BB-4B63-B75D-B7228D0DC975}"/>
            </c:ext>
          </c:extLst>
        </c:ser>
        <c:ser>
          <c:idx val="7"/>
          <c:order val="7"/>
          <c:tx>
            <c:strRef>
              <c:f>PainelDeVariaveis!$J$44:$J$53</c:f>
              <c:strCache>
                <c:ptCount val="10"/>
                <c:pt idx="0">
                  <c:v>LSC</c:v>
                </c:pt>
                <c:pt idx="1">
                  <c:v>11,32</c:v>
                </c:pt>
                <c:pt idx="2">
                  <c:v>11,32</c:v>
                </c:pt>
                <c:pt idx="3">
                  <c:v>113,50</c:v>
                </c:pt>
                <c:pt idx="4">
                  <c:v>113,50</c:v>
                </c:pt>
                <c:pt idx="5">
                  <c:v>113,50</c:v>
                </c:pt>
                <c:pt idx="6">
                  <c:v>113,50</c:v>
                </c:pt>
                <c:pt idx="7">
                  <c:v>113,50</c:v>
                </c:pt>
                <c:pt idx="8">
                  <c:v>113,50</c:v>
                </c:pt>
                <c:pt idx="9">
                  <c:v>113,50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BB-4B63-B75D-B7228D0DC97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PainelDeVariaveis!$B$54:$B$74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PainelDeVariaveis!$J$54:$J$74</c:f>
              <c:numCache>
                <c:formatCode>0.00</c:formatCode>
                <c:ptCount val="21"/>
                <c:pt idx="0">
                  <c:v>113.50198375807889</c:v>
                </c:pt>
                <c:pt idx="1">
                  <c:v>113.50198375807889</c:v>
                </c:pt>
                <c:pt idx="2">
                  <c:v>113.50198375807889</c:v>
                </c:pt>
                <c:pt idx="3">
                  <c:v>113.50198375807889</c:v>
                </c:pt>
                <c:pt idx="4">
                  <c:v>113.50198375807889</c:v>
                </c:pt>
                <c:pt idx="5">
                  <c:v>113.50198375807889</c:v>
                </c:pt>
                <c:pt idx="6">
                  <c:v>113.50198375807889</c:v>
                </c:pt>
                <c:pt idx="7">
                  <c:v>113.50198375807889</c:v>
                </c:pt>
                <c:pt idx="8">
                  <c:v>113.50198375807889</c:v>
                </c:pt>
                <c:pt idx="9">
                  <c:v>113.50198375807889</c:v>
                </c:pt>
                <c:pt idx="10">
                  <c:v>113.50198375807889</c:v>
                </c:pt>
                <c:pt idx="11">
                  <c:v>113.50198375807889</c:v>
                </c:pt>
                <c:pt idx="12">
                  <c:v>113.50198375807889</c:v>
                </c:pt>
                <c:pt idx="13">
                  <c:v>113.50198375807889</c:v>
                </c:pt>
                <c:pt idx="14">
                  <c:v>113.50198375807889</c:v>
                </c:pt>
                <c:pt idx="15">
                  <c:v>113.50198375807889</c:v>
                </c:pt>
                <c:pt idx="16">
                  <c:v>113.50198375807889</c:v>
                </c:pt>
                <c:pt idx="17">
                  <c:v>113.50198375807889</c:v>
                </c:pt>
                <c:pt idx="18">
                  <c:v>113.50198375807889</c:v>
                </c:pt>
                <c:pt idx="19">
                  <c:v>113.50198375807889</c:v>
                </c:pt>
                <c:pt idx="20">
                  <c:v>113.50198375807889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BB-4B63-B75D-B7228D0DC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214544"/>
        <c:axId val="479221264"/>
      </c:lineChart>
      <c:dateAx>
        <c:axId val="479214544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9221264"/>
        <c:crosses val="autoZero"/>
        <c:auto val="1"/>
        <c:lblOffset val="100"/>
        <c:baseTimeUnit val="months"/>
      </c:dateAx>
      <c:valAx>
        <c:axId val="47922126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921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V03 - SM4M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PainelDeVariaveis!$C$81:$C$90</c:f>
              <c:strCache>
                <c:ptCount val="10"/>
                <c:pt idx="0">
                  <c:v>Apurado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PainelDeVariaveis!$C$91:$C$111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E-45DF-96F6-65B0CF8CC49A}"/>
            </c:ext>
          </c:extLst>
        </c:ser>
        <c:ser>
          <c:idx val="1"/>
          <c:order val="1"/>
          <c:tx>
            <c:strRef>
              <c:f>PainelDeVariaveis!$D$81:$D$90</c:f>
              <c:strCache>
                <c:ptCount val="10"/>
                <c:pt idx="0">
                  <c:v>LIC</c:v>
                </c:pt>
                <c:pt idx="1">
                  <c:v>-3,47</c:v>
                </c:pt>
                <c:pt idx="2">
                  <c:v>-3,47</c:v>
                </c:pt>
                <c:pt idx="3">
                  <c:v>-1,67</c:v>
                </c:pt>
                <c:pt idx="4">
                  <c:v>-1,67</c:v>
                </c:pt>
                <c:pt idx="5">
                  <c:v>-1,67</c:v>
                </c:pt>
                <c:pt idx="6">
                  <c:v>-1,67</c:v>
                </c:pt>
                <c:pt idx="7">
                  <c:v>-1,67</c:v>
                </c:pt>
                <c:pt idx="8">
                  <c:v>-1,67</c:v>
                </c:pt>
                <c:pt idx="9">
                  <c:v>-1,67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E5E-45DF-96F6-65B0CF8CC4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PainelDeVariaveis!$D$91:$D$111</c:f>
              <c:numCache>
                <c:formatCode>0.00</c:formatCode>
                <c:ptCount val="21"/>
                <c:pt idx="0">
                  <c:v>-1.669335348317321</c:v>
                </c:pt>
                <c:pt idx="1">
                  <c:v>-1.669335348317321</c:v>
                </c:pt>
                <c:pt idx="2">
                  <c:v>-1.669335348317321</c:v>
                </c:pt>
                <c:pt idx="3">
                  <c:v>-1.669335348317321</c:v>
                </c:pt>
                <c:pt idx="4">
                  <c:v>-1.669335348317321</c:v>
                </c:pt>
                <c:pt idx="5">
                  <c:v>-1.669335348317321</c:v>
                </c:pt>
                <c:pt idx="6">
                  <c:v>-1.669335348317321</c:v>
                </c:pt>
                <c:pt idx="7">
                  <c:v>-1.669335348317321</c:v>
                </c:pt>
                <c:pt idx="8">
                  <c:v>-1.669335348317321</c:v>
                </c:pt>
                <c:pt idx="9">
                  <c:v>-1.669335348317321</c:v>
                </c:pt>
                <c:pt idx="10">
                  <c:v>-1.669335348317321</c:v>
                </c:pt>
                <c:pt idx="11">
                  <c:v>-1.669335348317321</c:v>
                </c:pt>
                <c:pt idx="12">
                  <c:v>-1.669335348317321</c:v>
                </c:pt>
                <c:pt idx="13">
                  <c:v>-1.669335348317321</c:v>
                </c:pt>
                <c:pt idx="14">
                  <c:v>-1.669335348317321</c:v>
                </c:pt>
                <c:pt idx="15">
                  <c:v>-1.669335348317321</c:v>
                </c:pt>
                <c:pt idx="16">
                  <c:v>-1.669335348317321</c:v>
                </c:pt>
                <c:pt idx="17">
                  <c:v>-1.669335348317321</c:v>
                </c:pt>
                <c:pt idx="18">
                  <c:v>-1.669335348317321</c:v>
                </c:pt>
                <c:pt idx="19">
                  <c:v>-1.669335348317321</c:v>
                </c:pt>
                <c:pt idx="20">
                  <c:v>-1.669335348317321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5E-45DF-96F6-65B0CF8CC49A}"/>
            </c:ext>
          </c:extLst>
        </c:ser>
        <c:ser>
          <c:idx val="2"/>
          <c:order val="2"/>
          <c:tx>
            <c:strRef>
              <c:f>PainelDeVariaveis!$E$81:$E$90</c:f>
              <c:strCache>
                <c:ptCount val="10"/>
                <c:pt idx="0">
                  <c:v>L2I</c:v>
                </c:pt>
                <c:pt idx="1">
                  <c:v>-1,01</c:v>
                </c:pt>
                <c:pt idx="2">
                  <c:v>-1,01</c:v>
                </c:pt>
                <c:pt idx="3">
                  <c:v>-0,64</c:v>
                </c:pt>
                <c:pt idx="4">
                  <c:v>-0,64</c:v>
                </c:pt>
                <c:pt idx="5">
                  <c:v>-0,64</c:v>
                </c:pt>
                <c:pt idx="6">
                  <c:v>-0,64</c:v>
                </c:pt>
                <c:pt idx="7">
                  <c:v>-0,64</c:v>
                </c:pt>
                <c:pt idx="8">
                  <c:v>-0,64</c:v>
                </c:pt>
                <c:pt idx="9">
                  <c:v>-0,64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PainelDeVariaveis!$E$91:$E$111</c:f>
              <c:numCache>
                <c:formatCode>0.00</c:formatCode>
                <c:ptCount val="21"/>
                <c:pt idx="0">
                  <c:v>-0.63920602168523155</c:v>
                </c:pt>
                <c:pt idx="1">
                  <c:v>-0.63920602168523155</c:v>
                </c:pt>
                <c:pt idx="2">
                  <c:v>-0.63920602168523155</c:v>
                </c:pt>
                <c:pt idx="3">
                  <c:v>-0.63920602168523155</c:v>
                </c:pt>
                <c:pt idx="4">
                  <c:v>-0.63920602168523155</c:v>
                </c:pt>
                <c:pt idx="5">
                  <c:v>-0.63920602168523155</c:v>
                </c:pt>
                <c:pt idx="6">
                  <c:v>-0.63920602168523155</c:v>
                </c:pt>
                <c:pt idx="7">
                  <c:v>-0.63920602168523155</c:v>
                </c:pt>
                <c:pt idx="8">
                  <c:v>-0.63920602168523155</c:v>
                </c:pt>
                <c:pt idx="9">
                  <c:v>-0.63920602168523155</c:v>
                </c:pt>
                <c:pt idx="10">
                  <c:v>-0.63920602168523155</c:v>
                </c:pt>
                <c:pt idx="11">
                  <c:v>-0.63920602168523155</c:v>
                </c:pt>
                <c:pt idx="12">
                  <c:v>-0.63920602168523155</c:v>
                </c:pt>
                <c:pt idx="13">
                  <c:v>-0.63920602168523155</c:v>
                </c:pt>
                <c:pt idx="14">
                  <c:v>-0.63920602168523155</c:v>
                </c:pt>
                <c:pt idx="15">
                  <c:v>-0.63920602168523155</c:v>
                </c:pt>
                <c:pt idx="16">
                  <c:v>-0.63920602168523155</c:v>
                </c:pt>
                <c:pt idx="17">
                  <c:v>-0.63920602168523155</c:v>
                </c:pt>
                <c:pt idx="18">
                  <c:v>-0.63920602168523155</c:v>
                </c:pt>
                <c:pt idx="19">
                  <c:v>-0.63920602168523155</c:v>
                </c:pt>
                <c:pt idx="20">
                  <c:v>-0.63920602168523155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5E-45DF-96F6-65B0CF8CC49A}"/>
            </c:ext>
          </c:extLst>
        </c:ser>
        <c:ser>
          <c:idx val="3"/>
          <c:order val="3"/>
          <c:tx>
            <c:strRef>
              <c:f>PainelDeVariaveis!$F$81:$F$90</c:f>
              <c:strCache>
                <c:ptCount val="10"/>
                <c:pt idx="0">
                  <c:v>L1I</c:v>
                </c:pt>
                <c:pt idx="1">
                  <c:v>1,46</c:v>
                </c:pt>
                <c:pt idx="2">
                  <c:v>1,46</c:v>
                </c:pt>
                <c:pt idx="3">
                  <c:v>0,39</c:v>
                </c:pt>
                <c:pt idx="4">
                  <c:v>0,39</c:v>
                </c:pt>
                <c:pt idx="5">
                  <c:v>0,39</c:v>
                </c:pt>
                <c:pt idx="6">
                  <c:v>0,39</c:v>
                </c:pt>
                <c:pt idx="7">
                  <c:v>0,39</c:v>
                </c:pt>
                <c:pt idx="8">
                  <c:v>0,39</c:v>
                </c:pt>
                <c:pt idx="9">
                  <c:v>0,39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PainelDeVariaveis!$F$91:$F$111</c:f>
              <c:numCache>
                <c:formatCode>0.00</c:formatCode>
                <c:ptCount val="21"/>
                <c:pt idx="0">
                  <c:v>0.3909233049468579</c:v>
                </c:pt>
                <c:pt idx="1">
                  <c:v>0.3909233049468579</c:v>
                </c:pt>
                <c:pt idx="2">
                  <c:v>0.3909233049468579</c:v>
                </c:pt>
                <c:pt idx="3">
                  <c:v>0.3909233049468579</c:v>
                </c:pt>
                <c:pt idx="4">
                  <c:v>0.3909233049468579</c:v>
                </c:pt>
                <c:pt idx="5">
                  <c:v>0.3909233049468579</c:v>
                </c:pt>
                <c:pt idx="6">
                  <c:v>0.3909233049468579</c:v>
                </c:pt>
                <c:pt idx="7">
                  <c:v>0.3909233049468579</c:v>
                </c:pt>
                <c:pt idx="8">
                  <c:v>0.3909233049468579</c:v>
                </c:pt>
                <c:pt idx="9">
                  <c:v>0.3909233049468579</c:v>
                </c:pt>
                <c:pt idx="10">
                  <c:v>0.3909233049468579</c:v>
                </c:pt>
                <c:pt idx="11">
                  <c:v>0.3909233049468579</c:v>
                </c:pt>
                <c:pt idx="12">
                  <c:v>0.3909233049468579</c:v>
                </c:pt>
                <c:pt idx="13">
                  <c:v>0.3909233049468579</c:v>
                </c:pt>
                <c:pt idx="14">
                  <c:v>0.3909233049468579</c:v>
                </c:pt>
                <c:pt idx="15">
                  <c:v>0.3909233049468579</c:v>
                </c:pt>
                <c:pt idx="16">
                  <c:v>0.3909233049468579</c:v>
                </c:pt>
                <c:pt idx="17">
                  <c:v>0.3909233049468579</c:v>
                </c:pt>
                <c:pt idx="18">
                  <c:v>0.3909233049468579</c:v>
                </c:pt>
                <c:pt idx="19">
                  <c:v>0.3909233049468579</c:v>
                </c:pt>
                <c:pt idx="20">
                  <c:v>0.3909233049468579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5E-45DF-96F6-65B0CF8CC49A}"/>
            </c:ext>
          </c:extLst>
        </c:ser>
        <c:ser>
          <c:idx val="4"/>
          <c:order val="4"/>
          <c:tx>
            <c:strRef>
              <c:f>PainelDeVariaveis!$G$81:$G$90</c:f>
              <c:strCache>
                <c:ptCount val="10"/>
                <c:pt idx="0">
                  <c:v>LMC</c:v>
                </c:pt>
                <c:pt idx="1">
                  <c:v>3,92</c:v>
                </c:pt>
                <c:pt idx="2">
                  <c:v>3,92</c:v>
                </c:pt>
                <c:pt idx="3">
                  <c:v>1,42</c:v>
                </c:pt>
                <c:pt idx="4">
                  <c:v>1,42</c:v>
                </c:pt>
                <c:pt idx="5">
                  <c:v>1,42</c:v>
                </c:pt>
                <c:pt idx="6">
                  <c:v>1,42</c:v>
                </c:pt>
                <c:pt idx="7">
                  <c:v>1,42</c:v>
                </c:pt>
                <c:pt idx="8">
                  <c:v>1,42</c:v>
                </c:pt>
                <c:pt idx="9">
                  <c:v>1,42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E5E-45DF-96F6-65B0CF8CC4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PainelDeVariaveis!$G$91:$G$111</c:f>
              <c:numCache>
                <c:formatCode>0.00</c:formatCode>
                <c:ptCount val="21"/>
                <c:pt idx="0">
                  <c:v>1.4210526315789473</c:v>
                </c:pt>
                <c:pt idx="1">
                  <c:v>1.4210526315789473</c:v>
                </c:pt>
                <c:pt idx="2">
                  <c:v>1.4210526315789473</c:v>
                </c:pt>
                <c:pt idx="3">
                  <c:v>1.4210526315789473</c:v>
                </c:pt>
                <c:pt idx="4">
                  <c:v>1.4210526315789473</c:v>
                </c:pt>
                <c:pt idx="5">
                  <c:v>1.4210526315789473</c:v>
                </c:pt>
                <c:pt idx="6">
                  <c:v>1.4210526315789473</c:v>
                </c:pt>
                <c:pt idx="7">
                  <c:v>1.4210526315789473</c:v>
                </c:pt>
                <c:pt idx="8">
                  <c:v>1.4210526315789473</c:v>
                </c:pt>
                <c:pt idx="9">
                  <c:v>1.4210526315789473</c:v>
                </c:pt>
                <c:pt idx="10">
                  <c:v>1.4210526315789473</c:v>
                </c:pt>
                <c:pt idx="11">
                  <c:v>1.4210526315789473</c:v>
                </c:pt>
                <c:pt idx="12">
                  <c:v>1.4210526315789473</c:v>
                </c:pt>
                <c:pt idx="13">
                  <c:v>1.4210526315789473</c:v>
                </c:pt>
                <c:pt idx="14">
                  <c:v>1.4210526315789473</c:v>
                </c:pt>
                <c:pt idx="15">
                  <c:v>1.4210526315789473</c:v>
                </c:pt>
                <c:pt idx="16">
                  <c:v>1.4210526315789473</c:v>
                </c:pt>
                <c:pt idx="17">
                  <c:v>1.4210526315789473</c:v>
                </c:pt>
                <c:pt idx="18">
                  <c:v>1.4210526315789473</c:v>
                </c:pt>
                <c:pt idx="19">
                  <c:v>1.4210526315789473</c:v>
                </c:pt>
                <c:pt idx="20">
                  <c:v>1.4210526315789473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5E-45DF-96F6-65B0CF8CC49A}"/>
            </c:ext>
          </c:extLst>
        </c:ser>
        <c:ser>
          <c:idx val="5"/>
          <c:order val="5"/>
          <c:tx>
            <c:strRef>
              <c:f>PainelDeVariaveis!$H$81:$H$90</c:f>
              <c:strCache>
                <c:ptCount val="10"/>
                <c:pt idx="0">
                  <c:v>L1S</c:v>
                </c:pt>
                <c:pt idx="1">
                  <c:v>6,39</c:v>
                </c:pt>
                <c:pt idx="2">
                  <c:v>6,39</c:v>
                </c:pt>
                <c:pt idx="3">
                  <c:v>2,45</c:v>
                </c:pt>
                <c:pt idx="4">
                  <c:v>2,45</c:v>
                </c:pt>
                <c:pt idx="5">
                  <c:v>2,45</c:v>
                </c:pt>
                <c:pt idx="6">
                  <c:v>2,45</c:v>
                </c:pt>
                <c:pt idx="7">
                  <c:v>2,45</c:v>
                </c:pt>
                <c:pt idx="8">
                  <c:v>2,45</c:v>
                </c:pt>
                <c:pt idx="9">
                  <c:v>2,45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PainelDeVariaveis!$H$91:$H$111</c:f>
              <c:numCache>
                <c:formatCode>0.00</c:formatCode>
                <c:ptCount val="21"/>
                <c:pt idx="0">
                  <c:v>2.4511819582110368</c:v>
                </c:pt>
                <c:pt idx="1">
                  <c:v>2.4511819582110368</c:v>
                </c:pt>
                <c:pt idx="2">
                  <c:v>2.4511819582110368</c:v>
                </c:pt>
                <c:pt idx="3">
                  <c:v>2.4511819582110368</c:v>
                </c:pt>
                <c:pt idx="4">
                  <c:v>2.4511819582110368</c:v>
                </c:pt>
                <c:pt idx="5">
                  <c:v>2.4511819582110368</c:v>
                </c:pt>
                <c:pt idx="6">
                  <c:v>2.4511819582110368</c:v>
                </c:pt>
                <c:pt idx="7">
                  <c:v>2.4511819582110368</c:v>
                </c:pt>
                <c:pt idx="8">
                  <c:v>2.4511819582110368</c:v>
                </c:pt>
                <c:pt idx="9">
                  <c:v>2.4511819582110368</c:v>
                </c:pt>
                <c:pt idx="10">
                  <c:v>2.4511819582110368</c:v>
                </c:pt>
                <c:pt idx="11">
                  <c:v>2.4511819582110368</c:v>
                </c:pt>
                <c:pt idx="12">
                  <c:v>2.4511819582110368</c:v>
                </c:pt>
                <c:pt idx="13">
                  <c:v>2.4511819582110368</c:v>
                </c:pt>
                <c:pt idx="14">
                  <c:v>2.4511819582110368</c:v>
                </c:pt>
                <c:pt idx="15">
                  <c:v>2.4511819582110368</c:v>
                </c:pt>
                <c:pt idx="16">
                  <c:v>2.4511819582110368</c:v>
                </c:pt>
                <c:pt idx="17">
                  <c:v>2.4511819582110368</c:v>
                </c:pt>
                <c:pt idx="18">
                  <c:v>2.4511819582110368</c:v>
                </c:pt>
                <c:pt idx="19">
                  <c:v>2.4511819582110368</c:v>
                </c:pt>
                <c:pt idx="20">
                  <c:v>2.4511819582110368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5E-45DF-96F6-65B0CF8CC49A}"/>
            </c:ext>
          </c:extLst>
        </c:ser>
        <c:ser>
          <c:idx val="6"/>
          <c:order val="6"/>
          <c:tx>
            <c:strRef>
              <c:f>PainelDeVariaveis!$I$81:$I$90</c:f>
              <c:strCache>
                <c:ptCount val="10"/>
                <c:pt idx="0">
                  <c:v>L2S</c:v>
                </c:pt>
                <c:pt idx="1">
                  <c:v>8,85</c:v>
                </c:pt>
                <c:pt idx="2">
                  <c:v>8,85</c:v>
                </c:pt>
                <c:pt idx="3">
                  <c:v>3,48</c:v>
                </c:pt>
                <c:pt idx="4">
                  <c:v>3,48</c:v>
                </c:pt>
                <c:pt idx="5">
                  <c:v>3,48</c:v>
                </c:pt>
                <c:pt idx="6">
                  <c:v>3,48</c:v>
                </c:pt>
                <c:pt idx="7">
                  <c:v>3,48</c:v>
                </c:pt>
                <c:pt idx="8">
                  <c:v>3,48</c:v>
                </c:pt>
                <c:pt idx="9">
                  <c:v>3,48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PainelDeVariaveis!$I$91:$I$111</c:f>
              <c:numCache>
                <c:formatCode>0.00</c:formatCode>
                <c:ptCount val="21"/>
                <c:pt idx="0">
                  <c:v>3.4813112848431262</c:v>
                </c:pt>
                <c:pt idx="1">
                  <c:v>3.4813112848431262</c:v>
                </c:pt>
                <c:pt idx="2">
                  <c:v>3.4813112848431262</c:v>
                </c:pt>
                <c:pt idx="3">
                  <c:v>3.4813112848431262</c:v>
                </c:pt>
                <c:pt idx="4">
                  <c:v>3.4813112848431262</c:v>
                </c:pt>
                <c:pt idx="5">
                  <c:v>3.4813112848431262</c:v>
                </c:pt>
                <c:pt idx="6">
                  <c:v>3.4813112848431262</c:v>
                </c:pt>
                <c:pt idx="7">
                  <c:v>3.4813112848431262</c:v>
                </c:pt>
                <c:pt idx="8">
                  <c:v>3.4813112848431262</c:v>
                </c:pt>
                <c:pt idx="9">
                  <c:v>3.4813112848431262</c:v>
                </c:pt>
                <c:pt idx="10">
                  <c:v>3.4813112848431262</c:v>
                </c:pt>
                <c:pt idx="11">
                  <c:v>3.4813112848431262</c:v>
                </c:pt>
                <c:pt idx="12">
                  <c:v>3.4813112848431262</c:v>
                </c:pt>
                <c:pt idx="13">
                  <c:v>3.4813112848431262</c:v>
                </c:pt>
                <c:pt idx="14">
                  <c:v>3.4813112848431262</c:v>
                </c:pt>
                <c:pt idx="15">
                  <c:v>3.4813112848431262</c:v>
                </c:pt>
                <c:pt idx="16">
                  <c:v>3.4813112848431262</c:v>
                </c:pt>
                <c:pt idx="17">
                  <c:v>3.4813112848431262</c:v>
                </c:pt>
                <c:pt idx="18">
                  <c:v>3.4813112848431262</c:v>
                </c:pt>
                <c:pt idx="19">
                  <c:v>3.4813112848431262</c:v>
                </c:pt>
                <c:pt idx="20">
                  <c:v>3.4813112848431262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5E-45DF-96F6-65B0CF8CC49A}"/>
            </c:ext>
          </c:extLst>
        </c:ser>
        <c:ser>
          <c:idx val="7"/>
          <c:order val="7"/>
          <c:tx>
            <c:strRef>
              <c:f>PainelDeVariaveis!$J$81:$J$90</c:f>
              <c:strCache>
                <c:ptCount val="10"/>
                <c:pt idx="0">
                  <c:v>LSC</c:v>
                </c:pt>
                <c:pt idx="1">
                  <c:v>11,32</c:v>
                </c:pt>
                <c:pt idx="2">
                  <c:v>11,32</c:v>
                </c:pt>
                <c:pt idx="3">
                  <c:v>4,51</c:v>
                </c:pt>
                <c:pt idx="4">
                  <c:v>4,51</c:v>
                </c:pt>
                <c:pt idx="5">
                  <c:v>4,51</c:v>
                </c:pt>
                <c:pt idx="6">
                  <c:v>4,51</c:v>
                </c:pt>
                <c:pt idx="7">
                  <c:v>4,51</c:v>
                </c:pt>
                <c:pt idx="8">
                  <c:v>4,51</c:v>
                </c:pt>
                <c:pt idx="9">
                  <c:v>4,51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E5E-45DF-96F6-65B0CF8CC4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PainelDeVariaveis!$J$91:$J$111</c:f>
              <c:numCache>
                <c:formatCode>0.00</c:formatCode>
                <c:ptCount val="21"/>
                <c:pt idx="0">
                  <c:v>4.5114406114752157</c:v>
                </c:pt>
                <c:pt idx="1">
                  <c:v>4.5114406114752157</c:v>
                </c:pt>
                <c:pt idx="2">
                  <c:v>4.5114406114752157</c:v>
                </c:pt>
                <c:pt idx="3">
                  <c:v>4.5114406114752157</c:v>
                </c:pt>
                <c:pt idx="4">
                  <c:v>4.5114406114752157</c:v>
                </c:pt>
                <c:pt idx="5">
                  <c:v>4.5114406114752157</c:v>
                </c:pt>
                <c:pt idx="6">
                  <c:v>4.5114406114752157</c:v>
                </c:pt>
                <c:pt idx="7">
                  <c:v>4.5114406114752157</c:v>
                </c:pt>
                <c:pt idx="8">
                  <c:v>4.5114406114752157</c:v>
                </c:pt>
                <c:pt idx="9">
                  <c:v>4.5114406114752157</c:v>
                </c:pt>
                <c:pt idx="10">
                  <c:v>4.5114406114752157</c:v>
                </c:pt>
                <c:pt idx="11">
                  <c:v>4.5114406114752157</c:v>
                </c:pt>
                <c:pt idx="12">
                  <c:v>4.5114406114752157</c:v>
                </c:pt>
                <c:pt idx="13">
                  <c:v>4.5114406114752157</c:v>
                </c:pt>
                <c:pt idx="14">
                  <c:v>4.5114406114752157</c:v>
                </c:pt>
                <c:pt idx="15">
                  <c:v>4.5114406114752157</c:v>
                </c:pt>
                <c:pt idx="16">
                  <c:v>4.5114406114752157</c:v>
                </c:pt>
                <c:pt idx="17">
                  <c:v>4.5114406114752157</c:v>
                </c:pt>
                <c:pt idx="18">
                  <c:v>4.5114406114752157</c:v>
                </c:pt>
                <c:pt idx="19">
                  <c:v>4.5114406114752157</c:v>
                </c:pt>
                <c:pt idx="20">
                  <c:v>4.5114406114752157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5E-45DF-96F6-65B0CF8CC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979919"/>
        <c:axId val="1064978959"/>
      </c:lineChart>
      <c:dateAx>
        <c:axId val="1064979919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4978959"/>
        <c:crosses val="autoZero"/>
        <c:auto val="1"/>
        <c:lblOffset val="100"/>
        <c:baseTimeUnit val="months"/>
      </c:dateAx>
      <c:valAx>
        <c:axId val="106497895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649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V03 - AM4M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PainelDeVariaveis!$K$81:$K$90</c:f>
              <c:strCache>
                <c:ptCount val="10"/>
                <c:pt idx="0">
                  <c:v>Apurado</c:v>
                </c:pt>
                <c:pt idx="1">
                  <c:v>0</c:v>
                </c:pt>
                <c:pt idx="2">
                  <c:v>-0,25</c:v>
                </c:pt>
                <c:pt idx="3">
                  <c:v>0,25</c:v>
                </c:pt>
                <c:pt idx="4">
                  <c:v>0</c:v>
                </c:pt>
                <c:pt idx="5">
                  <c:v>0,25</c:v>
                </c:pt>
                <c:pt idx="6">
                  <c:v>-0,25</c:v>
                </c:pt>
                <c:pt idx="7">
                  <c:v>-0,25</c:v>
                </c:pt>
                <c:pt idx="8">
                  <c:v>0</c:v>
                </c:pt>
                <c:pt idx="9">
                  <c:v>-0,25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PainelDeVariaveis!$K$91:$K$111</c:f>
              <c:numCache>
                <c:formatCode>General</c:formatCode>
                <c:ptCount val="21"/>
                <c:pt idx="0">
                  <c:v>-0.25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-0.25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0.25</c:v>
                </c:pt>
                <c:pt idx="15">
                  <c:v>-0.25</c:v>
                </c:pt>
                <c:pt idx="16">
                  <c:v>0</c:v>
                </c:pt>
                <c:pt idx="17">
                  <c:v>-0.25</c:v>
                </c:pt>
                <c:pt idx="18">
                  <c:v>-0.25</c:v>
                </c:pt>
                <c:pt idx="19">
                  <c:v>0</c:v>
                </c:pt>
                <c:pt idx="2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8B-4544-A88D-D926AD76F6D3}"/>
            </c:ext>
          </c:extLst>
        </c:ser>
        <c:ser>
          <c:idx val="1"/>
          <c:order val="1"/>
          <c:tx>
            <c:strRef>
              <c:f>PainelDeVariaveis!$L$81:$L$90</c:f>
              <c:strCache>
                <c:ptCount val="10"/>
                <c:pt idx="0">
                  <c:v>LIC</c:v>
                </c:pt>
                <c:pt idx="1">
                  <c:v>-0,998070834</c:v>
                </c:pt>
                <c:pt idx="2">
                  <c:v>-0,998070834</c:v>
                </c:pt>
                <c:pt idx="3">
                  <c:v>-0,614273365</c:v>
                </c:pt>
                <c:pt idx="4">
                  <c:v>-0,614273365</c:v>
                </c:pt>
                <c:pt idx="5">
                  <c:v>-0,614273365</c:v>
                </c:pt>
                <c:pt idx="6">
                  <c:v>-0,614273365</c:v>
                </c:pt>
                <c:pt idx="7">
                  <c:v>-0,614273365</c:v>
                </c:pt>
                <c:pt idx="8">
                  <c:v>-0,614273365</c:v>
                </c:pt>
                <c:pt idx="9">
                  <c:v>-0,614273365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08B-4544-A88D-D926AD76F6D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PainelDeVariaveis!$L$91:$L$111</c:f>
              <c:numCache>
                <c:formatCode>General</c:formatCode>
                <c:ptCount val="21"/>
                <c:pt idx="0">
                  <c:v>-0.61427336506398167</c:v>
                </c:pt>
                <c:pt idx="1">
                  <c:v>-0.61427336506398167</c:v>
                </c:pt>
                <c:pt idx="2">
                  <c:v>-0.61427336506398167</c:v>
                </c:pt>
                <c:pt idx="3">
                  <c:v>-0.61427336506398167</c:v>
                </c:pt>
                <c:pt idx="4">
                  <c:v>-0.61427336506398167</c:v>
                </c:pt>
                <c:pt idx="5">
                  <c:v>-0.61427336506398167</c:v>
                </c:pt>
                <c:pt idx="6">
                  <c:v>-0.61427336506398167</c:v>
                </c:pt>
                <c:pt idx="7">
                  <c:v>-0.61427336506398167</c:v>
                </c:pt>
                <c:pt idx="8">
                  <c:v>-0.61427336506398167</c:v>
                </c:pt>
                <c:pt idx="9">
                  <c:v>-0.61427336506398167</c:v>
                </c:pt>
                <c:pt idx="10">
                  <c:v>-0.61427336506398167</c:v>
                </c:pt>
                <c:pt idx="11">
                  <c:v>-0.61427336506398167</c:v>
                </c:pt>
                <c:pt idx="12">
                  <c:v>-0.61427336506398167</c:v>
                </c:pt>
                <c:pt idx="13">
                  <c:v>-0.61427336506398167</c:v>
                </c:pt>
                <c:pt idx="14">
                  <c:v>-0.61427336506398167</c:v>
                </c:pt>
                <c:pt idx="15">
                  <c:v>-0.61427336506398167</c:v>
                </c:pt>
                <c:pt idx="16">
                  <c:v>-0.61427336506398167</c:v>
                </c:pt>
                <c:pt idx="17">
                  <c:v>-0.61427336506398167</c:v>
                </c:pt>
                <c:pt idx="18">
                  <c:v>-0.61427336506398167</c:v>
                </c:pt>
                <c:pt idx="19">
                  <c:v>-0.61427336506398167</c:v>
                </c:pt>
                <c:pt idx="20">
                  <c:v>-0.61427336506398167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8B-4544-A88D-D926AD76F6D3}"/>
            </c:ext>
          </c:extLst>
        </c:ser>
        <c:ser>
          <c:idx val="2"/>
          <c:order val="2"/>
          <c:tx>
            <c:strRef>
              <c:f>PainelDeVariaveis!$M$81:$M$90</c:f>
              <c:strCache>
                <c:ptCount val="10"/>
                <c:pt idx="0">
                  <c:v>L2I</c:v>
                </c:pt>
                <c:pt idx="1">
                  <c:v>-0,650029679</c:v>
                </c:pt>
                <c:pt idx="2">
                  <c:v>-0,650029679</c:v>
                </c:pt>
                <c:pt idx="3">
                  <c:v>-0,405129612</c:v>
                </c:pt>
                <c:pt idx="4">
                  <c:v>-0,405129612</c:v>
                </c:pt>
                <c:pt idx="5">
                  <c:v>-0,405129612</c:v>
                </c:pt>
                <c:pt idx="6">
                  <c:v>-0,405129612</c:v>
                </c:pt>
                <c:pt idx="7">
                  <c:v>-0,405129612</c:v>
                </c:pt>
                <c:pt idx="8">
                  <c:v>-0,405129612</c:v>
                </c:pt>
                <c:pt idx="9">
                  <c:v>-0,405129612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PainelDeVariaveis!$M$91:$M$111</c:f>
              <c:numCache>
                <c:formatCode>General</c:formatCode>
                <c:ptCount val="21"/>
                <c:pt idx="0">
                  <c:v>-0.40512961179704049</c:v>
                </c:pt>
                <c:pt idx="1">
                  <c:v>-0.40512961179704049</c:v>
                </c:pt>
                <c:pt idx="2">
                  <c:v>-0.40512961179704049</c:v>
                </c:pt>
                <c:pt idx="3">
                  <c:v>-0.40512961179704049</c:v>
                </c:pt>
                <c:pt idx="4">
                  <c:v>-0.40512961179704049</c:v>
                </c:pt>
                <c:pt idx="5">
                  <c:v>-0.40512961179704049</c:v>
                </c:pt>
                <c:pt idx="6">
                  <c:v>-0.40512961179704049</c:v>
                </c:pt>
                <c:pt idx="7">
                  <c:v>-0.40512961179704049</c:v>
                </c:pt>
                <c:pt idx="8">
                  <c:v>-0.40512961179704049</c:v>
                </c:pt>
                <c:pt idx="9">
                  <c:v>-0.40512961179704049</c:v>
                </c:pt>
                <c:pt idx="10">
                  <c:v>-0.40512961179704049</c:v>
                </c:pt>
                <c:pt idx="11">
                  <c:v>-0.40512961179704049</c:v>
                </c:pt>
                <c:pt idx="12">
                  <c:v>-0.40512961179704049</c:v>
                </c:pt>
                <c:pt idx="13">
                  <c:v>-0.40512961179704049</c:v>
                </c:pt>
                <c:pt idx="14">
                  <c:v>-0.40512961179704049</c:v>
                </c:pt>
                <c:pt idx="15">
                  <c:v>-0.40512961179704049</c:v>
                </c:pt>
                <c:pt idx="16">
                  <c:v>-0.40512961179704049</c:v>
                </c:pt>
                <c:pt idx="17">
                  <c:v>-0.40512961179704049</c:v>
                </c:pt>
                <c:pt idx="18">
                  <c:v>-0.40512961179704049</c:v>
                </c:pt>
                <c:pt idx="19">
                  <c:v>-0.40512961179704049</c:v>
                </c:pt>
                <c:pt idx="20">
                  <c:v>-0.40512961179704049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8B-4544-A88D-D926AD76F6D3}"/>
            </c:ext>
          </c:extLst>
        </c:ser>
        <c:ser>
          <c:idx val="3"/>
          <c:order val="3"/>
          <c:tx>
            <c:strRef>
              <c:f>PainelDeVariaveis!$N$81:$N$90</c:f>
              <c:strCache>
                <c:ptCount val="10"/>
                <c:pt idx="0">
                  <c:v>L1I</c:v>
                </c:pt>
                <c:pt idx="1">
                  <c:v>-0,301988524</c:v>
                </c:pt>
                <c:pt idx="2">
                  <c:v>-0,301988524</c:v>
                </c:pt>
                <c:pt idx="3">
                  <c:v>-0,195985859</c:v>
                </c:pt>
                <c:pt idx="4">
                  <c:v>-0,195985859</c:v>
                </c:pt>
                <c:pt idx="5">
                  <c:v>-0,195985859</c:v>
                </c:pt>
                <c:pt idx="6">
                  <c:v>-0,195985859</c:v>
                </c:pt>
                <c:pt idx="7">
                  <c:v>-0,195985859</c:v>
                </c:pt>
                <c:pt idx="8">
                  <c:v>-0,195985859</c:v>
                </c:pt>
                <c:pt idx="9">
                  <c:v>-0,195985859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PainelDeVariaveis!$N$91:$N$111</c:f>
              <c:numCache>
                <c:formatCode>General</c:formatCode>
                <c:ptCount val="21"/>
                <c:pt idx="0">
                  <c:v>-0.1959858585300992</c:v>
                </c:pt>
                <c:pt idx="1">
                  <c:v>-0.1959858585300992</c:v>
                </c:pt>
                <c:pt idx="2">
                  <c:v>-0.1959858585300992</c:v>
                </c:pt>
                <c:pt idx="3">
                  <c:v>-0.1959858585300992</c:v>
                </c:pt>
                <c:pt idx="4">
                  <c:v>-0.1959858585300992</c:v>
                </c:pt>
                <c:pt idx="5">
                  <c:v>-0.1959858585300992</c:v>
                </c:pt>
                <c:pt idx="6">
                  <c:v>-0.1959858585300992</c:v>
                </c:pt>
                <c:pt idx="7">
                  <c:v>-0.1959858585300992</c:v>
                </c:pt>
                <c:pt idx="8">
                  <c:v>-0.1959858585300992</c:v>
                </c:pt>
                <c:pt idx="9">
                  <c:v>-0.1959858585300992</c:v>
                </c:pt>
                <c:pt idx="10">
                  <c:v>-0.1959858585300992</c:v>
                </c:pt>
                <c:pt idx="11">
                  <c:v>-0.1959858585300992</c:v>
                </c:pt>
                <c:pt idx="12">
                  <c:v>-0.1959858585300992</c:v>
                </c:pt>
                <c:pt idx="13">
                  <c:v>-0.1959858585300992</c:v>
                </c:pt>
                <c:pt idx="14">
                  <c:v>-0.1959858585300992</c:v>
                </c:pt>
                <c:pt idx="15">
                  <c:v>-0.1959858585300992</c:v>
                </c:pt>
                <c:pt idx="16">
                  <c:v>-0.1959858585300992</c:v>
                </c:pt>
                <c:pt idx="17">
                  <c:v>-0.1959858585300992</c:v>
                </c:pt>
                <c:pt idx="18">
                  <c:v>-0.1959858585300992</c:v>
                </c:pt>
                <c:pt idx="19">
                  <c:v>-0.1959858585300992</c:v>
                </c:pt>
                <c:pt idx="20">
                  <c:v>-0.1959858585300992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8B-4544-A88D-D926AD76F6D3}"/>
            </c:ext>
          </c:extLst>
        </c:ser>
        <c:ser>
          <c:idx val="4"/>
          <c:order val="4"/>
          <c:tx>
            <c:strRef>
              <c:f>PainelDeVariaveis!$O$81:$O$90</c:f>
              <c:strCache>
                <c:ptCount val="10"/>
                <c:pt idx="0">
                  <c:v>LMC</c:v>
                </c:pt>
                <c:pt idx="1">
                  <c:v>0,046052632</c:v>
                </c:pt>
                <c:pt idx="2">
                  <c:v>0,046052632</c:v>
                </c:pt>
                <c:pt idx="3">
                  <c:v>0,013157895</c:v>
                </c:pt>
                <c:pt idx="4">
                  <c:v>0,013157895</c:v>
                </c:pt>
                <c:pt idx="5">
                  <c:v>0,013157895</c:v>
                </c:pt>
                <c:pt idx="6">
                  <c:v>0,013157895</c:v>
                </c:pt>
                <c:pt idx="7">
                  <c:v>0,013157895</c:v>
                </c:pt>
                <c:pt idx="8">
                  <c:v>0,013157895</c:v>
                </c:pt>
                <c:pt idx="9">
                  <c:v>0,013157895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08B-4544-A88D-D926AD76F6D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PainelDeVariaveis!$O$91:$O$111</c:f>
              <c:numCache>
                <c:formatCode>General</c:formatCode>
                <c:ptCount val="21"/>
                <c:pt idx="0">
                  <c:v>1.3157894736842105E-2</c:v>
                </c:pt>
                <c:pt idx="1">
                  <c:v>1.3157894736842105E-2</c:v>
                </c:pt>
                <c:pt idx="2">
                  <c:v>1.3157894736842105E-2</c:v>
                </c:pt>
                <c:pt idx="3">
                  <c:v>1.3157894736842105E-2</c:v>
                </c:pt>
                <c:pt idx="4">
                  <c:v>1.3157894736842105E-2</c:v>
                </c:pt>
                <c:pt idx="5">
                  <c:v>1.3157894736842105E-2</c:v>
                </c:pt>
                <c:pt idx="6">
                  <c:v>1.3157894736842105E-2</c:v>
                </c:pt>
                <c:pt idx="7">
                  <c:v>1.3157894736842105E-2</c:v>
                </c:pt>
                <c:pt idx="8">
                  <c:v>1.3157894736842105E-2</c:v>
                </c:pt>
                <c:pt idx="9">
                  <c:v>1.3157894736842105E-2</c:v>
                </c:pt>
                <c:pt idx="10">
                  <c:v>1.3157894736842105E-2</c:v>
                </c:pt>
                <c:pt idx="11">
                  <c:v>1.3157894736842105E-2</c:v>
                </c:pt>
                <c:pt idx="12">
                  <c:v>1.3157894736842105E-2</c:v>
                </c:pt>
                <c:pt idx="13">
                  <c:v>1.3157894736842105E-2</c:v>
                </c:pt>
                <c:pt idx="14">
                  <c:v>1.3157894736842105E-2</c:v>
                </c:pt>
                <c:pt idx="15">
                  <c:v>1.3157894736842105E-2</c:v>
                </c:pt>
                <c:pt idx="16">
                  <c:v>1.3157894736842105E-2</c:v>
                </c:pt>
                <c:pt idx="17">
                  <c:v>1.3157894736842105E-2</c:v>
                </c:pt>
                <c:pt idx="18">
                  <c:v>1.3157894736842105E-2</c:v>
                </c:pt>
                <c:pt idx="19">
                  <c:v>1.3157894736842105E-2</c:v>
                </c:pt>
                <c:pt idx="20">
                  <c:v>1.3157894736842105E-2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8B-4544-A88D-D926AD76F6D3}"/>
            </c:ext>
          </c:extLst>
        </c:ser>
        <c:ser>
          <c:idx val="5"/>
          <c:order val="5"/>
          <c:tx>
            <c:strRef>
              <c:f>PainelDeVariaveis!$P$81:$P$90</c:f>
              <c:strCache>
                <c:ptCount val="10"/>
                <c:pt idx="0">
                  <c:v>L1S</c:v>
                </c:pt>
                <c:pt idx="1">
                  <c:v>0,394093787</c:v>
                </c:pt>
                <c:pt idx="2">
                  <c:v>0,394093787</c:v>
                </c:pt>
                <c:pt idx="3">
                  <c:v>0,222301648</c:v>
                </c:pt>
                <c:pt idx="4">
                  <c:v>0,222301648</c:v>
                </c:pt>
                <c:pt idx="5">
                  <c:v>0,222301648</c:v>
                </c:pt>
                <c:pt idx="6">
                  <c:v>0,222301648</c:v>
                </c:pt>
                <c:pt idx="7">
                  <c:v>0,222301648</c:v>
                </c:pt>
                <c:pt idx="8">
                  <c:v>0,222301648</c:v>
                </c:pt>
                <c:pt idx="9">
                  <c:v>0,222301648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PainelDeVariaveis!$P$91:$P$111</c:f>
              <c:numCache>
                <c:formatCode>General</c:formatCode>
                <c:ptCount val="21"/>
                <c:pt idx="0">
                  <c:v>0.22230164800378338</c:v>
                </c:pt>
                <c:pt idx="1">
                  <c:v>0.22230164800378338</c:v>
                </c:pt>
                <c:pt idx="2">
                  <c:v>0.22230164800378338</c:v>
                </c:pt>
                <c:pt idx="3">
                  <c:v>0.22230164800378338</c:v>
                </c:pt>
                <c:pt idx="4">
                  <c:v>0.22230164800378338</c:v>
                </c:pt>
                <c:pt idx="5">
                  <c:v>0.22230164800378338</c:v>
                </c:pt>
                <c:pt idx="6">
                  <c:v>0.22230164800378338</c:v>
                </c:pt>
                <c:pt idx="7">
                  <c:v>0.22230164800378338</c:v>
                </c:pt>
                <c:pt idx="8">
                  <c:v>0.22230164800378338</c:v>
                </c:pt>
                <c:pt idx="9">
                  <c:v>0.22230164800378338</c:v>
                </c:pt>
                <c:pt idx="10">
                  <c:v>0.22230164800378338</c:v>
                </c:pt>
                <c:pt idx="11">
                  <c:v>0.22230164800378338</c:v>
                </c:pt>
                <c:pt idx="12">
                  <c:v>0.22230164800378338</c:v>
                </c:pt>
                <c:pt idx="13">
                  <c:v>0.22230164800378338</c:v>
                </c:pt>
                <c:pt idx="14">
                  <c:v>0.22230164800378338</c:v>
                </c:pt>
                <c:pt idx="15">
                  <c:v>0.22230164800378338</c:v>
                </c:pt>
                <c:pt idx="16">
                  <c:v>0.22230164800378338</c:v>
                </c:pt>
                <c:pt idx="17">
                  <c:v>0.22230164800378338</c:v>
                </c:pt>
                <c:pt idx="18">
                  <c:v>0.22230164800378338</c:v>
                </c:pt>
                <c:pt idx="19">
                  <c:v>0.22230164800378338</c:v>
                </c:pt>
                <c:pt idx="20">
                  <c:v>0.22230164800378338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8B-4544-A88D-D926AD76F6D3}"/>
            </c:ext>
          </c:extLst>
        </c:ser>
        <c:ser>
          <c:idx val="6"/>
          <c:order val="6"/>
          <c:tx>
            <c:strRef>
              <c:f>PainelDeVariaveis!$Q$81:$Q$90</c:f>
              <c:strCache>
                <c:ptCount val="10"/>
                <c:pt idx="0">
                  <c:v>L2S</c:v>
                </c:pt>
                <c:pt idx="1">
                  <c:v>0,742134942</c:v>
                </c:pt>
                <c:pt idx="2">
                  <c:v>0,742134942</c:v>
                </c:pt>
                <c:pt idx="3">
                  <c:v>0,431445401</c:v>
                </c:pt>
                <c:pt idx="4">
                  <c:v>0,431445401</c:v>
                </c:pt>
                <c:pt idx="5">
                  <c:v>0,431445401</c:v>
                </c:pt>
                <c:pt idx="6">
                  <c:v>0,431445401</c:v>
                </c:pt>
                <c:pt idx="7">
                  <c:v>0,431445401</c:v>
                </c:pt>
                <c:pt idx="8">
                  <c:v>0,431445401</c:v>
                </c:pt>
                <c:pt idx="9">
                  <c:v>0,431445401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PainelDeVariaveis!$Q$91:$Q$111</c:f>
              <c:numCache>
                <c:formatCode>General</c:formatCode>
                <c:ptCount val="21"/>
                <c:pt idx="0">
                  <c:v>0.43144540127072467</c:v>
                </c:pt>
                <c:pt idx="1">
                  <c:v>0.43144540127072467</c:v>
                </c:pt>
                <c:pt idx="2">
                  <c:v>0.43144540127072467</c:v>
                </c:pt>
                <c:pt idx="3">
                  <c:v>0.43144540127072467</c:v>
                </c:pt>
                <c:pt idx="4">
                  <c:v>0.43144540127072467</c:v>
                </c:pt>
                <c:pt idx="5">
                  <c:v>0.43144540127072467</c:v>
                </c:pt>
                <c:pt idx="6">
                  <c:v>0.43144540127072467</c:v>
                </c:pt>
                <c:pt idx="7">
                  <c:v>0.43144540127072467</c:v>
                </c:pt>
                <c:pt idx="8">
                  <c:v>0.43144540127072467</c:v>
                </c:pt>
                <c:pt idx="9">
                  <c:v>0.43144540127072467</c:v>
                </c:pt>
                <c:pt idx="10">
                  <c:v>0.43144540127072467</c:v>
                </c:pt>
                <c:pt idx="11">
                  <c:v>0.43144540127072467</c:v>
                </c:pt>
                <c:pt idx="12">
                  <c:v>0.43144540127072467</c:v>
                </c:pt>
                <c:pt idx="13">
                  <c:v>0.43144540127072467</c:v>
                </c:pt>
                <c:pt idx="14">
                  <c:v>0.43144540127072467</c:v>
                </c:pt>
                <c:pt idx="15">
                  <c:v>0.43144540127072467</c:v>
                </c:pt>
                <c:pt idx="16">
                  <c:v>0.43144540127072467</c:v>
                </c:pt>
                <c:pt idx="17">
                  <c:v>0.43144540127072467</c:v>
                </c:pt>
                <c:pt idx="18">
                  <c:v>0.43144540127072467</c:v>
                </c:pt>
                <c:pt idx="19">
                  <c:v>0.43144540127072467</c:v>
                </c:pt>
                <c:pt idx="20">
                  <c:v>0.43144540127072467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8B-4544-A88D-D926AD76F6D3}"/>
            </c:ext>
          </c:extLst>
        </c:ser>
        <c:ser>
          <c:idx val="7"/>
          <c:order val="7"/>
          <c:tx>
            <c:strRef>
              <c:f>PainelDeVariaveis!$R$81:$R$90</c:f>
              <c:strCache>
                <c:ptCount val="10"/>
                <c:pt idx="0">
                  <c:v>LSC</c:v>
                </c:pt>
                <c:pt idx="1">
                  <c:v>1,090176098</c:v>
                </c:pt>
                <c:pt idx="2">
                  <c:v>1,090176098</c:v>
                </c:pt>
                <c:pt idx="3">
                  <c:v>0,640589155</c:v>
                </c:pt>
                <c:pt idx="4">
                  <c:v>0,640589155</c:v>
                </c:pt>
                <c:pt idx="5">
                  <c:v>0,640589155</c:v>
                </c:pt>
                <c:pt idx="6">
                  <c:v>0,640589155</c:v>
                </c:pt>
                <c:pt idx="7">
                  <c:v>0,640589155</c:v>
                </c:pt>
                <c:pt idx="8">
                  <c:v>0,640589155</c:v>
                </c:pt>
                <c:pt idx="9">
                  <c:v>0,640589155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8B-4544-A88D-D926AD76F6D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PainelDeVariaveis!$B$91:$B$111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PainelDeVariaveis!$R$91:$R$111</c:f>
              <c:numCache>
                <c:formatCode>General</c:formatCode>
                <c:ptCount val="21"/>
                <c:pt idx="0">
                  <c:v>0.64058915453766596</c:v>
                </c:pt>
                <c:pt idx="1">
                  <c:v>0.64058915453766596</c:v>
                </c:pt>
                <c:pt idx="2">
                  <c:v>0.64058915453766596</c:v>
                </c:pt>
                <c:pt idx="3">
                  <c:v>0.64058915453766596</c:v>
                </c:pt>
                <c:pt idx="4">
                  <c:v>0.64058915453766596</c:v>
                </c:pt>
                <c:pt idx="5">
                  <c:v>0.64058915453766596</c:v>
                </c:pt>
                <c:pt idx="6">
                  <c:v>0.64058915453766596</c:v>
                </c:pt>
                <c:pt idx="7">
                  <c:v>0.64058915453766596</c:v>
                </c:pt>
                <c:pt idx="8">
                  <c:v>0.64058915453766596</c:v>
                </c:pt>
                <c:pt idx="9">
                  <c:v>0.64058915453766596</c:v>
                </c:pt>
                <c:pt idx="10">
                  <c:v>0.64058915453766596</c:v>
                </c:pt>
                <c:pt idx="11">
                  <c:v>0.64058915453766596</c:v>
                </c:pt>
                <c:pt idx="12">
                  <c:v>0.64058915453766596</c:v>
                </c:pt>
                <c:pt idx="13">
                  <c:v>0.64058915453766596</c:v>
                </c:pt>
                <c:pt idx="14">
                  <c:v>0.64058915453766596</c:v>
                </c:pt>
                <c:pt idx="15">
                  <c:v>0.64058915453766596</c:v>
                </c:pt>
                <c:pt idx="16">
                  <c:v>0.64058915453766596</c:v>
                </c:pt>
                <c:pt idx="17">
                  <c:v>0.64058915453766596</c:v>
                </c:pt>
                <c:pt idx="18">
                  <c:v>0.64058915453766596</c:v>
                </c:pt>
                <c:pt idx="19">
                  <c:v>0.64058915453766596</c:v>
                </c:pt>
                <c:pt idx="20">
                  <c:v>0.64058915453766596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08B-4544-A88D-D926AD76F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979919"/>
        <c:axId val="1064978959"/>
      </c:lineChart>
      <c:dateAx>
        <c:axId val="1064979919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4978959"/>
        <c:crosses val="autoZero"/>
        <c:auto val="1"/>
        <c:lblOffset val="100"/>
        <c:baseTimeUnit val="months"/>
      </c:dateAx>
      <c:valAx>
        <c:axId val="106497895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649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V04 - SM4M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PainelDeVariaveis!$C$118:$C$127</c:f>
              <c:strCache>
                <c:ptCount val="10"/>
                <c:pt idx="0">
                  <c:v>Apurado</c:v>
                </c:pt>
                <c:pt idx="1">
                  <c:v>52</c:v>
                </c:pt>
                <c:pt idx="2">
                  <c:v>47</c:v>
                </c:pt>
                <c:pt idx="3">
                  <c:v>52</c:v>
                </c:pt>
                <c:pt idx="4">
                  <c:v>54</c:v>
                </c:pt>
                <c:pt idx="5">
                  <c:v>52</c:v>
                </c:pt>
                <c:pt idx="6">
                  <c:v>61</c:v>
                </c:pt>
                <c:pt idx="7">
                  <c:v>65</c:v>
                </c:pt>
                <c:pt idx="8">
                  <c:v>69</c:v>
                </c:pt>
                <c:pt idx="9">
                  <c:v>71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PainelDeVariaveis!$C$128:$C$148</c:f>
              <c:numCache>
                <c:formatCode>General</c:formatCode>
                <c:ptCount val="21"/>
                <c:pt idx="0">
                  <c:v>61</c:v>
                </c:pt>
                <c:pt idx="1">
                  <c:v>51</c:v>
                </c:pt>
                <c:pt idx="2">
                  <c:v>44</c:v>
                </c:pt>
                <c:pt idx="3">
                  <c:v>44</c:v>
                </c:pt>
                <c:pt idx="4">
                  <c:v>61</c:v>
                </c:pt>
                <c:pt idx="5">
                  <c:v>76</c:v>
                </c:pt>
                <c:pt idx="6">
                  <c:v>92</c:v>
                </c:pt>
                <c:pt idx="7">
                  <c:v>103</c:v>
                </c:pt>
                <c:pt idx="8">
                  <c:v>97</c:v>
                </c:pt>
                <c:pt idx="9">
                  <c:v>87</c:v>
                </c:pt>
                <c:pt idx="10">
                  <c:v>63</c:v>
                </c:pt>
                <c:pt idx="11">
                  <c:v>68</c:v>
                </c:pt>
                <c:pt idx="12">
                  <c:v>65</c:v>
                </c:pt>
                <c:pt idx="13">
                  <c:v>67</c:v>
                </c:pt>
                <c:pt idx="14">
                  <c:v>81</c:v>
                </c:pt>
                <c:pt idx="15">
                  <c:v>61</c:v>
                </c:pt>
                <c:pt idx="16">
                  <c:v>51</c:v>
                </c:pt>
                <c:pt idx="17">
                  <c:v>49</c:v>
                </c:pt>
                <c:pt idx="18">
                  <c:v>46</c:v>
                </c:pt>
                <c:pt idx="19">
                  <c:v>56</c:v>
                </c:pt>
                <c:pt idx="20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7C-492C-ACD5-509463ADCA94}"/>
            </c:ext>
          </c:extLst>
        </c:ser>
        <c:ser>
          <c:idx val="1"/>
          <c:order val="1"/>
          <c:tx>
            <c:strRef>
              <c:f>PainelDeVariaveis!$D$118:$D$127</c:f>
              <c:strCache>
                <c:ptCount val="10"/>
                <c:pt idx="0">
                  <c:v>LIC</c:v>
                </c:pt>
                <c:pt idx="1">
                  <c:v>1,76</c:v>
                </c:pt>
                <c:pt idx="2">
                  <c:v>1,76</c:v>
                </c:pt>
                <c:pt idx="3">
                  <c:v>1,76</c:v>
                </c:pt>
                <c:pt idx="4">
                  <c:v>1,76</c:v>
                </c:pt>
                <c:pt idx="5">
                  <c:v>1,76</c:v>
                </c:pt>
                <c:pt idx="6">
                  <c:v>1,76</c:v>
                </c:pt>
                <c:pt idx="7">
                  <c:v>1,76</c:v>
                </c:pt>
                <c:pt idx="8">
                  <c:v>1,76</c:v>
                </c:pt>
                <c:pt idx="9">
                  <c:v>1,76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07C-492C-ACD5-509463ADCA9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PainelDeVariaveis!$D$128:$D$148</c:f>
              <c:numCache>
                <c:formatCode>0.00</c:formatCode>
                <c:ptCount val="21"/>
                <c:pt idx="0">
                  <c:v>1.7611741366579494</c:v>
                </c:pt>
                <c:pt idx="1">
                  <c:v>1.7611741366579494</c:v>
                </c:pt>
                <c:pt idx="2">
                  <c:v>1.7611741366579494</c:v>
                </c:pt>
                <c:pt idx="3">
                  <c:v>1.7611741366579494</c:v>
                </c:pt>
                <c:pt idx="4">
                  <c:v>1.7611741366579494</c:v>
                </c:pt>
                <c:pt idx="5">
                  <c:v>1.7611741366579494</c:v>
                </c:pt>
                <c:pt idx="6">
                  <c:v>1.7611741366579494</c:v>
                </c:pt>
                <c:pt idx="7">
                  <c:v>1.7611741366579494</c:v>
                </c:pt>
                <c:pt idx="8">
                  <c:v>1.7611741366579494</c:v>
                </c:pt>
                <c:pt idx="9">
                  <c:v>1.7611741366579494</c:v>
                </c:pt>
                <c:pt idx="10">
                  <c:v>1.7611741366579494</c:v>
                </c:pt>
                <c:pt idx="11">
                  <c:v>1.7611741366579494</c:v>
                </c:pt>
                <c:pt idx="12">
                  <c:v>1.7611741366579494</c:v>
                </c:pt>
                <c:pt idx="13">
                  <c:v>1.7611741366579494</c:v>
                </c:pt>
                <c:pt idx="14">
                  <c:v>1.7611741366579494</c:v>
                </c:pt>
                <c:pt idx="15">
                  <c:v>1.7611741366579494</c:v>
                </c:pt>
                <c:pt idx="16">
                  <c:v>1.7611741366579494</c:v>
                </c:pt>
                <c:pt idx="17">
                  <c:v>1.7611741366579494</c:v>
                </c:pt>
                <c:pt idx="18">
                  <c:v>1.7611741366579494</c:v>
                </c:pt>
                <c:pt idx="19">
                  <c:v>1.7611741366579494</c:v>
                </c:pt>
                <c:pt idx="20">
                  <c:v>1.7611741366579494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C-492C-ACD5-509463ADCA94}"/>
            </c:ext>
          </c:extLst>
        </c:ser>
        <c:ser>
          <c:idx val="2"/>
          <c:order val="2"/>
          <c:tx>
            <c:strRef>
              <c:f>PainelDeVariaveis!$E$118:$E$127</c:f>
              <c:strCache>
                <c:ptCount val="10"/>
                <c:pt idx="0">
                  <c:v>L2I</c:v>
                </c:pt>
                <c:pt idx="1">
                  <c:v>20,38</c:v>
                </c:pt>
                <c:pt idx="2">
                  <c:v>20,38</c:v>
                </c:pt>
                <c:pt idx="3">
                  <c:v>20,38</c:v>
                </c:pt>
                <c:pt idx="4">
                  <c:v>20,38</c:v>
                </c:pt>
                <c:pt idx="5">
                  <c:v>20,38</c:v>
                </c:pt>
                <c:pt idx="6">
                  <c:v>20,38</c:v>
                </c:pt>
                <c:pt idx="7">
                  <c:v>20,38</c:v>
                </c:pt>
                <c:pt idx="8">
                  <c:v>20,38</c:v>
                </c:pt>
                <c:pt idx="9">
                  <c:v>20,38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PainelDeVariaveis!$E$128:$E$148</c:f>
              <c:numCache>
                <c:formatCode>0.00</c:formatCode>
                <c:ptCount val="21"/>
                <c:pt idx="0">
                  <c:v>20.38464240689477</c:v>
                </c:pt>
                <c:pt idx="1">
                  <c:v>20.38464240689477</c:v>
                </c:pt>
                <c:pt idx="2">
                  <c:v>20.38464240689477</c:v>
                </c:pt>
                <c:pt idx="3">
                  <c:v>20.38464240689477</c:v>
                </c:pt>
                <c:pt idx="4">
                  <c:v>20.38464240689477</c:v>
                </c:pt>
                <c:pt idx="5">
                  <c:v>20.38464240689477</c:v>
                </c:pt>
                <c:pt idx="6">
                  <c:v>20.38464240689477</c:v>
                </c:pt>
                <c:pt idx="7">
                  <c:v>20.38464240689477</c:v>
                </c:pt>
                <c:pt idx="8">
                  <c:v>20.38464240689477</c:v>
                </c:pt>
                <c:pt idx="9">
                  <c:v>20.38464240689477</c:v>
                </c:pt>
                <c:pt idx="10">
                  <c:v>20.38464240689477</c:v>
                </c:pt>
                <c:pt idx="11">
                  <c:v>20.38464240689477</c:v>
                </c:pt>
                <c:pt idx="12">
                  <c:v>20.38464240689477</c:v>
                </c:pt>
                <c:pt idx="13">
                  <c:v>20.38464240689477</c:v>
                </c:pt>
                <c:pt idx="14">
                  <c:v>20.38464240689477</c:v>
                </c:pt>
                <c:pt idx="15">
                  <c:v>20.38464240689477</c:v>
                </c:pt>
                <c:pt idx="16">
                  <c:v>20.38464240689477</c:v>
                </c:pt>
                <c:pt idx="17">
                  <c:v>20.38464240689477</c:v>
                </c:pt>
                <c:pt idx="18">
                  <c:v>20.38464240689477</c:v>
                </c:pt>
                <c:pt idx="19">
                  <c:v>20.38464240689477</c:v>
                </c:pt>
                <c:pt idx="20">
                  <c:v>20.38464240689477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7C-492C-ACD5-509463ADCA94}"/>
            </c:ext>
          </c:extLst>
        </c:ser>
        <c:ser>
          <c:idx val="3"/>
          <c:order val="3"/>
          <c:tx>
            <c:strRef>
              <c:f>PainelDeVariaveis!$F$118:$F$127</c:f>
              <c:strCache>
                <c:ptCount val="10"/>
                <c:pt idx="0">
                  <c:v>L1I</c:v>
                </c:pt>
                <c:pt idx="1">
                  <c:v>39,01</c:v>
                </c:pt>
                <c:pt idx="2">
                  <c:v>39,01</c:v>
                </c:pt>
                <c:pt idx="3">
                  <c:v>39,01</c:v>
                </c:pt>
                <c:pt idx="4">
                  <c:v>39,01</c:v>
                </c:pt>
                <c:pt idx="5">
                  <c:v>39,01</c:v>
                </c:pt>
                <c:pt idx="6">
                  <c:v>39,01</c:v>
                </c:pt>
                <c:pt idx="7">
                  <c:v>39,01</c:v>
                </c:pt>
                <c:pt idx="8">
                  <c:v>39,01</c:v>
                </c:pt>
                <c:pt idx="9">
                  <c:v>39,01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PainelDeVariaveis!$F$128:$F$148</c:f>
              <c:numCache>
                <c:formatCode>0.00</c:formatCode>
                <c:ptCount val="21"/>
                <c:pt idx="0">
                  <c:v>39.008110677131597</c:v>
                </c:pt>
                <c:pt idx="1">
                  <c:v>39.008110677131597</c:v>
                </c:pt>
                <c:pt idx="2">
                  <c:v>39.008110677131597</c:v>
                </c:pt>
                <c:pt idx="3">
                  <c:v>39.008110677131597</c:v>
                </c:pt>
                <c:pt idx="4">
                  <c:v>39.008110677131597</c:v>
                </c:pt>
                <c:pt idx="5">
                  <c:v>39.008110677131597</c:v>
                </c:pt>
                <c:pt idx="6">
                  <c:v>39.008110677131597</c:v>
                </c:pt>
                <c:pt idx="7">
                  <c:v>39.008110677131597</c:v>
                </c:pt>
                <c:pt idx="8">
                  <c:v>39.008110677131597</c:v>
                </c:pt>
                <c:pt idx="9">
                  <c:v>39.008110677131597</c:v>
                </c:pt>
                <c:pt idx="10">
                  <c:v>39.008110677131597</c:v>
                </c:pt>
                <c:pt idx="11">
                  <c:v>39.008110677131597</c:v>
                </c:pt>
                <c:pt idx="12">
                  <c:v>39.008110677131597</c:v>
                </c:pt>
                <c:pt idx="13">
                  <c:v>39.008110677131597</c:v>
                </c:pt>
                <c:pt idx="14">
                  <c:v>39.008110677131597</c:v>
                </c:pt>
                <c:pt idx="15">
                  <c:v>39.008110677131597</c:v>
                </c:pt>
                <c:pt idx="16">
                  <c:v>39.008110677131597</c:v>
                </c:pt>
                <c:pt idx="17">
                  <c:v>39.008110677131597</c:v>
                </c:pt>
                <c:pt idx="18">
                  <c:v>39.008110677131597</c:v>
                </c:pt>
                <c:pt idx="19">
                  <c:v>39.008110677131597</c:v>
                </c:pt>
                <c:pt idx="20">
                  <c:v>39.008110677131597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7C-492C-ACD5-509463ADCA94}"/>
            </c:ext>
          </c:extLst>
        </c:ser>
        <c:ser>
          <c:idx val="4"/>
          <c:order val="4"/>
          <c:tx>
            <c:strRef>
              <c:f>PainelDeVariaveis!$G$118:$G$127</c:f>
              <c:strCache>
                <c:ptCount val="10"/>
                <c:pt idx="0">
                  <c:v>LMC</c:v>
                </c:pt>
                <c:pt idx="1">
                  <c:v>57,63</c:v>
                </c:pt>
                <c:pt idx="2">
                  <c:v>57,63</c:v>
                </c:pt>
                <c:pt idx="3">
                  <c:v>57,63</c:v>
                </c:pt>
                <c:pt idx="4">
                  <c:v>57,63</c:v>
                </c:pt>
                <c:pt idx="5">
                  <c:v>57,63</c:v>
                </c:pt>
                <c:pt idx="6">
                  <c:v>57,63</c:v>
                </c:pt>
                <c:pt idx="7">
                  <c:v>57,63</c:v>
                </c:pt>
                <c:pt idx="8">
                  <c:v>57,63</c:v>
                </c:pt>
                <c:pt idx="9">
                  <c:v>57,63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07C-492C-ACD5-509463ADCA9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PainelDeVariaveis!$G$128:$G$148</c:f>
              <c:numCache>
                <c:formatCode>0.00</c:formatCode>
                <c:ptCount val="21"/>
                <c:pt idx="0">
                  <c:v>57.631578947368418</c:v>
                </c:pt>
                <c:pt idx="1">
                  <c:v>57.631578947368418</c:v>
                </c:pt>
                <c:pt idx="2">
                  <c:v>57.631578947368418</c:v>
                </c:pt>
                <c:pt idx="3">
                  <c:v>57.631578947368418</c:v>
                </c:pt>
                <c:pt idx="4">
                  <c:v>57.631578947368418</c:v>
                </c:pt>
                <c:pt idx="5">
                  <c:v>57.631578947368418</c:v>
                </c:pt>
                <c:pt idx="6">
                  <c:v>57.631578947368418</c:v>
                </c:pt>
                <c:pt idx="7">
                  <c:v>57.631578947368418</c:v>
                </c:pt>
                <c:pt idx="8">
                  <c:v>57.631578947368418</c:v>
                </c:pt>
                <c:pt idx="9">
                  <c:v>57.631578947368418</c:v>
                </c:pt>
                <c:pt idx="10">
                  <c:v>57.631578947368418</c:v>
                </c:pt>
                <c:pt idx="11">
                  <c:v>57.631578947368418</c:v>
                </c:pt>
                <c:pt idx="12">
                  <c:v>57.631578947368418</c:v>
                </c:pt>
                <c:pt idx="13">
                  <c:v>57.631578947368418</c:v>
                </c:pt>
                <c:pt idx="14">
                  <c:v>57.631578947368418</c:v>
                </c:pt>
                <c:pt idx="15">
                  <c:v>57.631578947368418</c:v>
                </c:pt>
                <c:pt idx="16">
                  <c:v>57.631578947368418</c:v>
                </c:pt>
                <c:pt idx="17">
                  <c:v>57.631578947368418</c:v>
                </c:pt>
                <c:pt idx="18">
                  <c:v>57.631578947368418</c:v>
                </c:pt>
                <c:pt idx="19">
                  <c:v>57.631578947368418</c:v>
                </c:pt>
                <c:pt idx="20">
                  <c:v>57.631578947368418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7C-492C-ACD5-509463ADCA94}"/>
            </c:ext>
          </c:extLst>
        </c:ser>
        <c:ser>
          <c:idx val="5"/>
          <c:order val="5"/>
          <c:tx>
            <c:strRef>
              <c:f>PainelDeVariaveis!$H$118:$H$127</c:f>
              <c:strCache>
                <c:ptCount val="10"/>
                <c:pt idx="0">
                  <c:v>L1S</c:v>
                </c:pt>
                <c:pt idx="1">
                  <c:v>76,26</c:v>
                </c:pt>
                <c:pt idx="2">
                  <c:v>76,26</c:v>
                </c:pt>
                <c:pt idx="3">
                  <c:v>76,26</c:v>
                </c:pt>
                <c:pt idx="4">
                  <c:v>76,26</c:v>
                </c:pt>
                <c:pt idx="5">
                  <c:v>76,26</c:v>
                </c:pt>
                <c:pt idx="6">
                  <c:v>76,26</c:v>
                </c:pt>
                <c:pt idx="7">
                  <c:v>76,26</c:v>
                </c:pt>
                <c:pt idx="8">
                  <c:v>76,26</c:v>
                </c:pt>
                <c:pt idx="9">
                  <c:v>76,26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PainelDeVariaveis!$H$128:$H$148</c:f>
              <c:numCache>
                <c:formatCode>0.00</c:formatCode>
                <c:ptCount val="21"/>
                <c:pt idx="0">
                  <c:v>76.255047217605238</c:v>
                </c:pt>
                <c:pt idx="1">
                  <c:v>76.255047217605238</c:v>
                </c:pt>
                <c:pt idx="2">
                  <c:v>76.255047217605238</c:v>
                </c:pt>
                <c:pt idx="3">
                  <c:v>76.255047217605238</c:v>
                </c:pt>
                <c:pt idx="4">
                  <c:v>76.255047217605238</c:v>
                </c:pt>
                <c:pt idx="5">
                  <c:v>76.255047217605238</c:v>
                </c:pt>
                <c:pt idx="6">
                  <c:v>76.255047217605238</c:v>
                </c:pt>
                <c:pt idx="7">
                  <c:v>76.255047217605238</c:v>
                </c:pt>
                <c:pt idx="8">
                  <c:v>76.255047217605238</c:v>
                </c:pt>
                <c:pt idx="9">
                  <c:v>76.255047217605238</c:v>
                </c:pt>
                <c:pt idx="10">
                  <c:v>76.255047217605238</c:v>
                </c:pt>
                <c:pt idx="11">
                  <c:v>76.255047217605238</c:v>
                </c:pt>
                <c:pt idx="12">
                  <c:v>76.255047217605238</c:v>
                </c:pt>
                <c:pt idx="13">
                  <c:v>76.255047217605238</c:v>
                </c:pt>
                <c:pt idx="14">
                  <c:v>76.255047217605238</c:v>
                </c:pt>
                <c:pt idx="15">
                  <c:v>76.255047217605238</c:v>
                </c:pt>
                <c:pt idx="16">
                  <c:v>76.255047217605238</c:v>
                </c:pt>
                <c:pt idx="17">
                  <c:v>76.255047217605238</c:v>
                </c:pt>
                <c:pt idx="18">
                  <c:v>76.255047217605238</c:v>
                </c:pt>
                <c:pt idx="19">
                  <c:v>76.255047217605238</c:v>
                </c:pt>
                <c:pt idx="20">
                  <c:v>76.255047217605238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7C-492C-ACD5-509463ADCA94}"/>
            </c:ext>
          </c:extLst>
        </c:ser>
        <c:ser>
          <c:idx val="6"/>
          <c:order val="6"/>
          <c:tx>
            <c:strRef>
              <c:f>PainelDeVariaveis!$I$118:$I$127</c:f>
              <c:strCache>
                <c:ptCount val="10"/>
                <c:pt idx="0">
                  <c:v>L2S</c:v>
                </c:pt>
                <c:pt idx="1">
                  <c:v>94,88</c:v>
                </c:pt>
                <c:pt idx="2">
                  <c:v>94,88</c:v>
                </c:pt>
                <c:pt idx="3">
                  <c:v>94,88</c:v>
                </c:pt>
                <c:pt idx="4">
                  <c:v>94,88</c:v>
                </c:pt>
                <c:pt idx="5">
                  <c:v>94,88</c:v>
                </c:pt>
                <c:pt idx="6">
                  <c:v>94,88</c:v>
                </c:pt>
                <c:pt idx="7">
                  <c:v>94,88</c:v>
                </c:pt>
                <c:pt idx="8">
                  <c:v>94,88</c:v>
                </c:pt>
                <c:pt idx="9">
                  <c:v>94,88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PainelDeVariaveis!$I$128:$I$148</c:f>
              <c:numCache>
                <c:formatCode>0.00</c:formatCode>
                <c:ptCount val="21"/>
                <c:pt idx="0">
                  <c:v>94.878515487842066</c:v>
                </c:pt>
                <c:pt idx="1">
                  <c:v>94.878515487842066</c:v>
                </c:pt>
                <c:pt idx="2">
                  <c:v>94.878515487842066</c:v>
                </c:pt>
                <c:pt idx="3">
                  <c:v>94.878515487842066</c:v>
                </c:pt>
                <c:pt idx="4">
                  <c:v>94.878515487842066</c:v>
                </c:pt>
                <c:pt idx="5">
                  <c:v>94.878515487842066</c:v>
                </c:pt>
                <c:pt idx="6">
                  <c:v>94.878515487842066</c:v>
                </c:pt>
                <c:pt idx="7">
                  <c:v>94.878515487842066</c:v>
                </c:pt>
                <c:pt idx="8">
                  <c:v>94.878515487842066</c:v>
                </c:pt>
                <c:pt idx="9">
                  <c:v>94.878515487842066</c:v>
                </c:pt>
                <c:pt idx="10">
                  <c:v>94.878515487842066</c:v>
                </c:pt>
                <c:pt idx="11">
                  <c:v>94.878515487842066</c:v>
                </c:pt>
                <c:pt idx="12">
                  <c:v>94.878515487842066</c:v>
                </c:pt>
                <c:pt idx="13">
                  <c:v>94.878515487842066</c:v>
                </c:pt>
                <c:pt idx="14">
                  <c:v>94.878515487842066</c:v>
                </c:pt>
                <c:pt idx="15">
                  <c:v>94.878515487842066</c:v>
                </c:pt>
                <c:pt idx="16">
                  <c:v>94.878515487842066</c:v>
                </c:pt>
                <c:pt idx="17">
                  <c:v>94.878515487842066</c:v>
                </c:pt>
                <c:pt idx="18">
                  <c:v>94.878515487842066</c:v>
                </c:pt>
                <c:pt idx="19">
                  <c:v>94.878515487842066</c:v>
                </c:pt>
                <c:pt idx="20">
                  <c:v>94.878515487842066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7C-492C-ACD5-509463ADCA94}"/>
            </c:ext>
          </c:extLst>
        </c:ser>
        <c:ser>
          <c:idx val="7"/>
          <c:order val="7"/>
          <c:tx>
            <c:strRef>
              <c:f>PainelDeVariaveis!$J$118:$J$127</c:f>
              <c:strCache>
                <c:ptCount val="10"/>
                <c:pt idx="0">
                  <c:v>LSC</c:v>
                </c:pt>
                <c:pt idx="1">
                  <c:v>113,50</c:v>
                </c:pt>
                <c:pt idx="2">
                  <c:v>113,50</c:v>
                </c:pt>
                <c:pt idx="3">
                  <c:v>113,50</c:v>
                </c:pt>
                <c:pt idx="4">
                  <c:v>113,50</c:v>
                </c:pt>
                <c:pt idx="5">
                  <c:v>113,50</c:v>
                </c:pt>
                <c:pt idx="6">
                  <c:v>113,50</c:v>
                </c:pt>
                <c:pt idx="7">
                  <c:v>113,50</c:v>
                </c:pt>
                <c:pt idx="8">
                  <c:v>113,50</c:v>
                </c:pt>
                <c:pt idx="9">
                  <c:v>113,50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07C-492C-ACD5-509463ADCA9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PainelDeVariaveis!$J$128:$J$148</c:f>
              <c:numCache>
                <c:formatCode>0.00</c:formatCode>
                <c:ptCount val="21"/>
                <c:pt idx="0">
                  <c:v>113.50198375807889</c:v>
                </c:pt>
                <c:pt idx="1">
                  <c:v>113.50198375807889</c:v>
                </c:pt>
                <c:pt idx="2">
                  <c:v>113.50198375807889</c:v>
                </c:pt>
                <c:pt idx="3">
                  <c:v>113.50198375807889</c:v>
                </c:pt>
                <c:pt idx="4">
                  <c:v>113.50198375807889</c:v>
                </c:pt>
                <c:pt idx="5">
                  <c:v>113.50198375807889</c:v>
                </c:pt>
                <c:pt idx="6">
                  <c:v>113.50198375807889</c:v>
                </c:pt>
                <c:pt idx="7">
                  <c:v>113.50198375807889</c:v>
                </c:pt>
                <c:pt idx="8">
                  <c:v>113.50198375807889</c:v>
                </c:pt>
                <c:pt idx="9">
                  <c:v>113.50198375807889</c:v>
                </c:pt>
                <c:pt idx="10">
                  <c:v>113.50198375807889</c:v>
                </c:pt>
                <c:pt idx="11">
                  <c:v>113.50198375807889</c:v>
                </c:pt>
                <c:pt idx="12">
                  <c:v>113.50198375807889</c:v>
                </c:pt>
                <c:pt idx="13">
                  <c:v>113.50198375807889</c:v>
                </c:pt>
                <c:pt idx="14">
                  <c:v>113.50198375807889</c:v>
                </c:pt>
                <c:pt idx="15">
                  <c:v>113.50198375807889</c:v>
                </c:pt>
                <c:pt idx="16">
                  <c:v>113.50198375807889</c:v>
                </c:pt>
                <c:pt idx="17">
                  <c:v>113.50198375807889</c:v>
                </c:pt>
                <c:pt idx="18">
                  <c:v>113.50198375807889</c:v>
                </c:pt>
                <c:pt idx="19">
                  <c:v>113.50198375807889</c:v>
                </c:pt>
                <c:pt idx="20">
                  <c:v>113.50198375807889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7C-492C-ACD5-509463ADC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979919"/>
        <c:axId val="1064978959"/>
      </c:lineChart>
      <c:dateAx>
        <c:axId val="1064979919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4978959"/>
        <c:crosses val="autoZero"/>
        <c:auto val="1"/>
        <c:lblOffset val="100"/>
        <c:baseTimeUnit val="months"/>
      </c:dateAx>
      <c:valAx>
        <c:axId val="106497895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649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V04 - AM4M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PainelDeVariaveis!$K$118:$K$127</c:f>
              <c:strCache>
                <c:ptCount val="10"/>
                <c:pt idx="0">
                  <c:v>Apurado</c:v>
                </c:pt>
                <c:pt idx="1">
                  <c:v>2,25</c:v>
                </c:pt>
                <c:pt idx="2">
                  <c:v>-1,25</c:v>
                </c:pt>
                <c:pt idx="3">
                  <c:v>1,25</c:v>
                </c:pt>
                <c:pt idx="4">
                  <c:v>0,5</c:v>
                </c:pt>
                <c:pt idx="5">
                  <c:v>-0,5</c:v>
                </c:pt>
                <c:pt idx="6">
                  <c:v>2,25</c:v>
                </c:pt>
                <c:pt idx="7">
                  <c:v>1</c:v>
                </c:pt>
                <c:pt idx="8">
                  <c:v>1</c:v>
                </c:pt>
                <c:pt idx="9">
                  <c:v>0,5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PainelDeVariaveis!$K$128:$K$148</c:f>
              <c:numCache>
                <c:formatCode>General</c:formatCode>
                <c:ptCount val="21"/>
                <c:pt idx="0">
                  <c:v>-2.5</c:v>
                </c:pt>
                <c:pt idx="1">
                  <c:v>-2.5</c:v>
                </c:pt>
                <c:pt idx="2">
                  <c:v>-1.75</c:v>
                </c:pt>
                <c:pt idx="3">
                  <c:v>0</c:v>
                </c:pt>
                <c:pt idx="4">
                  <c:v>4.25</c:v>
                </c:pt>
                <c:pt idx="5">
                  <c:v>3.75</c:v>
                </c:pt>
                <c:pt idx="6">
                  <c:v>4</c:v>
                </c:pt>
                <c:pt idx="7">
                  <c:v>2.75</c:v>
                </c:pt>
                <c:pt idx="8">
                  <c:v>-1.5</c:v>
                </c:pt>
                <c:pt idx="9">
                  <c:v>-2.5</c:v>
                </c:pt>
                <c:pt idx="10">
                  <c:v>-6</c:v>
                </c:pt>
                <c:pt idx="11">
                  <c:v>1.25</c:v>
                </c:pt>
                <c:pt idx="12">
                  <c:v>-0.75</c:v>
                </c:pt>
                <c:pt idx="13">
                  <c:v>0.5</c:v>
                </c:pt>
                <c:pt idx="14">
                  <c:v>3.5</c:v>
                </c:pt>
                <c:pt idx="15">
                  <c:v>-5</c:v>
                </c:pt>
                <c:pt idx="16">
                  <c:v>-2.5</c:v>
                </c:pt>
                <c:pt idx="17">
                  <c:v>-0.5</c:v>
                </c:pt>
                <c:pt idx="18">
                  <c:v>-0.75</c:v>
                </c:pt>
                <c:pt idx="19">
                  <c:v>2.5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8-42BB-8549-0EB71E5971D5}"/>
            </c:ext>
          </c:extLst>
        </c:ser>
        <c:ser>
          <c:idx val="1"/>
          <c:order val="1"/>
          <c:tx>
            <c:strRef>
              <c:f>PainelDeVariaveis!$L$118:$L$127</c:f>
              <c:strCache>
                <c:ptCount val="10"/>
                <c:pt idx="0">
                  <c:v>LIC</c:v>
                </c:pt>
                <c:pt idx="1">
                  <c:v>-6,973007112</c:v>
                </c:pt>
                <c:pt idx="2">
                  <c:v>-6,973007112</c:v>
                </c:pt>
                <c:pt idx="3">
                  <c:v>-6,973007112</c:v>
                </c:pt>
                <c:pt idx="4">
                  <c:v>-6,973007112</c:v>
                </c:pt>
                <c:pt idx="5">
                  <c:v>-6,973007112</c:v>
                </c:pt>
                <c:pt idx="6">
                  <c:v>-6,973007112</c:v>
                </c:pt>
                <c:pt idx="7">
                  <c:v>-6,973007112</c:v>
                </c:pt>
                <c:pt idx="8">
                  <c:v>-6,973007112</c:v>
                </c:pt>
                <c:pt idx="9">
                  <c:v>-6,973007112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38-42BB-8549-0EB71E5971D5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PainelDeVariaveis!$L$128:$L$148</c:f>
              <c:numCache>
                <c:formatCode>General</c:formatCode>
                <c:ptCount val="21"/>
                <c:pt idx="0">
                  <c:v>-6.973007111749407</c:v>
                </c:pt>
                <c:pt idx="1">
                  <c:v>-6.973007111749407</c:v>
                </c:pt>
                <c:pt idx="2">
                  <c:v>-6.973007111749407</c:v>
                </c:pt>
                <c:pt idx="3">
                  <c:v>-6.973007111749407</c:v>
                </c:pt>
                <c:pt idx="4">
                  <c:v>-6.973007111749407</c:v>
                </c:pt>
                <c:pt idx="5">
                  <c:v>-6.973007111749407</c:v>
                </c:pt>
                <c:pt idx="6">
                  <c:v>-6.973007111749407</c:v>
                </c:pt>
                <c:pt idx="7">
                  <c:v>-6.973007111749407</c:v>
                </c:pt>
                <c:pt idx="8">
                  <c:v>-6.973007111749407</c:v>
                </c:pt>
                <c:pt idx="9">
                  <c:v>-6.973007111749407</c:v>
                </c:pt>
                <c:pt idx="10">
                  <c:v>-6.973007111749407</c:v>
                </c:pt>
                <c:pt idx="11">
                  <c:v>-6.973007111749407</c:v>
                </c:pt>
                <c:pt idx="12">
                  <c:v>-6.973007111749407</c:v>
                </c:pt>
                <c:pt idx="13">
                  <c:v>-6.973007111749407</c:v>
                </c:pt>
                <c:pt idx="14">
                  <c:v>-6.973007111749407</c:v>
                </c:pt>
                <c:pt idx="15">
                  <c:v>-6.973007111749407</c:v>
                </c:pt>
                <c:pt idx="16">
                  <c:v>-6.973007111749407</c:v>
                </c:pt>
                <c:pt idx="17">
                  <c:v>-6.973007111749407</c:v>
                </c:pt>
                <c:pt idx="18">
                  <c:v>-6.973007111749407</c:v>
                </c:pt>
                <c:pt idx="19">
                  <c:v>-6.973007111749407</c:v>
                </c:pt>
                <c:pt idx="20">
                  <c:v>-6.973007111749407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38-42BB-8549-0EB71E5971D5}"/>
            </c:ext>
          </c:extLst>
        </c:ser>
        <c:ser>
          <c:idx val="2"/>
          <c:order val="2"/>
          <c:tx>
            <c:strRef>
              <c:f>PainelDeVariaveis!$M$118:$M$127</c:f>
              <c:strCache>
                <c:ptCount val="10"/>
                <c:pt idx="0">
                  <c:v>L2I</c:v>
                </c:pt>
                <c:pt idx="1">
                  <c:v>-4,508320531</c:v>
                </c:pt>
                <c:pt idx="2">
                  <c:v>-4,508320531</c:v>
                </c:pt>
                <c:pt idx="3">
                  <c:v>-4,508320531</c:v>
                </c:pt>
                <c:pt idx="4">
                  <c:v>-4,508320531</c:v>
                </c:pt>
                <c:pt idx="5">
                  <c:v>-4,508320531</c:v>
                </c:pt>
                <c:pt idx="6">
                  <c:v>-4,508320531</c:v>
                </c:pt>
                <c:pt idx="7">
                  <c:v>-4,508320531</c:v>
                </c:pt>
                <c:pt idx="8">
                  <c:v>-4,508320531</c:v>
                </c:pt>
                <c:pt idx="9">
                  <c:v>-4,508320531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PainelDeVariaveis!$M$128:$M$148</c:f>
              <c:numCache>
                <c:formatCode>General</c:formatCode>
                <c:ptCount val="21"/>
                <c:pt idx="0">
                  <c:v>-4.5083205306399545</c:v>
                </c:pt>
                <c:pt idx="1">
                  <c:v>-4.5083205306399545</c:v>
                </c:pt>
                <c:pt idx="2">
                  <c:v>-4.5083205306399545</c:v>
                </c:pt>
                <c:pt idx="3">
                  <c:v>-4.5083205306399545</c:v>
                </c:pt>
                <c:pt idx="4">
                  <c:v>-4.5083205306399545</c:v>
                </c:pt>
                <c:pt idx="5">
                  <c:v>-4.5083205306399545</c:v>
                </c:pt>
                <c:pt idx="6">
                  <c:v>-4.5083205306399545</c:v>
                </c:pt>
                <c:pt idx="7">
                  <c:v>-4.5083205306399545</c:v>
                </c:pt>
                <c:pt idx="8">
                  <c:v>-4.5083205306399545</c:v>
                </c:pt>
                <c:pt idx="9">
                  <c:v>-4.5083205306399545</c:v>
                </c:pt>
                <c:pt idx="10">
                  <c:v>-4.5083205306399545</c:v>
                </c:pt>
                <c:pt idx="11">
                  <c:v>-4.5083205306399545</c:v>
                </c:pt>
                <c:pt idx="12">
                  <c:v>-4.5083205306399545</c:v>
                </c:pt>
                <c:pt idx="13">
                  <c:v>-4.5083205306399545</c:v>
                </c:pt>
                <c:pt idx="14">
                  <c:v>-4.5083205306399545</c:v>
                </c:pt>
                <c:pt idx="15">
                  <c:v>-4.5083205306399545</c:v>
                </c:pt>
                <c:pt idx="16">
                  <c:v>-4.5083205306399545</c:v>
                </c:pt>
                <c:pt idx="17">
                  <c:v>-4.5083205306399545</c:v>
                </c:pt>
                <c:pt idx="18">
                  <c:v>-4.5083205306399545</c:v>
                </c:pt>
                <c:pt idx="19">
                  <c:v>-4.5083205306399545</c:v>
                </c:pt>
                <c:pt idx="20">
                  <c:v>-4.5083205306399545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38-42BB-8549-0EB71E5971D5}"/>
            </c:ext>
          </c:extLst>
        </c:ser>
        <c:ser>
          <c:idx val="3"/>
          <c:order val="3"/>
          <c:tx>
            <c:strRef>
              <c:f>PainelDeVariaveis!$N$118:$N$127</c:f>
              <c:strCache>
                <c:ptCount val="10"/>
                <c:pt idx="0">
                  <c:v>L1I</c:v>
                </c:pt>
                <c:pt idx="1">
                  <c:v>-2,04363395</c:v>
                </c:pt>
                <c:pt idx="2">
                  <c:v>-2,04363395</c:v>
                </c:pt>
                <c:pt idx="3">
                  <c:v>-2,04363395</c:v>
                </c:pt>
                <c:pt idx="4">
                  <c:v>-2,04363395</c:v>
                </c:pt>
                <c:pt idx="5">
                  <c:v>-2,04363395</c:v>
                </c:pt>
                <c:pt idx="6">
                  <c:v>-2,04363395</c:v>
                </c:pt>
                <c:pt idx="7">
                  <c:v>-2,04363395</c:v>
                </c:pt>
                <c:pt idx="8">
                  <c:v>-2,04363395</c:v>
                </c:pt>
                <c:pt idx="9">
                  <c:v>-2,04363395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PainelDeVariaveis!$N$128:$N$148</c:f>
              <c:numCache>
                <c:formatCode>General</c:formatCode>
                <c:ptCount val="21"/>
                <c:pt idx="0">
                  <c:v>-2.0436339495305038</c:v>
                </c:pt>
                <c:pt idx="1">
                  <c:v>-2.0436339495305038</c:v>
                </c:pt>
                <c:pt idx="2">
                  <c:v>-2.0436339495305038</c:v>
                </c:pt>
                <c:pt idx="3">
                  <c:v>-2.0436339495305038</c:v>
                </c:pt>
                <c:pt idx="4">
                  <c:v>-2.0436339495305038</c:v>
                </c:pt>
                <c:pt idx="5">
                  <c:v>-2.0436339495305038</c:v>
                </c:pt>
                <c:pt idx="6">
                  <c:v>-2.0436339495305038</c:v>
                </c:pt>
                <c:pt idx="7">
                  <c:v>-2.0436339495305038</c:v>
                </c:pt>
                <c:pt idx="8">
                  <c:v>-2.0436339495305038</c:v>
                </c:pt>
                <c:pt idx="9">
                  <c:v>-2.0436339495305038</c:v>
                </c:pt>
                <c:pt idx="10">
                  <c:v>-2.0436339495305038</c:v>
                </c:pt>
                <c:pt idx="11">
                  <c:v>-2.0436339495305038</c:v>
                </c:pt>
                <c:pt idx="12">
                  <c:v>-2.0436339495305038</c:v>
                </c:pt>
                <c:pt idx="13">
                  <c:v>-2.0436339495305038</c:v>
                </c:pt>
                <c:pt idx="14">
                  <c:v>-2.0436339495305038</c:v>
                </c:pt>
                <c:pt idx="15">
                  <c:v>-2.0436339495305038</c:v>
                </c:pt>
                <c:pt idx="16">
                  <c:v>-2.0436339495305038</c:v>
                </c:pt>
                <c:pt idx="17">
                  <c:v>-2.0436339495305038</c:v>
                </c:pt>
                <c:pt idx="18">
                  <c:v>-2.0436339495305038</c:v>
                </c:pt>
                <c:pt idx="19">
                  <c:v>-2.0436339495305038</c:v>
                </c:pt>
                <c:pt idx="20">
                  <c:v>-2.0436339495305038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38-42BB-8549-0EB71E5971D5}"/>
            </c:ext>
          </c:extLst>
        </c:ser>
        <c:ser>
          <c:idx val="4"/>
          <c:order val="4"/>
          <c:tx>
            <c:strRef>
              <c:f>PainelDeVariaveis!$O$118:$O$127</c:f>
              <c:strCache>
                <c:ptCount val="10"/>
                <c:pt idx="0">
                  <c:v>LMC</c:v>
                </c:pt>
                <c:pt idx="1">
                  <c:v>0,421052632</c:v>
                </c:pt>
                <c:pt idx="2">
                  <c:v>0,421052632</c:v>
                </c:pt>
                <c:pt idx="3">
                  <c:v>0,421052632</c:v>
                </c:pt>
                <c:pt idx="4">
                  <c:v>0,421052632</c:v>
                </c:pt>
                <c:pt idx="5">
                  <c:v>0,421052632</c:v>
                </c:pt>
                <c:pt idx="6">
                  <c:v>0,421052632</c:v>
                </c:pt>
                <c:pt idx="7">
                  <c:v>0,421052632</c:v>
                </c:pt>
                <c:pt idx="8">
                  <c:v>0,421052632</c:v>
                </c:pt>
                <c:pt idx="9">
                  <c:v>0,421052632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38-42BB-8549-0EB71E5971D5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PainelDeVariaveis!$O$128:$O$148</c:f>
              <c:numCache>
                <c:formatCode>General</c:formatCode>
                <c:ptCount val="21"/>
                <c:pt idx="0">
                  <c:v>0.42105263157894735</c:v>
                </c:pt>
                <c:pt idx="1">
                  <c:v>0.42105263157894735</c:v>
                </c:pt>
                <c:pt idx="2">
                  <c:v>0.42105263157894735</c:v>
                </c:pt>
                <c:pt idx="3">
                  <c:v>0.42105263157894735</c:v>
                </c:pt>
                <c:pt idx="4">
                  <c:v>0.42105263157894735</c:v>
                </c:pt>
                <c:pt idx="5">
                  <c:v>0.42105263157894735</c:v>
                </c:pt>
                <c:pt idx="6">
                  <c:v>0.42105263157894735</c:v>
                </c:pt>
                <c:pt idx="7">
                  <c:v>0.42105263157894735</c:v>
                </c:pt>
                <c:pt idx="8">
                  <c:v>0.42105263157894735</c:v>
                </c:pt>
                <c:pt idx="9">
                  <c:v>0.42105263157894735</c:v>
                </c:pt>
                <c:pt idx="10">
                  <c:v>0.42105263157894735</c:v>
                </c:pt>
                <c:pt idx="11">
                  <c:v>0.42105263157894735</c:v>
                </c:pt>
                <c:pt idx="12">
                  <c:v>0.42105263157894735</c:v>
                </c:pt>
                <c:pt idx="13">
                  <c:v>0.42105263157894735</c:v>
                </c:pt>
                <c:pt idx="14">
                  <c:v>0.42105263157894735</c:v>
                </c:pt>
                <c:pt idx="15">
                  <c:v>0.42105263157894735</c:v>
                </c:pt>
                <c:pt idx="16">
                  <c:v>0.42105263157894735</c:v>
                </c:pt>
                <c:pt idx="17">
                  <c:v>0.42105263157894735</c:v>
                </c:pt>
                <c:pt idx="18">
                  <c:v>0.42105263157894735</c:v>
                </c:pt>
                <c:pt idx="19">
                  <c:v>0.42105263157894735</c:v>
                </c:pt>
                <c:pt idx="20">
                  <c:v>0.42105263157894735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38-42BB-8549-0EB71E5971D5}"/>
            </c:ext>
          </c:extLst>
        </c:ser>
        <c:ser>
          <c:idx val="5"/>
          <c:order val="5"/>
          <c:tx>
            <c:strRef>
              <c:f>PainelDeVariaveis!$P$118:$P$127</c:f>
              <c:strCache>
                <c:ptCount val="10"/>
                <c:pt idx="0">
                  <c:v>L1S</c:v>
                </c:pt>
                <c:pt idx="1">
                  <c:v>2,885739213</c:v>
                </c:pt>
                <c:pt idx="2">
                  <c:v>2,885739213</c:v>
                </c:pt>
                <c:pt idx="3">
                  <c:v>2,885739213</c:v>
                </c:pt>
                <c:pt idx="4">
                  <c:v>2,885739213</c:v>
                </c:pt>
                <c:pt idx="5">
                  <c:v>2,885739213</c:v>
                </c:pt>
                <c:pt idx="6">
                  <c:v>2,885739213</c:v>
                </c:pt>
                <c:pt idx="7">
                  <c:v>2,885739213</c:v>
                </c:pt>
                <c:pt idx="8">
                  <c:v>2,885739213</c:v>
                </c:pt>
                <c:pt idx="9">
                  <c:v>2,885739213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PainelDeVariaveis!$P$128:$P$148</c:f>
              <c:numCache>
                <c:formatCode>General</c:formatCode>
                <c:ptCount val="21"/>
                <c:pt idx="0">
                  <c:v>2.8857392126883985</c:v>
                </c:pt>
                <c:pt idx="1">
                  <c:v>2.8857392126883985</c:v>
                </c:pt>
                <c:pt idx="2">
                  <c:v>2.8857392126883985</c:v>
                </c:pt>
                <c:pt idx="3">
                  <c:v>2.8857392126883985</c:v>
                </c:pt>
                <c:pt idx="4">
                  <c:v>2.8857392126883985</c:v>
                </c:pt>
                <c:pt idx="5">
                  <c:v>2.8857392126883985</c:v>
                </c:pt>
                <c:pt idx="6">
                  <c:v>2.8857392126883985</c:v>
                </c:pt>
                <c:pt idx="7">
                  <c:v>2.8857392126883985</c:v>
                </c:pt>
                <c:pt idx="8">
                  <c:v>2.8857392126883985</c:v>
                </c:pt>
                <c:pt idx="9">
                  <c:v>2.8857392126883985</c:v>
                </c:pt>
                <c:pt idx="10">
                  <c:v>2.8857392126883985</c:v>
                </c:pt>
                <c:pt idx="11">
                  <c:v>2.8857392126883985</c:v>
                </c:pt>
                <c:pt idx="12">
                  <c:v>2.8857392126883985</c:v>
                </c:pt>
                <c:pt idx="13">
                  <c:v>2.8857392126883985</c:v>
                </c:pt>
                <c:pt idx="14">
                  <c:v>2.8857392126883985</c:v>
                </c:pt>
                <c:pt idx="15">
                  <c:v>2.8857392126883985</c:v>
                </c:pt>
                <c:pt idx="16">
                  <c:v>2.8857392126883985</c:v>
                </c:pt>
                <c:pt idx="17">
                  <c:v>2.8857392126883985</c:v>
                </c:pt>
                <c:pt idx="18">
                  <c:v>2.8857392126883985</c:v>
                </c:pt>
                <c:pt idx="19">
                  <c:v>2.8857392126883985</c:v>
                </c:pt>
                <c:pt idx="20">
                  <c:v>2.8857392126883985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38-42BB-8549-0EB71E5971D5}"/>
            </c:ext>
          </c:extLst>
        </c:ser>
        <c:ser>
          <c:idx val="6"/>
          <c:order val="6"/>
          <c:tx>
            <c:strRef>
              <c:f>PainelDeVariaveis!$Q$118:$Q$127</c:f>
              <c:strCache>
                <c:ptCount val="10"/>
                <c:pt idx="0">
                  <c:v>L2S</c:v>
                </c:pt>
                <c:pt idx="1">
                  <c:v>5,350425794</c:v>
                </c:pt>
                <c:pt idx="2">
                  <c:v>5,350425794</c:v>
                </c:pt>
                <c:pt idx="3">
                  <c:v>5,350425794</c:v>
                </c:pt>
                <c:pt idx="4">
                  <c:v>5,350425794</c:v>
                </c:pt>
                <c:pt idx="5">
                  <c:v>5,350425794</c:v>
                </c:pt>
                <c:pt idx="6">
                  <c:v>5,350425794</c:v>
                </c:pt>
                <c:pt idx="7">
                  <c:v>5,350425794</c:v>
                </c:pt>
                <c:pt idx="8">
                  <c:v>5,350425794</c:v>
                </c:pt>
                <c:pt idx="9">
                  <c:v>5,350425794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PainelDeVariaveis!$Q$128:$Q$148</c:f>
              <c:numCache>
                <c:formatCode>General</c:formatCode>
                <c:ptCount val="21"/>
                <c:pt idx="0">
                  <c:v>5.3504257937978501</c:v>
                </c:pt>
                <c:pt idx="1">
                  <c:v>5.3504257937978501</c:v>
                </c:pt>
                <c:pt idx="2">
                  <c:v>5.3504257937978501</c:v>
                </c:pt>
                <c:pt idx="3">
                  <c:v>5.3504257937978501</c:v>
                </c:pt>
                <c:pt idx="4">
                  <c:v>5.3504257937978501</c:v>
                </c:pt>
                <c:pt idx="5">
                  <c:v>5.3504257937978501</c:v>
                </c:pt>
                <c:pt idx="6">
                  <c:v>5.3504257937978501</c:v>
                </c:pt>
                <c:pt idx="7">
                  <c:v>5.3504257937978501</c:v>
                </c:pt>
                <c:pt idx="8">
                  <c:v>5.3504257937978501</c:v>
                </c:pt>
                <c:pt idx="9">
                  <c:v>5.3504257937978501</c:v>
                </c:pt>
                <c:pt idx="10">
                  <c:v>5.3504257937978501</c:v>
                </c:pt>
                <c:pt idx="11">
                  <c:v>5.3504257937978501</c:v>
                </c:pt>
                <c:pt idx="12">
                  <c:v>5.3504257937978501</c:v>
                </c:pt>
                <c:pt idx="13">
                  <c:v>5.3504257937978501</c:v>
                </c:pt>
                <c:pt idx="14">
                  <c:v>5.3504257937978501</c:v>
                </c:pt>
                <c:pt idx="15">
                  <c:v>5.3504257937978501</c:v>
                </c:pt>
                <c:pt idx="16">
                  <c:v>5.3504257937978501</c:v>
                </c:pt>
                <c:pt idx="17">
                  <c:v>5.3504257937978501</c:v>
                </c:pt>
                <c:pt idx="18">
                  <c:v>5.3504257937978501</c:v>
                </c:pt>
                <c:pt idx="19">
                  <c:v>5.3504257937978501</c:v>
                </c:pt>
                <c:pt idx="20">
                  <c:v>5.3504257937978501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38-42BB-8549-0EB71E5971D5}"/>
            </c:ext>
          </c:extLst>
        </c:ser>
        <c:ser>
          <c:idx val="7"/>
          <c:order val="7"/>
          <c:tx>
            <c:strRef>
              <c:f>PainelDeVariaveis!$R$118:$R$127</c:f>
              <c:strCache>
                <c:ptCount val="10"/>
                <c:pt idx="0">
                  <c:v>LSC</c:v>
                </c:pt>
                <c:pt idx="1">
                  <c:v>7,815112375</c:v>
                </c:pt>
                <c:pt idx="2">
                  <c:v>7,815112375</c:v>
                </c:pt>
                <c:pt idx="3">
                  <c:v>7,815112375</c:v>
                </c:pt>
                <c:pt idx="4">
                  <c:v>7,815112375</c:v>
                </c:pt>
                <c:pt idx="5">
                  <c:v>7,815112375</c:v>
                </c:pt>
                <c:pt idx="6">
                  <c:v>7,815112375</c:v>
                </c:pt>
                <c:pt idx="7">
                  <c:v>7,815112375</c:v>
                </c:pt>
                <c:pt idx="8">
                  <c:v>7,815112375</c:v>
                </c:pt>
                <c:pt idx="9">
                  <c:v>7,815112375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38-42BB-8549-0EB71E5971D5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PainelDeVariaveis!$B$128:$B$148</c:f>
              <c:numCache>
                <c:formatCode>yyyy\.mm</c:formatCode>
                <c:ptCount val="21"/>
                <c:pt idx="0">
                  <c:v>45346</c:v>
                </c:pt>
                <c:pt idx="1">
                  <c:v>45375</c:v>
                </c:pt>
                <c:pt idx="2">
                  <c:v>45406</c:v>
                </c:pt>
                <c:pt idx="3">
                  <c:v>45436</c:v>
                </c:pt>
                <c:pt idx="4">
                  <c:v>45467</c:v>
                </c:pt>
                <c:pt idx="5">
                  <c:v>45497</c:v>
                </c:pt>
                <c:pt idx="6">
                  <c:v>45528</c:v>
                </c:pt>
                <c:pt idx="7">
                  <c:v>45559</c:v>
                </c:pt>
                <c:pt idx="8">
                  <c:v>45589</c:v>
                </c:pt>
                <c:pt idx="9">
                  <c:v>45620</c:v>
                </c:pt>
                <c:pt idx="10">
                  <c:v>45650</c:v>
                </c:pt>
                <c:pt idx="11">
                  <c:v>45681</c:v>
                </c:pt>
                <c:pt idx="12">
                  <c:v>45712</c:v>
                </c:pt>
                <c:pt idx="13">
                  <c:v>45740</c:v>
                </c:pt>
                <c:pt idx="14">
                  <c:v>45771</c:v>
                </c:pt>
                <c:pt idx="15">
                  <c:v>45801</c:v>
                </c:pt>
                <c:pt idx="16">
                  <c:v>45832</c:v>
                </c:pt>
                <c:pt idx="17">
                  <c:v>45862</c:v>
                </c:pt>
                <c:pt idx="18">
                  <c:v>45893</c:v>
                </c:pt>
                <c:pt idx="19">
                  <c:v>45924</c:v>
                </c:pt>
                <c:pt idx="20">
                  <c:v>45954</c:v>
                </c:pt>
              </c:numCache>
            </c:numRef>
          </c:cat>
          <c:val>
            <c:numRef>
              <c:f>PainelDeVariaveis!$R$128:$R$148</c:f>
              <c:numCache>
                <c:formatCode>General</c:formatCode>
                <c:ptCount val="21"/>
                <c:pt idx="0">
                  <c:v>7.8151123749073008</c:v>
                </c:pt>
                <c:pt idx="1">
                  <c:v>7.8151123749073008</c:v>
                </c:pt>
                <c:pt idx="2">
                  <c:v>7.8151123749073008</c:v>
                </c:pt>
                <c:pt idx="3">
                  <c:v>7.8151123749073008</c:v>
                </c:pt>
                <c:pt idx="4">
                  <c:v>7.8151123749073008</c:v>
                </c:pt>
                <c:pt idx="5">
                  <c:v>7.8151123749073008</c:v>
                </c:pt>
                <c:pt idx="6">
                  <c:v>7.8151123749073008</c:v>
                </c:pt>
                <c:pt idx="7">
                  <c:v>7.8151123749073008</c:v>
                </c:pt>
                <c:pt idx="8">
                  <c:v>7.8151123749073008</c:v>
                </c:pt>
                <c:pt idx="9">
                  <c:v>7.8151123749073008</c:v>
                </c:pt>
                <c:pt idx="10">
                  <c:v>7.8151123749073008</c:v>
                </c:pt>
                <c:pt idx="11">
                  <c:v>7.8151123749073008</c:v>
                </c:pt>
                <c:pt idx="12">
                  <c:v>7.8151123749073008</c:v>
                </c:pt>
                <c:pt idx="13">
                  <c:v>7.8151123749073008</c:v>
                </c:pt>
                <c:pt idx="14">
                  <c:v>7.8151123749073008</c:v>
                </c:pt>
                <c:pt idx="15">
                  <c:v>7.8151123749073008</c:v>
                </c:pt>
                <c:pt idx="16">
                  <c:v>7.8151123749073008</c:v>
                </c:pt>
                <c:pt idx="17">
                  <c:v>7.8151123749073008</c:v>
                </c:pt>
                <c:pt idx="18">
                  <c:v>7.8151123749073008</c:v>
                </c:pt>
                <c:pt idx="19">
                  <c:v>7.8151123749073008</c:v>
                </c:pt>
                <c:pt idx="20">
                  <c:v>7.8151123749073008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38-42BB-8549-0EB71E597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214544"/>
        <c:axId val="479221264"/>
      </c:lineChart>
      <c:dateAx>
        <c:axId val="479214544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9221264"/>
        <c:crosses val="autoZero"/>
        <c:auto val="1"/>
        <c:lblOffset val="100"/>
        <c:baseTimeUnit val="months"/>
      </c:dateAx>
      <c:valAx>
        <c:axId val="47922126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921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V11 - SM4M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PainelDeVariaveis!$C$377:$C$386</c:f>
              <c:strCache>
                <c:ptCount val="10"/>
                <c:pt idx="0">
                  <c:v>Apurado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PainelDeVariaveis!$C$387:$C$407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CF-4EC9-B8E0-9203BD5FB5A9}"/>
            </c:ext>
          </c:extLst>
        </c:ser>
        <c:ser>
          <c:idx val="1"/>
          <c:order val="1"/>
          <c:tx>
            <c:strRef>
              <c:f>PainelDeVariaveis!$D$377:$D$386</c:f>
              <c:strCache>
                <c:ptCount val="10"/>
                <c:pt idx="0">
                  <c:v>LIC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CF-4EC9-B8E0-9203BD5FB5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PainelDeVariaveis!$D$387:$D$407</c:f>
              <c:numCache>
                <c:formatCode>0.00</c:formatCode>
                <c:ptCount val="21"/>
                <c:pt idx="0">
                  <c:v>-2.992475714831607</c:v>
                </c:pt>
                <c:pt idx="1">
                  <c:v>-2.992475714831607</c:v>
                </c:pt>
                <c:pt idx="2">
                  <c:v>-2.992475714831607</c:v>
                </c:pt>
                <c:pt idx="3">
                  <c:v>-2.992475714831607</c:v>
                </c:pt>
                <c:pt idx="4">
                  <c:v>-2.992475714831607</c:v>
                </c:pt>
                <c:pt idx="5">
                  <c:v>-2.992475714831607</c:v>
                </c:pt>
                <c:pt idx="6">
                  <c:v>-2.992475714831607</c:v>
                </c:pt>
                <c:pt idx="7">
                  <c:v>-2.992475714831607</c:v>
                </c:pt>
                <c:pt idx="8">
                  <c:v>-2.992475714831607</c:v>
                </c:pt>
                <c:pt idx="9">
                  <c:v>-2.992475714831607</c:v>
                </c:pt>
                <c:pt idx="10">
                  <c:v>-2.992475714831607</c:v>
                </c:pt>
                <c:pt idx="11">
                  <c:v>-2.992475714831607</c:v>
                </c:pt>
                <c:pt idx="12">
                  <c:v>-2.992475714831607</c:v>
                </c:pt>
                <c:pt idx="13">
                  <c:v>-2.992475714831607</c:v>
                </c:pt>
                <c:pt idx="14">
                  <c:v>-2.992475714831607</c:v>
                </c:pt>
                <c:pt idx="15">
                  <c:v>-2.992475714831607</c:v>
                </c:pt>
                <c:pt idx="16">
                  <c:v>-2.992475714831607</c:v>
                </c:pt>
                <c:pt idx="17">
                  <c:v>-2.992475714831607</c:v>
                </c:pt>
                <c:pt idx="18">
                  <c:v>-2.992475714831607</c:v>
                </c:pt>
                <c:pt idx="19">
                  <c:v>-2.992475714831607</c:v>
                </c:pt>
                <c:pt idx="20">
                  <c:v>-2.992475714831607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CF-4EC9-B8E0-9203BD5FB5A9}"/>
            </c:ext>
          </c:extLst>
        </c:ser>
        <c:ser>
          <c:idx val="2"/>
          <c:order val="2"/>
          <c:tx>
            <c:strRef>
              <c:f>PainelDeVariaveis!$E$377:$E$386</c:f>
              <c:strCache>
                <c:ptCount val="10"/>
                <c:pt idx="0">
                  <c:v>L2I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PainelDeVariaveis!$E$387:$E$407</c:f>
              <c:numCache>
                <c:formatCode>0.00</c:formatCode>
                <c:ptCount val="21"/>
                <c:pt idx="0">
                  <c:v>-1.2756855642737031</c:v>
                </c:pt>
                <c:pt idx="1">
                  <c:v>-1.2756855642737031</c:v>
                </c:pt>
                <c:pt idx="2">
                  <c:v>-1.2756855642737031</c:v>
                </c:pt>
                <c:pt idx="3">
                  <c:v>-1.2756855642737031</c:v>
                </c:pt>
                <c:pt idx="4">
                  <c:v>-1.2756855642737031</c:v>
                </c:pt>
                <c:pt idx="5">
                  <c:v>-1.2756855642737031</c:v>
                </c:pt>
                <c:pt idx="6">
                  <c:v>-1.2756855642737031</c:v>
                </c:pt>
                <c:pt idx="7">
                  <c:v>-1.2756855642737031</c:v>
                </c:pt>
                <c:pt idx="8">
                  <c:v>-1.2756855642737031</c:v>
                </c:pt>
                <c:pt idx="9">
                  <c:v>-1.2756855642737031</c:v>
                </c:pt>
                <c:pt idx="10">
                  <c:v>-1.2756855642737031</c:v>
                </c:pt>
                <c:pt idx="11">
                  <c:v>-1.2756855642737031</c:v>
                </c:pt>
                <c:pt idx="12">
                  <c:v>-1.2756855642737031</c:v>
                </c:pt>
                <c:pt idx="13">
                  <c:v>-1.2756855642737031</c:v>
                </c:pt>
                <c:pt idx="14">
                  <c:v>-1.2756855642737031</c:v>
                </c:pt>
                <c:pt idx="15">
                  <c:v>-1.2756855642737031</c:v>
                </c:pt>
                <c:pt idx="16">
                  <c:v>-1.2756855642737031</c:v>
                </c:pt>
                <c:pt idx="17">
                  <c:v>-1.2756855642737031</c:v>
                </c:pt>
                <c:pt idx="18">
                  <c:v>-1.2756855642737031</c:v>
                </c:pt>
                <c:pt idx="19">
                  <c:v>-1.2756855642737031</c:v>
                </c:pt>
                <c:pt idx="20">
                  <c:v>-1.2756855642737031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CF-4EC9-B8E0-9203BD5FB5A9}"/>
            </c:ext>
          </c:extLst>
        </c:ser>
        <c:ser>
          <c:idx val="3"/>
          <c:order val="3"/>
          <c:tx>
            <c:strRef>
              <c:f>PainelDeVariaveis!$F$377:$F$386</c:f>
              <c:strCache>
                <c:ptCount val="10"/>
                <c:pt idx="0">
                  <c:v>L1I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PainelDeVariaveis!$F$387:$F$407</c:f>
              <c:numCache>
                <c:formatCode>0.00</c:formatCode>
                <c:ptCount val="21"/>
                <c:pt idx="0">
                  <c:v>0.44110458628420113</c:v>
                </c:pt>
                <c:pt idx="1">
                  <c:v>0.44110458628420113</c:v>
                </c:pt>
                <c:pt idx="2">
                  <c:v>0.44110458628420113</c:v>
                </c:pt>
                <c:pt idx="3">
                  <c:v>0.44110458628420113</c:v>
                </c:pt>
                <c:pt idx="4">
                  <c:v>0.44110458628420113</c:v>
                </c:pt>
                <c:pt idx="5">
                  <c:v>0.44110458628420113</c:v>
                </c:pt>
                <c:pt idx="6">
                  <c:v>0.44110458628420113</c:v>
                </c:pt>
                <c:pt idx="7">
                  <c:v>0.44110458628420113</c:v>
                </c:pt>
                <c:pt idx="8">
                  <c:v>0.44110458628420113</c:v>
                </c:pt>
                <c:pt idx="9">
                  <c:v>0.44110458628420113</c:v>
                </c:pt>
                <c:pt idx="10">
                  <c:v>0.44110458628420113</c:v>
                </c:pt>
                <c:pt idx="11">
                  <c:v>0.44110458628420113</c:v>
                </c:pt>
                <c:pt idx="12">
                  <c:v>0.44110458628420113</c:v>
                </c:pt>
                <c:pt idx="13">
                  <c:v>0.44110458628420113</c:v>
                </c:pt>
                <c:pt idx="14">
                  <c:v>0.44110458628420113</c:v>
                </c:pt>
                <c:pt idx="15">
                  <c:v>0.44110458628420113</c:v>
                </c:pt>
                <c:pt idx="16">
                  <c:v>0.44110458628420113</c:v>
                </c:pt>
                <c:pt idx="17">
                  <c:v>0.44110458628420113</c:v>
                </c:pt>
                <c:pt idx="18">
                  <c:v>0.44110458628420113</c:v>
                </c:pt>
                <c:pt idx="19">
                  <c:v>0.44110458628420113</c:v>
                </c:pt>
                <c:pt idx="20">
                  <c:v>0.44110458628420113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CF-4EC9-B8E0-9203BD5FB5A9}"/>
            </c:ext>
          </c:extLst>
        </c:ser>
        <c:ser>
          <c:idx val="4"/>
          <c:order val="4"/>
          <c:tx>
            <c:strRef>
              <c:f>PainelDeVariaveis!$G$377:$G$386</c:f>
              <c:strCache>
                <c:ptCount val="10"/>
                <c:pt idx="0">
                  <c:v>LMC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5CF-4EC9-B8E0-9203BD5FB5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PainelDeVariaveis!$G$387:$G$407</c:f>
              <c:numCache>
                <c:formatCode>0.00</c:formatCode>
                <c:ptCount val="21"/>
                <c:pt idx="0">
                  <c:v>2.1578947368421053</c:v>
                </c:pt>
                <c:pt idx="1">
                  <c:v>2.1578947368421053</c:v>
                </c:pt>
                <c:pt idx="2">
                  <c:v>2.1578947368421053</c:v>
                </c:pt>
                <c:pt idx="3">
                  <c:v>2.1578947368421053</c:v>
                </c:pt>
                <c:pt idx="4">
                  <c:v>2.1578947368421053</c:v>
                </c:pt>
                <c:pt idx="5">
                  <c:v>2.1578947368421053</c:v>
                </c:pt>
                <c:pt idx="6">
                  <c:v>2.1578947368421053</c:v>
                </c:pt>
                <c:pt idx="7">
                  <c:v>2.1578947368421053</c:v>
                </c:pt>
                <c:pt idx="8">
                  <c:v>2.1578947368421053</c:v>
                </c:pt>
                <c:pt idx="9">
                  <c:v>2.1578947368421053</c:v>
                </c:pt>
                <c:pt idx="10">
                  <c:v>2.1578947368421053</c:v>
                </c:pt>
                <c:pt idx="11">
                  <c:v>2.1578947368421053</c:v>
                </c:pt>
                <c:pt idx="12">
                  <c:v>2.1578947368421053</c:v>
                </c:pt>
                <c:pt idx="13">
                  <c:v>2.1578947368421053</c:v>
                </c:pt>
                <c:pt idx="14">
                  <c:v>2.1578947368421053</c:v>
                </c:pt>
                <c:pt idx="15">
                  <c:v>2.1578947368421053</c:v>
                </c:pt>
                <c:pt idx="16">
                  <c:v>2.1578947368421053</c:v>
                </c:pt>
                <c:pt idx="17">
                  <c:v>2.1578947368421053</c:v>
                </c:pt>
                <c:pt idx="18">
                  <c:v>2.1578947368421053</c:v>
                </c:pt>
                <c:pt idx="19">
                  <c:v>2.1578947368421053</c:v>
                </c:pt>
                <c:pt idx="20">
                  <c:v>2.1578947368421053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CF-4EC9-B8E0-9203BD5FB5A9}"/>
            </c:ext>
          </c:extLst>
        </c:ser>
        <c:ser>
          <c:idx val="5"/>
          <c:order val="5"/>
          <c:tx>
            <c:strRef>
              <c:f>PainelDeVariaveis!$H$377:$H$386</c:f>
              <c:strCache>
                <c:ptCount val="10"/>
                <c:pt idx="0">
                  <c:v>L1S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PainelDeVariaveis!$H$387:$H$407</c:f>
              <c:numCache>
                <c:formatCode>0.00</c:formatCode>
                <c:ptCount val="21"/>
                <c:pt idx="0">
                  <c:v>3.8746848874000097</c:v>
                </c:pt>
                <c:pt idx="1">
                  <c:v>3.8746848874000097</c:v>
                </c:pt>
                <c:pt idx="2">
                  <c:v>3.8746848874000097</c:v>
                </c:pt>
                <c:pt idx="3">
                  <c:v>3.8746848874000097</c:v>
                </c:pt>
                <c:pt idx="4">
                  <c:v>3.8746848874000097</c:v>
                </c:pt>
                <c:pt idx="5">
                  <c:v>3.8746848874000097</c:v>
                </c:pt>
                <c:pt idx="6">
                  <c:v>3.8746848874000097</c:v>
                </c:pt>
                <c:pt idx="7">
                  <c:v>3.8746848874000097</c:v>
                </c:pt>
                <c:pt idx="8">
                  <c:v>3.8746848874000097</c:v>
                </c:pt>
                <c:pt idx="9">
                  <c:v>3.8746848874000097</c:v>
                </c:pt>
                <c:pt idx="10">
                  <c:v>3.8746848874000097</c:v>
                </c:pt>
                <c:pt idx="11">
                  <c:v>3.8746848874000097</c:v>
                </c:pt>
                <c:pt idx="12">
                  <c:v>3.8746848874000097</c:v>
                </c:pt>
                <c:pt idx="13">
                  <c:v>3.8746848874000097</c:v>
                </c:pt>
                <c:pt idx="14">
                  <c:v>3.8746848874000097</c:v>
                </c:pt>
                <c:pt idx="15">
                  <c:v>3.8746848874000097</c:v>
                </c:pt>
                <c:pt idx="16">
                  <c:v>3.8746848874000097</c:v>
                </c:pt>
                <c:pt idx="17">
                  <c:v>3.8746848874000097</c:v>
                </c:pt>
                <c:pt idx="18">
                  <c:v>3.8746848874000097</c:v>
                </c:pt>
                <c:pt idx="19">
                  <c:v>3.8746848874000097</c:v>
                </c:pt>
                <c:pt idx="20">
                  <c:v>3.8746848874000097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CF-4EC9-B8E0-9203BD5FB5A9}"/>
            </c:ext>
          </c:extLst>
        </c:ser>
        <c:ser>
          <c:idx val="6"/>
          <c:order val="6"/>
          <c:tx>
            <c:strRef>
              <c:f>PainelDeVariaveis!$I$377:$I$386</c:f>
              <c:strCache>
                <c:ptCount val="10"/>
                <c:pt idx="0">
                  <c:v>L2S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PainelDeVariaveis!$I$387:$I$407</c:f>
              <c:numCache>
                <c:formatCode>0.00</c:formatCode>
                <c:ptCount val="21"/>
                <c:pt idx="0">
                  <c:v>5.5914750379579132</c:v>
                </c:pt>
                <c:pt idx="1">
                  <c:v>5.5914750379579132</c:v>
                </c:pt>
                <c:pt idx="2">
                  <c:v>5.5914750379579132</c:v>
                </c:pt>
                <c:pt idx="3">
                  <c:v>5.5914750379579132</c:v>
                </c:pt>
                <c:pt idx="4">
                  <c:v>5.5914750379579132</c:v>
                </c:pt>
                <c:pt idx="5">
                  <c:v>5.5914750379579132</c:v>
                </c:pt>
                <c:pt idx="6">
                  <c:v>5.5914750379579132</c:v>
                </c:pt>
                <c:pt idx="7">
                  <c:v>5.5914750379579132</c:v>
                </c:pt>
                <c:pt idx="8">
                  <c:v>5.5914750379579132</c:v>
                </c:pt>
                <c:pt idx="9">
                  <c:v>5.5914750379579132</c:v>
                </c:pt>
                <c:pt idx="10">
                  <c:v>5.5914750379579132</c:v>
                </c:pt>
                <c:pt idx="11">
                  <c:v>5.5914750379579132</c:v>
                </c:pt>
                <c:pt idx="12">
                  <c:v>5.5914750379579132</c:v>
                </c:pt>
                <c:pt idx="13">
                  <c:v>5.5914750379579132</c:v>
                </c:pt>
                <c:pt idx="14">
                  <c:v>5.5914750379579132</c:v>
                </c:pt>
                <c:pt idx="15">
                  <c:v>5.5914750379579132</c:v>
                </c:pt>
                <c:pt idx="16">
                  <c:v>5.5914750379579132</c:v>
                </c:pt>
                <c:pt idx="17">
                  <c:v>5.5914750379579132</c:v>
                </c:pt>
                <c:pt idx="18">
                  <c:v>5.5914750379579132</c:v>
                </c:pt>
                <c:pt idx="19">
                  <c:v>5.5914750379579132</c:v>
                </c:pt>
                <c:pt idx="20">
                  <c:v>5.5914750379579132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CF-4EC9-B8E0-9203BD5FB5A9}"/>
            </c:ext>
          </c:extLst>
        </c:ser>
        <c:ser>
          <c:idx val="7"/>
          <c:order val="7"/>
          <c:tx>
            <c:strRef>
              <c:f>PainelDeVariaveis!$J$377:$J$386</c:f>
              <c:strCache>
                <c:ptCount val="10"/>
                <c:pt idx="0">
                  <c:v>LSC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5CF-4EC9-B8E0-9203BD5FB5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PainelDeVariaveis!$J$387:$J$407</c:f>
              <c:numCache>
                <c:formatCode>0.00</c:formatCode>
                <c:ptCount val="21"/>
                <c:pt idx="0">
                  <c:v>7.3082651885158176</c:v>
                </c:pt>
                <c:pt idx="1">
                  <c:v>7.3082651885158176</c:v>
                </c:pt>
                <c:pt idx="2">
                  <c:v>7.3082651885158176</c:v>
                </c:pt>
                <c:pt idx="3">
                  <c:v>7.3082651885158176</c:v>
                </c:pt>
                <c:pt idx="4">
                  <c:v>7.3082651885158176</c:v>
                </c:pt>
                <c:pt idx="5">
                  <c:v>7.3082651885158176</c:v>
                </c:pt>
                <c:pt idx="6">
                  <c:v>7.3082651885158176</c:v>
                </c:pt>
                <c:pt idx="7">
                  <c:v>7.3082651885158176</c:v>
                </c:pt>
                <c:pt idx="8">
                  <c:v>7.3082651885158176</c:v>
                </c:pt>
                <c:pt idx="9">
                  <c:v>7.3082651885158176</c:v>
                </c:pt>
                <c:pt idx="10">
                  <c:v>7.3082651885158176</c:v>
                </c:pt>
                <c:pt idx="11">
                  <c:v>7.3082651885158176</c:v>
                </c:pt>
                <c:pt idx="12">
                  <c:v>7.3082651885158176</c:v>
                </c:pt>
                <c:pt idx="13">
                  <c:v>7.3082651885158176</c:v>
                </c:pt>
                <c:pt idx="14">
                  <c:v>7.3082651885158176</c:v>
                </c:pt>
                <c:pt idx="15">
                  <c:v>7.3082651885158176</c:v>
                </c:pt>
                <c:pt idx="16">
                  <c:v>7.3082651885158176</c:v>
                </c:pt>
                <c:pt idx="17">
                  <c:v>7.3082651885158176</c:v>
                </c:pt>
                <c:pt idx="18">
                  <c:v>7.3082651885158176</c:v>
                </c:pt>
                <c:pt idx="19">
                  <c:v>7.3082651885158176</c:v>
                </c:pt>
                <c:pt idx="20">
                  <c:v>7.3082651885158176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CF-4EC9-B8E0-9203BD5FB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979919"/>
        <c:axId val="1064978959"/>
      </c:lineChart>
      <c:dateAx>
        <c:axId val="1064979919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4978959"/>
        <c:crosses val="autoZero"/>
        <c:auto val="1"/>
        <c:lblOffset val="100"/>
        <c:baseTimeUnit val="months"/>
      </c:dateAx>
      <c:valAx>
        <c:axId val="106497895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649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V11 - AM4M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PainelDeVariaveis!$K$377:$K$386</c:f>
              <c:strCache>
                <c:ptCount val="10"/>
                <c:pt idx="0">
                  <c:v>Apurado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PainelDeVariaveis!$K$387:$K$407</c:f>
              <c:numCache>
                <c:formatCode>General</c:formatCode>
                <c:ptCount val="21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-0.25</c:v>
                </c:pt>
                <c:pt idx="6">
                  <c:v>0</c:v>
                </c:pt>
                <c:pt idx="7">
                  <c:v>0.25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-0.25</c:v>
                </c:pt>
                <c:pt idx="12">
                  <c:v>0</c:v>
                </c:pt>
                <c:pt idx="13">
                  <c:v>0.5</c:v>
                </c:pt>
                <c:pt idx="14">
                  <c:v>0.25</c:v>
                </c:pt>
                <c:pt idx="15">
                  <c:v>0</c:v>
                </c:pt>
                <c:pt idx="16">
                  <c:v>0.25</c:v>
                </c:pt>
                <c:pt idx="17">
                  <c:v>-0.5</c:v>
                </c:pt>
                <c:pt idx="18">
                  <c:v>-0.25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3-453F-A0F6-4927501C8FB3}"/>
            </c:ext>
          </c:extLst>
        </c:ser>
        <c:ser>
          <c:idx val="1"/>
          <c:order val="1"/>
          <c:tx>
            <c:strRef>
              <c:f>PainelDeVariaveis!$L$377:$L$386</c:f>
              <c:strCache>
                <c:ptCount val="10"/>
                <c:pt idx="0">
                  <c:v>LIC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PainelDeVariaveis!$L$387:$L$407</c:f>
              <c:numCache>
                <c:formatCode>General</c:formatCode>
                <c:ptCount val="21"/>
                <c:pt idx="0">
                  <c:v>-0.87603148159081301</c:v>
                </c:pt>
                <c:pt idx="1">
                  <c:v>-0.87603148159081301</c:v>
                </c:pt>
                <c:pt idx="2">
                  <c:v>-0.87603148159081301</c:v>
                </c:pt>
                <c:pt idx="3">
                  <c:v>-0.87603148159081301</c:v>
                </c:pt>
                <c:pt idx="4">
                  <c:v>-0.87603148159081301</c:v>
                </c:pt>
                <c:pt idx="5">
                  <c:v>-0.87603148159081301</c:v>
                </c:pt>
                <c:pt idx="6">
                  <c:v>-0.87603148159081301</c:v>
                </c:pt>
                <c:pt idx="7">
                  <c:v>-0.87603148159081301</c:v>
                </c:pt>
                <c:pt idx="8">
                  <c:v>-0.87603148159081301</c:v>
                </c:pt>
                <c:pt idx="9">
                  <c:v>-0.87603148159081301</c:v>
                </c:pt>
                <c:pt idx="10">
                  <c:v>-0.87603148159081301</c:v>
                </c:pt>
                <c:pt idx="11">
                  <c:v>-0.87603148159081301</c:v>
                </c:pt>
                <c:pt idx="12">
                  <c:v>-0.87603148159081301</c:v>
                </c:pt>
                <c:pt idx="13">
                  <c:v>-0.87603148159081301</c:v>
                </c:pt>
                <c:pt idx="14">
                  <c:v>-0.87603148159081301</c:v>
                </c:pt>
                <c:pt idx="15">
                  <c:v>-0.87603148159081301</c:v>
                </c:pt>
                <c:pt idx="16">
                  <c:v>-0.87603148159081301</c:v>
                </c:pt>
                <c:pt idx="17">
                  <c:v>-0.87603148159081301</c:v>
                </c:pt>
                <c:pt idx="18">
                  <c:v>-0.87603148159081301</c:v>
                </c:pt>
                <c:pt idx="19">
                  <c:v>-0.87603148159081301</c:v>
                </c:pt>
                <c:pt idx="20">
                  <c:v>-0.87603148159081301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23-453F-A0F6-4927501C8FB3}"/>
            </c:ext>
          </c:extLst>
        </c:ser>
        <c:ser>
          <c:idx val="2"/>
          <c:order val="2"/>
          <c:tx>
            <c:strRef>
              <c:f>PainelDeVariaveis!$M$377:$M$386</c:f>
              <c:strCache>
                <c:ptCount val="10"/>
                <c:pt idx="0">
                  <c:v>L2I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PainelDeVariaveis!$M$387:$M$407</c:f>
              <c:numCache>
                <c:formatCode>General</c:formatCode>
                <c:ptCount val="21"/>
                <c:pt idx="0">
                  <c:v>-0.57305607544650694</c:v>
                </c:pt>
                <c:pt idx="1">
                  <c:v>-0.57305607544650694</c:v>
                </c:pt>
                <c:pt idx="2">
                  <c:v>-0.57305607544650694</c:v>
                </c:pt>
                <c:pt idx="3">
                  <c:v>-0.57305607544650694</c:v>
                </c:pt>
                <c:pt idx="4">
                  <c:v>-0.57305607544650694</c:v>
                </c:pt>
                <c:pt idx="5">
                  <c:v>-0.57305607544650694</c:v>
                </c:pt>
                <c:pt idx="6">
                  <c:v>-0.57305607544650694</c:v>
                </c:pt>
                <c:pt idx="7">
                  <c:v>-0.57305607544650694</c:v>
                </c:pt>
                <c:pt idx="8">
                  <c:v>-0.57305607544650694</c:v>
                </c:pt>
                <c:pt idx="9">
                  <c:v>-0.57305607544650694</c:v>
                </c:pt>
                <c:pt idx="10">
                  <c:v>-0.57305607544650694</c:v>
                </c:pt>
                <c:pt idx="11">
                  <c:v>-0.57305607544650694</c:v>
                </c:pt>
                <c:pt idx="12">
                  <c:v>-0.57305607544650694</c:v>
                </c:pt>
                <c:pt idx="13">
                  <c:v>-0.57305607544650694</c:v>
                </c:pt>
                <c:pt idx="14">
                  <c:v>-0.57305607544650694</c:v>
                </c:pt>
                <c:pt idx="15">
                  <c:v>-0.57305607544650694</c:v>
                </c:pt>
                <c:pt idx="16">
                  <c:v>-0.57305607544650694</c:v>
                </c:pt>
                <c:pt idx="17">
                  <c:v>-0.57305607544650694</c:v>
                </c:pt>
                <c:pt idx="18">
                  <c:v>-0.57305607544650694</c:v>
                </c:pt>
                <c:pt idx="19">
                  <c:v>-0.57305607544650694</c:v>
                </c:pt>
                <c:pt idx="20">
                  <c:v>-0.57305607544650694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23-453F-A0F6-4927501C8FB3}"/>
            </c:ext>
          </c:extLst>
        </c:ser>
        <c:ser>
          <c:idx val="3"/>
          <c:order val="3"/>
          <c:tx>
            <c:strRef>
              <c:f>PainelDeVariaveis!$N$377:$N$386</c:f>
              <c:strCache>
                <c:ptCount val="10"/>
                <c:pt idx="0">
                  <c:v>L1I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PainelDeVariaveis!$N$387:$N$407</c:f>
              <c:numCache>
                <c:formatCode>General</c:formatCode>
                <c:ptCount val="21"/>
                <c:pt idx="0">
                  <c:v>-0.27008066930220087</c:v>
                </c:pt>
                <c:pt idx="1">
                  <c:v>-0.27008066930220087</c:v>
                </c:pt>
                <c:pt idx="2">
                  <c:v>-0.27008066930220087</c:v>
                </c:pt>
                <c:pt idx="3">
                  <c:v>-0.27008066930220087</c:v>
                </c:pt>
                <c:pt idx="4">
                  <c:v>-0.27008066930220087</c:v>
                </c:pt>
                <c:pt idx="5">
                  <c:v>-0.27008066930220087</c:v>
                </c:pt>
                <c:pt idx="6">
                  <c:v>-0.27008066930220087</c:v>
                </c:pt>
                <c:pt idx="7">
                  <c:v>-0.27008066930220087</c:v>
                </c:pt>
                <c:pt idx="8">
                  <c:v>-0.27008066930220087</c:v>
                </c:pt>
                <c:pt idx="9">
                  <c:v>-0.27008066930220087</c:v>
                </c:pt>
                <c:pt idx="10">
                  <c:v>-0.27008066930220087</c:v>
                </c:pt>
                <c:pt idx="11">
                  <c:v>-0.27008066930220087</c:v>
                </c:pt>
                <c:pt idx="12">
                  <c:v>-0.27008066930220087</c:v>
                </c:pt>
                <c:pt idx="13">
                  <c:v>-0.27008066930220087</c:v>
                </c:pt>
                <c:pt idx="14">
                  <c:v>-0.27008066930220087</c:v>
                </c:pt>
                <c:pt idx="15">
                  <c:v>-0.27008066930220087</c:v>
                </c:pt>
                <c:pt idx="16">
                  <c:v>-0.27008066930220087</c:v>
                </c:pt>
                <c:pt idx="17">
                  <c:v>-0.27008066930220087</c:v>
                </c:pt>
                <c:pt idx="18">
                  <c:v>-0.27008066930220087</c:v>
                </c:pt>
                <c:pt idx="19">
                  <c:v>-0.27008066930220087</c:v>
                </c:pt>
                <c:pt idx="20">
                  <c:v>-0.27008066930220087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23-453F-A0F6-4927501C8FB3}"/>
            </c:ext>
          </c:extLst>
        </c:ser>
        <c:ser>
          <c:idx val="4"/>
          <c:order val="4"/>
          <c:tx>
            <c:strRef>
              <c:f>PainelDeVariaveis!$O$377:$O$386</c:f>
              <c:strCache>
                <c:ptCount val="10"/>
                <c:pt idx="0">
                  <c:v>LMC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PainelDeVariaveis!$O$387:$O$407</c:f>
              <c:numCache>
                <c:formatCode>General</c:formatCode>
                <c:ptCount val="21"/>
                <c:pt idx="0">
                  <c:v>3.2894736842105261E-2</c:v>
                </c:pt>
                <c:pt idx="1">
                  <c:v>3.2894736842105261E-2</c:v>
                </c:pt>
                <c:pt idx="2">
                  <c:v>3.2894736842105261E-2</c:v>
                </c:pt>
                <c:pt idx="3">
                  <c:v>3.2894736842105261E-2</c:v>
                </c:pt>
                <c:pt idx="4">
                  <c:v>3.2894736842105261E-2</c:v>
                </c:pt>
                <c:pt idx="5">
                  <c:v>3.2894736842105261E-2</c:v>
                </c:pt>
                <c:pt idx="6">
                  <c:v>3.2894736842105261E-2</c:v>
                </c:pt>
                <c:pt idx="7">
                  <c:v>3.2894736842105261E-2</c:v>
                </c:pt>
                <c:pt idx="8">
                  <c:v>3.2894736842105261E-2</c:v>
                </c:pt>
                <c:pt idx="9">
                  <c:v>3.2894736842105261E-2</c:v>
                </c:pt>
                <c:pt idx="10">
                  <c:v>3.2894736842105261E-2</c:v>
                </c:pt>
                <c:pt idx="11">
                  <c:v>3.2894736842105261E-2</c:v>
                </c:pt>
                <c:pt idx="12">
                  <c:v>3.2894736842105261E-2</c:v>
                </c:pt>
                <c:pt idx="13">
                  <c:v>3.2894736842105261E-2</c:v>
                </c:pt>
                <c:pt idx="14">
                  <c:v>3.2894736842105261E-2</c:v>
                </c:pt>
                <c:pt idx="15">
                  <c:v>3.2894736842105261E-2</c:v>
                </c:pt>
                <c:pt idx="16">
                  <c:v>3.2894736842105261E-2</c:v>
                </c:pt>
                <c:pt idx="17">
                  <c:v>3.2894736842105261E-2</c:v>
                </c:pt>
                <c:pt idx="18">
                  <c:v>3.2894736842105261E-2</c:v>
                </c:pt>
                <c:pt idx="19">
                  <c:v>3.2894736842105261E-2</c:v>
                </c:pt>
                <c:pt idx="20">
                  <c:v>3.2894736842105261E-2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23-453F-A0F6-4927501C8FB3}"/>
            </c:ext>
          </c:extLst>
        </c:ser>
        <c:ser>
          <c:idx val="5"/>
          <c:order val="5"/>
          <c:tx>
            <c:strRef>
              <c:f>PainelDeVariaveis!$P$377:$P$386</c:f>
              <c:strCache>
                <c:ptCount val="10"/>
                <c:pt idx="0">
                  <c:v>L1S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PainelDeVariaveis!$P$387:$P$407</c:f>
              <c:numCache>
                <c:formatCode>General</c:formatCode>
                <c:ptCount val="21"/>
                <c:pt idx="0">
                  <c:v>0.33587014298641138</c:v>
                </c:pt>
                <c:pt idx="1">
                  <c:v>0.33587014298641138</c:v>
                </c:pt>
                <c:pt idx="2">
                  <c:v>0.33587014298641138</c:v>
                </c:pt>
                <c:pt idx="3">
                  <c:v>0.33587014298641138</c:v>
                </c:pt>
                <c:pt idx="4">
                  <c:v>0.33587014298641138</c:v>
                </c:pt>
                <c:pt idx="5">
                  <c:v>0.33587014298641138</c:v>
                </c:pt>
                <c:pt idx="6">
                  <c:v>0.33587014298641138</c:v>
                </c:pt>
                <c:pt idx="7">
                  <c:v>0.33587014298641138</c:v>
                </c:pt>
                <c:pt idx="8">
                  <c:v>0.33587014298641138</c:v>
                </c:pt>
                <c:pt idx="9">
                  <c:v>0.33587014298641138</c:v>
                </c:pt>
                <c:pt idx="10">
                  <c:v>0.33587014298641138</c:v>
                </c:pt>
                <c:pt idx="11">
                  <c:v>0.33587014298641138</c:v>
                </c:pt>
                <c:pt idx="12">
                  <c:v>0.33587014298641138</c:v>
                </c:pt>
                <c:pt idx="13">
                  <c:v>0.33587014298641138</c:v>
                </c:pt>
                <c:pt idx="14">
                  <c:v>0.33587014298641138</c:v>
                </c:pt>
                <c:pt idx="15">
                  <c:v>0.33587014298641138</c:v>
                </c:pt>
                <c:pt idx="16">
                  <c:v>0.33587014298641138</c:v>
                </c:pt>
                <c:pt idx="17">
                  <c:v>0.33587014298641138</c:v>
                </c:pt>
                <c:pt idx="18">
                  <c:v>0.33587014298641138</c:v>
                </c:pt>
                <c:pt idx="19">
                  <c:v>0.33587014298641138</c:v>
                </c:pt>
                <c:pt idx="20">
                  <c:v>0.33587014298641138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23-453F-A0F6-4927501C8FB3}"/>
            </c:ext>
          </c:extLst>
        </c:ser>
        <c:ser>
          <c:idx val="6"/>
          <c:order val="6"/>
          <c:tx>
            <c:strRef>
              <c:f>PainelDeVariaveis!$Q$377:$Q$386</c:f>
              <c:strCache>
                <c:ptCount val="10"/>
                <c:pt idx="0">
                  <c:v>L2S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PainelDeVariaveis!$Q$387:$Q$407</c:f>
              <c:numCache>
                <c:formatCode>General</c:formatCode>
                <c:ptCount val="21"/>
                <c:pt idx="0">
                  <c:v>0.63884554913071756</c:v>
                </c:pt>
                <c:pt idx="1">
                  <c:v>0.63884554913071756</c:v>
                </c:pt>
                <c:pt idx="2">
                  <c:v>0.63884554913071756</c:v>
                </c:pt>
                <c:pt idx="3">
                  <c:v>0.63884554913071756</c:v>
                </c:pt>
                <c:pt idx="4">
                  <c:v>0.63884554913071756</c:v>
                </c:pt>
                <c:pt idx="5">
                  <c:v>0.63884554913071756</c:v>
                </c:pt>
                <c:pt idx="6">
                  <c:v>0.63884554913071756</c:v>
                </c:pt>
                <c:pt idx="7">
                  <c:v>0.63884554913071756</c:v>
                </c:pt>
                <c:pt idx="8">
                  <c:v>0.63884554913071756</c:v>
                </c:pt>
                <c:pt idx="9">
                  <c:v>0.63884554913071756</c:v>
                </c:pt>
                <c:pt idx="10">
                  <c:v>0.63884554913071756</c:v>
                </c:pt>
                <c:pt idx="11">
                  <c:v>0.63884554913071756</c:v>
                </c:pt>
                <c:pt idx="12">
                  <c:v>0.63884554913071756</c:v>
                </c:pt>
                <c:pt idx="13">
                  <c:v>0.63884554913071756</c:v>
                </c:pt>
                <c:pt idx="14">
                  <c:v>0.63884554913071756</c:v>
                </c:pt>
                <c:pt idx="15">
                  <c:v>0.63884554913071756</c:v>
                </c:pt>
                <c:pt idx="16">
                  <c:v>0.63884554913071756</c:v>
                </c:pt>
                <c:pt idx="17">
                  <c:v>0.63884554913071756</c:v>
                </c:pt>
                <c:pt idx="18">
                  <c:v>0.63884554913071756</c:v>
                </c:pt>
                <c:pt idx="19">
                  <c:v>0.63884554913071756</c:v>
                </c:pt>
                <c:pt idx="20">
                  <c:v>0.63884554913071756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23-453F-A0F6-4927501C8FB3}"/>
            </c:ext>
          </c:extLst>
        </c:ser>
        <c:ser>
          <c:idx val="7"/>
          <c:order val="7"/>
          <c:tx>
            <c:strRef>
              <c:f>PainelDeVariaveis!$R$377:$R$386</c:f>
              <c:strCache>
                <c:ptCount val="10"/>
                <c:pt idx="0">
                  <c:v>LSC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PainelDeVariaveis!$B$387:$B$407</c:f>
              <c:numCache>
                <c:formatCode>yyyy\.mm</c:formatCode>
                <c:ptCount val="21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</c:numCache>
            </c:numRef>
          </c:cat>
          <c:val>
            <c:numRef>
              <c:f>PainelDeVariaveis!$R$387:$R$407</c:f>
              <c:numCache>
                <c:formatCode>General</c:formatCode>
                <c:ptCount val="21"/>
                <c:pt idx="0">
                  <c:v>0.94182095527502363</c:v>
                </c:pt>
                <c:pt idx="1">
                  <c:v>0.94182095527502363</c:v>
                </c:pt>
                <c:pt idx="2">
                  <c:v>0.94182095527502363</c:v>
                </c:pt>
                <c:pt idx="3">
                  <c:v>0.94182095527502363</c:v>
                </c:pt>
                <c:pt idx="4">
                  <c:v>0.94182095527502363</c:v>
                </c:pt>
                <c:pt idx="5">
                  <c:v>0.94182095527502363</c:v>
                </c:pt>
                <c:pt idx="6">
                  <c:v>0.94182095527502363</c:v>
                </c:pt>
                <c:pt idx="7">
                  <c:v>0.94182095527502363</c:v>
                </c:pt>
                <c:pt idx="8">
                  <c:v>0.94182095527502363</c:v>
                </c:pt>
                <c:pt idx="9">
                  <c:v>0.94182095527502363</c:v>
                </c:pt>
                <c:pt idx="10">
                  <c:v>0.94182095527502363</c:v>
                </c:pt>
                <c:pt idx="11">
                  <c:v>0.94182095527502363</c:v>
                </c:pt>
                <c:pt idx="12">
                  <c:v>0.94182095527502363</c:v>
                </c:pt>
                <c:pt idx="13">
                  <c:v>0.94182095527502363</c:v>
                </c:pt>
                <c:pt idx="14">
                  <c:v>0.94182095527502363</c:v>
                </c:pt>
                <c:pt idx="15">
                  <c:v>0.94182095527502363</c:v>
                </c:pt>
                <c:pt idx="16">
                  <c:v>0.94182095527502363</c:v>
                </c:pt>
                <c:pt idx="17">
                  <c:v>0.94182095527502363</c:v>
                </c:pt>
                <c:pt idx="18">
                  <c:v>0.94182095527502363</c:v>
                </c:pt>
                <c:pt idx="19">
                  <c:v>0.94182095527502363</c:v>
                </c:pt>
                <c:pt idx="20">
                  <c:v>0.94182095527502363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23-453F-A0F6-4927501C8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214544"/>
        <c:axId val="479221264"/>
      </c:lineChart>
      <c:dateAx>
        <c:axId val="479214544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9221264"/>
        <c:crosses val="autoZero"/>
        <c:auto val="1"/>
        <c:lblOffset val="100"/>
        <c:baseTimeUnit val="months"/>
      </c:dateAx>
      <c:valAx>
        <c:axId val="47922126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921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V12 - AM4M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PainelDeVariaveis!$K$414:$K$423</c:f>
              <c:strCache>
                <c:ptCount val="10"/>
                <c:pt idx="0">
                  <c:v>Apurado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PainelDeVariaveis!$K$424:$K$444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-0.25</c:v>
                </c:pt>
                <c:pt idx="14">
                  <c:v>0</c:v>
                </c:pt>
                <c:pt idx="15">
                  <c:v>0</c:v>
                </c:pt>
                <c:pt idx="16">
                  <c:v>0.25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2-4F64-A300-0BEF07E2D973}"/>
            </c:ext>
          </c:extLst>
        </c:ser>
        <c:ser>
          <c:idx val="1"/>
          <c:order val="1"/>
          <c:tx>
            <c:strRef>
              <c:f>PainelDeVariaveis!$L$414:$L$423</c:f>
              <c:strCache>
                <c:ptCount val="10"/>
                <c:pt idx="0">
                  <c:v>LIC</c:v>
                </c:pt>
                <c:pt idx="1">
                  <c:v>-0,302020225</c:v>
                </c:pt>
                <c:pt idx="2">
                  <c:v>-0,302020225</c:v>
                </c:pt>
                <c:pt idx="3">
                  <c:v>-0,302020225</c:v>
                </c:pt>
                <c:pt idx="4">
                  <c:v>-0,302020225</c:v>
                </c:pt>
                <c:pt idx="5">
                  <c:v>-0,302020225</c:v>
                </c:pt>
                <c:pt idx="6">
                  <c:v>-0,302020225</c:v>
                </c:pt>
                <c:pt idx="7">
                  <c:v>-0,302020225</c:v>
                </c:pt>
                <c:pt idx="8">
                  <c:v>-0,302020225</c:v>
                </c:pt>
                <c:pt idx="9">
                  <c:v>-0,302020225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32-4F64-A300-0BEF07E2D97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PainelDeVariaveis!$L$424:$L$444</c:f>
              <c:numCache>
                <c:formatCode>General</c:formatCode>
                <c:ptCount val="21"/>
                <c:pt idx="0">
                  <c:v>-0.30202022484631097</c:v>
                </c:pt>
                <c:pt idx="1">
                  <c:v>-0.30202022484631097</c:v>
                </c:pt>
                <c:pt idx="2">
                  <c:v>-0.30202022484631097</c:v>
                </c:pt>
                <c:pt idx="3">
                  <c:v>-0.30202022484631097</c:v>
                </c:pt>
                <c:pt idx="4">
                  <c:v>-0.30202022484631097</c:v>
                </c:pt>
                <c:pt idx="5">
                  <c:v>-0.30202022484631097</c:v>
                </c:pt>
                <c:pt idx="6">
                  <c:v>-0.30202022484631097</c:v>
                </c:pt>
                <c:pt idx="7">
                  <c:v>-0.30202022484631097</c:v>
                </c:pt>
                <c:pt idx="8">
                  <c:v>-0.30202022484631097</c:v>
                </c:pt>
                <c:pt idx="9">
                  <c:v>-0.30202022484631097</c:v>
                </c:pt>
                <c:pt idx="10">
                  <c:v>-0.30202022484631097</c:v>
                </c:pt>
                <c:pt idx="11">
                  <c:v>-0.30202022484631097</c:v>
                </c:pt>
                <c:pt idx="12">
                  <c:v>-0.30202022484631097</c:v>
                </c:pt>
                <c:pt idx="13">
                  <c:v>-0.30202022484631097</c:v>
                </c:pt>
                <c:pt idx="14">
                  <c:v>-0.30202022484631097</c:v>
                </c:pt>
                <c:pt idx="15">
                  <c:v>-0.30202022484631097</c:v>
                </c:pt>
                <c:pt idx="16">
                  <c:v>-0.30202022484631097</c:v>
                </c:pt>
                <c:pt idx="17">
                  <c:v>-0.30202022484631097</c:v>
                </c:pt>
                <c:pt idx="18">
                  <c:v>-0.30202022484631097</c:v>
                </c:pt>
                <c:pt idx="19">
                  <c:v>-0.30202022484631097</c:v>
                </c:pt>
                <c:pt idx="20">
                  <c:v>-0.30202022484631097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32-4F64-A300-0BEF07E2D973}"/>
            </c:ext>
          </c:extLst>
        </c:ser>
        <c:ser>
          <c:idx val="2"/>
          <c:order val="2"/>
          <c:tx>
            <c:strRef>
              <c:f>PainelDeVariaveis!$M$414:$M$423</c:f>
              <c:strCache>
                <c:ptCount val="10"/>
                <c:pt idx="0">
                  <c:v>L2I</c:v>
                </c:pt>
                <c:pt idx="1">
                  <c:v>-0,201346817</c:v>
                </c:pt>
                <c:pt idx="2">
                  <c:v>-0,201346817</c:v>
                </c:pt>
                <c:pt idx="3">
                  <c:v>-0,201346817</c:v>
                </c:pt>
                <c:pt idx="4">
                  <c:v>-0,201346817</c:v>
                </c:pt>
                <c:pt idx="5">
                  <c:v>-0,201346817</c:v>
                </c:pt>
                <c:pt idx="6">
                  <c:v>-0,201346817</c:v>
                </c:pt>
                <c:pt idx="7">
                  <c:v>-0,201346817</c:v>
                </c:pt>
                <c:pt idx="8">
                  <c:v>-0,201346817</c:v>
                </c:pt>
                <c:pt idx="9">
                  <c:v>-0,201346817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PainelDeVariaveis!$M$424:$M$444</c:f>
              <c:numCache>
                <c:formatCode>General</c:formatCode>
                <c:ptCount val="21"/>
                <c:pt idx="0">
                  <c:v>-0.2013468165642073</c:v>
                </c:pt>
                <c:pt idx="1">
                  <c:v>-0.2013468165642073</c:v>
                </c:pt>
                <c:pt idx="2">
                  <c:v>-0.2013468165642073</c:v>
                </c:pt>
                <c:pt idx="3">
                  <c:v>-0.2013468165642073</c:v>
                </c:pt>
                <c:pt idx="4">
                  <c:v>-0.2013468165642073</c:v>
                </c:pt>
                <c:pt idx="5">
                  <c:v>-0.2013468165642073</c:v>
                </c:pt>
                <c:pt idx="6">
                  <c:v>-0.2013468165642073</c:v>
                </c:pt>
                <c:pt idx="7">
                  <c:v>-0.2013468165642073</c:v>
                </c:pt>
                <c:pt idx="8">
                  <c:v>-0.2013468165642073</c:v>
                </c:pt>
                <c:pt idx="9">
                  <c:v>-0.2013468165642073</c:v>
                </c:pt>
                <c:pt idx="10">
                  <c:v>-0.2013468165642073</c:v>
                </c:pt>
                <c:pt idx="11">
                  <c:v>-0.2013468165642073</c:v>
                </c:pt>
                <c:pt idx="12">
                  <c:v>-0.2013468165642073</c:v>
                </c:pt>
                <c:pt idx="13">
                  <c:v>-0.2013468165642073</c:v>
                </c:pt>
                <c:pt idx="14">
                  <c:v>-0.2013468165642073</c:v>
                </c:pt>
                <c:pt idx="15">
                  <c:v>-0.2013468165642073</c:v>
                </c:pt>
                <c:pt idx="16">
                  <c:v>-0.2013468165642073</c:v>
                </c:pt>
                <c:pt idx="17">
                  <c:v>-0.2013468165642073</c:v>
                </c:pt>
                <c:pt idx="18">
                  <c:v>-0.2013468165642073</c:v>
                </c:pt>
                <c:pt idx="19">
                  <c:v>-0.2013468165642073</c:v>
                </c:pt>
                <c:pt idx="20">
                  <c:v>-0.2013468165642073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32-4F64-A300-0BEF07E2D973}"/>
            </c:ext>
          </c:extLst>
        </c:ser>
        <c:ser>
          <c:idx val="3"/>
          <c:order val="3"/>
          <c:tx>
            <c:strRef>
              <c:f>PainelDeVariaveis!$N$414:$N$423</c:f>
              <c:strCache>
                <c:ptCount val="10"/>
                <c:pt idx="0">
                  <c:v>L1I</c:v>
                </c:pt>
                <c:pt idx="1">
                  <c:v>-0,100673408</c:v>
                </c:pt>
                <c:pt idx="2">
                  <c:v>-0,100673408</c:v>
                </c:pt>
                <c:pt idx="3">
                  <c:v>-0,100673408</c:v>
                </c:pt>
                <c:pt idx="4">
                  <c:v>-0,100673408</c:v>
                </c:pt>
                <c:pt idx="5">
                  <c:v>-0,100673408</c:v>
                </c:pt>
                <c:pt idx="6">
                  <c:v>-0,100673408</c:v>
                </c:pt>
                <c:pt idx="7">
                  <c:v>-0,100673408</c:v>
                </c:pt>
                <c:pt idx="8">
                  <c:v>-0,100673408</c:v>
                </c:pt>
                <c:pt idx="9">
                  <c:v>-0,100673408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PainelDeVariaveis!$N$424:$N$444</c:f>
              <c:numCache>
                <c:formatCode>General</c:formatCode>
                <c:ptCount val="21"/>
                <c:pt idx="0">
                  <c:v>-0.10067340828210365</c:v>
                </c:pt>
                <c:pt idx="1">
                  <c:v>-0.10067340828210365</c:v>
                </c:pt>
                <c:pt idx="2">
                  <c:v>-0.10067340828210365</c:v>
                </c:pt>
                <c:pt idx="3">
                  <c:v>-0.10067340828210365</c:v>
                </c:pt>
                <c:pt idx="4">
                  <c:v>-0.10067340828210365</c:v>
                </c:pt>
                <c:pt idx="5">
                  <c:v>-0.10067340828210365</c:v>
                </c:pt>
                <c:pt idx="6">
                  <c:v>-0.10067340828210365</c:v>
                </c:pt>
                <c:pt idx="7">
                  <c:v>-0.10067340828210365</c:v>
                </c:pt>
                <c:pt idx="8">
                  <c:v>-0.10067340828210365</c:v>
                </c:pt>
                <c:pt idx="9">
                  <c:v>-0.10067340828210365</c:v>
                </c:pt>
                <c:pt idx="10">
                  <c:v>-0.10067340828210365</c:v>
                </c:pt>
                <c:pt idx="11">
                  <c:v>-0.10067340828210365</c:v>
                </c:pt>
                <c:pt idx="12">
                  <c:v>-0.10067340828210365</c:v>
                </c:pt>
                <c:pt idx="13">
                  <c:v>-0.10067340828210365</c:v>
                </c:pt>
                <c:pt idx="14">
                  <c:v>-0.10067340828210365</c:v>
                </c:pt>
                <c:pt idx="15">
                  <c:v>-0.10067340828210365</c:v>
                </c:pt>
                <c:pt idx="16">
                  <c:v>-0.10067340828210365</c:v>
                </c:pt>
                <c:pt idx="17">
                  <c:v>-0.10067340828210365</c:v>
                </c:pt>
                <c:pt idx="18">
                  <c:v>-0.10067340828210365</c:v>
                </c:pt>
                <c:pt idx="19">
                  <c:v>-0.10067340828210365</c:v>
                </c:pt>
                <c:pt idx="20">
                  <c:v>-0.10067340828210365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32-4F64-A300-0BEF07E2D973}"/>
            </c:ext>
          </c:extLst>
        </c:ser>
        <c:ser>
          <c:idx val="4"/>
          <c:order val="4"/>
          <c:tx>
            <c:strRef>
              <c:f>PainelDeVariaveis!$O$414:$O$423</c:f>
              <c:strCache>
                <c:ptCount val="10"/>
                <c:pt idx="0">
                  <c:v>LMC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32-4F64-A300-0BEF07E2D97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PainelDeVariaveis!$O$424:$O$444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32-4F64-A300-0BEF07E2D973}"/>
            </c:ext>
          </c:extLst>
        </c:ser>
        <c:ser>
          <c:idx val="5"/>
          <c:order val="5"/>
          <c:tx>
            <c:strRef>
              <c:f>PainelDeVariaveis!$P$414:$P$423</c:f>
              <c:strCache>
                <c:ptCount val="10"/>
                <c:pt idx="0">
                  <c:v>L1S</c:v>
                </c:pt>
                <c:pt idx="1">
                  <c:v>0,100673408</c:v>
                </c:pt>
                <c:pt idx="2">
                  <c:v>0,100673408</c:v>
                </c:pt>
                <c:pt idx="3">
                  <c:v>0,100673408</c:v>
                </c:pt>
                <c:pt idx="4">
                  <c:v>0,100673408</c:v>
                </c:pt>
                <c:pt idx="5">
                  <c:v>0,100673408</c:v>
                </c:pt>
                <c:pt idx="6">
                  <c:v>0,100673408</c:v>
                </c:pt>
                <c:pt idx="7">
                  <c:v>0,100673408</c:v>
                </c:pt>
                <c:pt idx="8">
                  <c:v>0,100673408</c:v>
                </c:pt>
                <c:pt idx="9">
                  <c:v>0,100673408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PainelDeVariaveis!$P$424:$P$444</c:f>
              <c:numCache>
                <c:formatCode>General</c:formatCode>
                <c:ptCount val="21"/>
                <c:pt idx="0">
                  <c:v>0.10067340828210365</c:v>
                </c:pt>
                <c:pt idx="1">
                  <c:v>0.10067340828210365</c:v>
                </c:pt>
                <c:pt idx="2">
                  <c:v>0.10067340828210365</c:v>
                </c:pt>
                <c:pt idx="3">
                  <c:v>0.10067340828210365</c:v>
                </c:pt>
                <c:pt idx="4">
                  <c:v>0.10067340828210365</c:v>
                </c:pt>
                <c:pt idx="5">
                  <c:v>0.10067340828210365</c:v>
                </c:pt>
                <c:pt idx="6">
                  <c:v>0.10067340828210365</c:v>
                </c:pt>
                <c:pt idx="7">
                  <c:v>0.10067340828210365</c:v>
                </c:pt>
                <c:pt idx="8">
                  <c:v>0.10067340828210365</c:v>
                </c:pt>
                <c:pt idx="9">
                  <c:v>0.10067340828210365</c:v>
                </c:pt>
                <c:pt idx="10">
                  <c:v>0.10067340828210365</c:v>
                </c:pt>
                <c:pt idx="11">
                  <c:v>0.10067340828210365</c:v>
                </c:pt>
                <c:pt idx="12">
                  <c:v>0.10067340828210365</c:v>
                </c:pt>
                <c:pt idx="13">
                  <c:v>0.10067340828210365</c:v>
                </c:pt>
                <c:pt idx="14">
                  <c:v>0.10067340828210365</c:v>
                </c:pt>
                <c:pt idx="15">
                  <c:v>0.10067340828210365</c:v>
                </c:pt>
                <c:pt idx="16">
                  <c:v>0.10067340828210365</c:v>
                </c:pt>
                <c:pt idx="17">
                  <c:v>0.10067340828210365</c:v>
                </c:pt>
                <c:pt idx="18">
                  <c:v>0.10067340828210365</c:v>
                </c:pt>
                <c:pt idx="19">
                  <c:v>0.10067340828210365</c:v>
                </c:pt>
                <c:pt idx="20">
                  <c:v>0.10067340828210365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32-4F64-A300-0BEF07E2D973}"/>
            </c:ext>
          </c:extLst>
        </c:ser>
        <c:ser>
          <c:idx val="6"/>
          <c:order val="6"/>
          <c:tx>
            <c:strRef>
              <c:f>PainelDeVariaveis!$Q$414:$Q$423</c:f>
              <c:strCache>
                <c:ptCount val="10"/>
                <c:pt idx="0">
                  <c:v>L2S</c:v>
                </c:pt>
                <c:pt idx="1">
                  <c:v>0,201346817</c:v>
                </c:pt>
                <c:pt idx="2">
                  <c:v>0,201346817</c:v>
                </c:pt>
                <c:pt idx="3">
                  <c:v>0,201346817</c:v>
                </c:pt>
                <c:pt idx="4">
                  <c:v>0,201346817</c:v>
                </c:pt>
                <c:pt idx="5">
                  <c:v>0,201346817</c:v>
                </c:pt>
                <c:pt idx="6">
                  <c:v>0,201346817</c:v>
                </c:pt>
                <c:pt idx="7">
                  <c:v>0,201346817</c:v>
                </c:pt>
                <c:pt idx="8">
                  <c:v>0,201346817</c:v>
                </c:pt>
                <c:pt idx="9">
                  <c:v>0,201346817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PainelDeVariaveis!$Q$424:$Q$444</c:f>
              <c:numCache>
                <c:formatCode>General</c:formatCode>
                <c:ptCount val="21"/>
                <c:pt idx="0">
                  <c:v>0.2013468165642073</c:v>
                </c:pt>
                <c:pt idx="1">
                  <c:v>0.2013468165642073</c:v>
                </c:pt>
                <c:pt idx="2">
                  <c:v>0.2013468165642073</c:v>
                </c:pt>
                <c:pt idx="3">
                  <c:v>0.2013468165642073</c:v>
                </c:pt>
                <c:pt idx="4">
                  <c:v>0.2013468165642073</c:v>
                </c:pt>
                <c:pt idx="5">
                  <c:v>0.2013468165642073</c:v>
                </c:pt>
                <c:pt idx="6">
                  <c:v>0.2013468165642073</c:v>
                </c:pt>
                <c:pt idx="7">
                  <c:v>0.2013468165642073</c:v>
                </c:pt>
                <c:pt idx="8">
                  <c:v>0.2013468165642073</c:v>
                </c:pt>
                <c:pt idx="9">
                  <c:v>0.2013468165642073</c:v>
                </c:pt>
                <c:pt idx="10">
                  <c:v>0.2013468165642073</c:v>
                </c:pt>
                <c:pt idx="11">
                  <c:v>0.2013468165642073</c:v>
                </c:pt>
                <c:pt idx="12">
                  <c:v>0.2013468165642073</c:v>
                </c:pt>
                <c:pt idx="13">
                  <c:v>0.2013468165642073</c:v>
                </c:pt>
                <c:pt idx="14">
                  <c:v>0.2013468165642073</c:v>
                </c:pt>
                <c:pt idx="15">
                  <c:v>0.2013468165642073</c:v>
                </c:pt>
                <c:pt idx="16">
                  <c:v>0.2013468165642073</c:v>
                </c:pt>
                <c:pt idx="17">
                  <c:v>0.2013468165642073</c:v>
                </c:pt>
                <c:pt idx="18">
                  <c:v>0.2013468165642073</c:v>
                </c:pt>
                <c:pt idx="19">
                  <c:v>0.2013468165642073</c:v>
                </c:pt>
                <c:pt idx="20">
                  <c:v>0.2013468165642073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32-4F64-A300-0BEF07E2D973}"/>
            </c:ext>
          </c:extLst>
        </c:ser>
        <c:ser>
          <c:idx val="7"/>
          <c:order val="7"/>
          <c:tx>
            <c:strRef>
              <c:f>PainelDeVariaveis!$R$414:$R$423</c:f>
              <c:strCache>
                <c:ptCount val="10"/>
                <c:pt idx="0">
                  <c:v>LSC</c:v>
                </c:pt>
                <c:pt idx="1">
                  <c:v>0,302020225</c:v>
                </c:pt>
                <c:pt idx="2">
                  <c:v>0,302020225</c:v>
                </c:pt>
                <c:pt idx="3">
                  <c:v>0,302020225</c:v>
                </c:pt>
                <c:pt idx="4">
                  <c:v>0,302020225</c:v>
                </c:pt>
                <c:pt idx="5">
                  <c:v>0,302020225</c:v>
                </c:pt>
                <c:pt idx="6">
                  <c:v>0,302020225</c:v>
                </c:pt>
                <c:pt idx="7">
                  <c:v>0,302020225</c:v>
                </c:pt>
                <c:pt idx="8">
                  <c:v>0,302020225</c:v>
                </c:pt>
                <c:pt idx="9">
                  <c:v>0,302020225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F32-4F64-A300-0BEF07E2D97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PainelDeVariaveis!$R$424:$R$444</c:f>
              <c:numCache>
                <c:formatCode>General</c:formatCode>
                <c:ptCount val="21"/>
                <c:pt idx="0">
                  <c:v>0.30202022484631097</c:v>
                </c:pt>
                <c:pt idx="1">
                  <c:v>0.30202022484631097</c:v>
                </c:pt>
                <c:pt idx="2">
                  <c:v>0.30202022484631097</c:v>
                </c:pt>
                <c:pt idx="3">
                  <c:v>0.30202022484631097</c:v>
                </c:pt>
                <c:pt idx="4">
                  <c:v>0.30202022484631097</c:v>
                </c:pt>
                <c:pt idx="5">
                  <c:v>0.30202022484631097</c:v>
                </c:pt>
                <c:pt idx="6">
                  <c:v>0.30202022484631097</c:v>
                </c:pt>
                <c:pt idx="7">
                  <c:v>0.30202022484631097</c:v>
                </c:pt>
                <c:pt idx="8">
                  <c:v>0.30202022484631097</c:v>
                </c:pt>
                <c:pt idx="9">
                  <c:v>0.30202022484631097</c:v>
                </c:pt>
                <c:pt idx="10">
                  <c:v>0.30202022484631097</c:v>
                </c:pt>
                <c:pt idx="11">
                  <c:v>0.30202022484631097</c:v>
                </c:pt>
                <c:pt idx="12">
                  <c:v>0.30202022484631097</c:v>
                </c:pt>
                <c:pt idx="13">
                  <c:v>0.30202022484631097</c:v>
                </c:pt>
                <c:pt idx="14">
                  <c:v>0.30202022484631097</c:v>
                </c:pt>
                <c:pt idx="15">
                  <c:v>0.30202022484631097</c:v>
                </c:pt>
                <c:pt idx="16">
                  <c:v>0.30202022484631097</c:v>
                </c:pt>
                <c:pt idx="17">
                  <c:v>0.30202022484631097</c:v>
                </c:pt>
                <c:pt idx="18">
                  <c:v>0.30202022484631097</c:v>
                </c:pt>
                <c:pt idx="19">
                  <c:v>0.30202022484631097</c:v>
                </c:pt>
                <c:pt idx="20">
                  <c:v>0.30202022484631097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32-4F64-A300-0BEF07E2D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214544"/>
        <c:axId val="479221264"/>
      </c:lineChart>
      <c:dateAx>
        <c:axId val="479214544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9221264"/>
        <c:crosses val="autoZero"/>
        <c:auto val="1"/>
        <c:lblOffset val="100"/>
        <c:baseTimeUnit val="months"/>
      </c:dateAx>
      <c:valAx>
        <c:axId val="47922126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921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V13 - AM4M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PainelDeVariaveis!$K$451:$K$460</c:f>
              <c:strCache>
                <c:ptCount val="10"/>
                <c:pt idx="0">
                  <c:v>Apurado</c:v>
                </c:pt>
                <c:pt idx="1">
                  <c:v>0,5</c:v>
                </c:pt>
                <c:pt idx="2">
                  <c:v>1,25</c:v>
                </c:pt>
                <c:pt idx="3">
                  <c:v>-0,75</c:v>
                </c:pt>
                <c:pt idx="4">
                  <c:v>0,5</c:v>
                </c:pt>
                <c:pt idx="5">
                  <c:v>0,25</c:v>
                </c:pt>
                <c:pt idx="6">
                  <c:v>0,5</c:v>
                </c:pt>
                <c:pt idx="7">
                  <c:v>0,25</c:v>
                </c:pt>
                <c:pt idx="8">
                  <c:v>0,25</c:v>
                </c:pt>
                <c:pt idx="9">
                  <c:v>0,75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PainelDeVariaveis!$K$461:$K$481</c:f>
              <c:numCache>
                <c:formatCode>General</c:formatCode>
                <c:ptCount val="21"/>
                <c:pt idx="0">
                  <c:v>-1.75</c:v>
                </c:pt>
                <c:pt idx="1">
                  <c:v>-0.5</c:v>
                </c:pt>
                <c:pt idx="2">
                  <c:v>-1</c:v>
                </c:pt>
                <c:pt idx="3">
                  <c:v>-0.5</c:v>
                </c:pt>
                <c:pt idx="4">
                  <c:v>0.25</c:v>
                </c:pt>
                <c:pt idx="5">
                  <c:v>-0.25</c:v>
                </c:pt>
                <c:pt idx="6">
                  <c:v>0</c:v>
                </c:pt>
                <c:pt idx="7">
                  <c:v>-0.75</c:v>
                </c:pt>
                <c:pt idx="8">
                  <c:v>-0.5</c:v>
                </c:pt>
                <c:pt idx="9">
                  <c:v>-0.5</c:v>
                </c:pt>
                <c:pt idx="10">
                  <c:v>-0.75</c:v>
                </c:pt>
                <c:pt idx="11">
                  <c:v>1.5</c:v>
                </c:pt>
                <c:pt idx="12">
                  <c:v>0.75</c:v>
                </c:pt>
                <c:pt idx="13">
                  <c:v>0.25</c:v>
                </c:pt>
                <c:pt idx="14">
                  <c:v>0.75</c:v>
                </c:pt>
                <c:pt idx="15">
                  <c:v>-1.5</c:v>
                </c:pt>
                <c:pt idx="16">
                  <c:v>-0.75</c:v>
                </c:pt>
                <c:pt idx="17">
                  <c:v>0</c:v>
                </c:pt>
                <c:pt idx="18">
                  <c:v>-0.75</c:v>
                </c:pt>
                <c:pt idx="19">
                  <c:v>-0.75</c:v>
                </c:pt>
                <c:pt idx="20">
                  <c:v>-0.25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6-48BF-BD50-DCDB715A41C4}"/>
            </c:ext>
          </c:extLst>
        </c:ser>
        <c:ser>
          <c:idx val="1"/>
          <c:order val="1"/>
          <c:tx>
            <c:strRef>
              <c:f>PainelDeVariaveis!$L$451:$L$460</c:f>
              <c:strCache>
                <c:ptCount val="10"/>
                <c:pt idx="0">
                  <c:v>LIC</c:v>
                </c:pt>
                <c:pt idx="1">
                  <c:v>-2,51941792</c:v>
                </c:pt>
                <c:pt idx="2">
                  <c:v>-2,51941792</c:v>
                </c:pt>
                <c:pt idx="3">
                  <c:v>-2,51941792</c:v>
                </c:pt>
                <c:pt idx="4">
                  <c:v>-2,51941792</c:v>
                </c:pt>
                <c:pt idx="5">
                  <c:v>-2,51941792</c:v>
                </c:pt>
                <c:pt idx="6">
                  <c:v>-2,51941792</c:v>
                </c:pt>
                <c:pt idx="7">
                  <c:v>-2,51941792</c:v>
                </c:pt>
                <c:pt idx="8">
                  <c:v>-2,51941792</c:v>
                </c:pt>
                <c:pt idx="9">
                  <c:v>-2,51941792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A6-48BF-BD50-DCDB715A41C4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PainelDeVariaveis!$L$461:$L$481</c:f>
              <c:numCache>
                <c:formatCode>General</c:formatCode>
                <c:ptCount val="21"/>
                <c:pt idx="0">
                  <c:v>-2.5194179197345665</c:v>
                </c:pt>
                <c:pt idx="1">
                  <c:v>-2.5194179197345665</c:v>
                </c:pt>
                <c:pt idx="2">
                  <c:v>-2.5194179197345665</c:v>
                </c:pt>
                <c:pt idx="3">
                  <c:v>-2.5194179197345665</c:v>
                </c:pt>
                <c:pt idx="4">
                  <c:v>-2.5194179197345665</c:v>
                </c:pt>
                <c:pt idx="5">
                  <c:v>-2.5194179197345665</c:v>
                </c:pt>
                <c:pt idx="6">
                  <c:v>-2.5194179197345665</c:v>
                </c:pt>
                <c:pt idx="7">
                  <c:v>-2.5194179197345665</c:v>
                </c:pt>
                <c:pt idx="8">
                  <c:v>-2.5194179197345665</c:v>
                </c:pt>
                <c:pt idx="9">
                  <c:v>-2.5194179197345665</c:v>
                </c:pt>
                <c:pt idx="10">
                  <c:v>-2.5194179197345665</c:v>
                </c:pt>
                <c:pt idx="11">
                  <c:v>-2.5194179197345665</c:v>
                </c:pt>
                <c:pt idx="12">
                  <c:v>-2.5194179197345665</c:v>
                </c:pt>
                <c:pt idx="13">
                  <c:v>-2.5194179197345665</c:v>
                </c:pt>
                <c:pt idx="14">
                  <c:v>-2.5194179197345665</c:v>
                </c:pt>
                <c:pt idx="15">
                  <c:v>-2.5194179197345665</c:v>
                </c:pt>
                <c:pt idx="16">
                  <c:v>-2.5194179197345665</c:v>
                </c:pt>
                <c:pt idx="17">
                  <c:v>-2.5194179197345665</c:v>
                </c:pt>
                <c:pt idx="18">
                  <c:v>-2.5194179197345665</c:v>
                </c:pt>
                <c:pt idx="19">
                  <c:v>-2.5194179197345665</c:v>
                </c:pt>
                <c:pt idx="20">
                  <c:v>-2.5194179197345665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A6-48BF-BD50-DCDB715A41C4}"/>
            </c:ext>
          </c:extLst>
        </c:ser>
        <c:ser>
          <c:idx val="2"/>
          <c:order val="2"/>
          <c:tx>
            <c:strRef>
              <c:f>PainelDeVariaveis!$M$451:$M$460</c:f>
              <c:strCache>
                <c:ptCount val="10"/>
                <c:pt idx="0">
                  <c:v>L2I</c:v>
                </c:pt>
                <c:pt idx="1">
                  <c:v>-1,675225982</c:v>
                </c:pt>
                <c:pt idx="2">
                  <c:v>-1,675225982</c:v>
                </c:pt>
                <c:pt idx="3">
                  <c:v>-1,675225982</c:v>
                </c:pt>
                <c:pt idx="4">
                  <c:v>-1,675225982</c:v>
                </c:pt>
                <c:pt idx="5">
                  <c:v>-1,675225982</c:v>
                </c:pt>
                <c:pt idx="6">
                  <c:v>-1,675225982</c:v>
                </c:pt>
                <c:pt idx="7">
                  <c:v>-1,675225982</c:v>
                </c:pt>
                <c:pt idx="8">
                  <c:v>-1,675225982</c:v>
                </c:pt>
                <c:pt idx="9">
                  <c:v>-1,675225982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PainelDeVariaveis!$M$461:$M$481</c:f>
              <c:numCache>
                <c:formatCode>General</c:formatCode>
                <c:ptCount val="21"/>
                <c:pt idx="0">
                  <c:v>-1.6752259815774304</c:v>
                </c:pt>
                <c:pt idx="1">
                  <c:v>-1.6752259815774304</c:v>
                </c:pt>
                <c:pt idx="2">
                  <c:v>-1.6752259815774304</c:v>
                </c:pt>
                <c:pt idx="3">
                  <c:v>-1.6752259815774304</c:v>
                </c:pt>
                <c:pt idx="4">
                  <c:v>-1.6752259815774304</c:v>
                </c:pt>
                <c:pt idx="5">
                  <c:v>-1.6752259815774304</c:v>
                </c:pt>
                <c:pt idx="6">
                  <c:v>-1.6752259815774304</c:v>
                </c:pt>
                <c:pt idx="7">
                  <c:v>-1.6752259815774304</c:v>
                </c:pt>
                <c:pt idx="8">
                  <c:v>-1.6752259815774304</c:v>
                </c:pt>
                <c:pt idx="9">
                  <c:v>-1.6752259815774304</c:v>
                </c:pt>
                <c:pt idx="10">
                  <c:v>-1.6752259815774304</c:v>
                </c:pt>
                <c:pt idx="11">
                  <c:v>-1.6752259815774304</c:v>
                </c:pt>
                <c:pt idx="12">
                  <c:v>-1.6752259815774304</c:v>
                </c:pt>
                <c:pt idx="13">
                  <c:v>-1.6752259815774304</c:v>
                </c:pt>
                <c:pt idx="14">
                  <c:v>-1.6752259815774304</c:v>
                </c:pt>
                <c:pt idx="15">
                  <c:v>-1.6752259815774304</c:v>
                </c:pt>
                <c:pt idx="16">
                  <c:v>-1.6752259815774304</c:v>
                </c:pt>
                <c:pt idx="17">
                  <c:v>-1.6752259815774304</c:v>
                </c:pt>
                <c:pt idx="18">
                  <c:v>-1.6752259815774304</c:v>
                </c:pt>
                <c:pt idx="19">
                  <c:v>-1.6752259815774304</c:v>
                </c:pt>
                <c:pt idx="20">
                  <c:v>-1.6752259815774304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A6-48BF-BD50-DCDB715A41C4}"/>
            </c:ext>
          </c:extLst>
        </c:ser>
        <c:ser>
          <c:idx val="3"/>
          <c:order val="3"/>
          <c:tx>
            <c:strRef>
              <c:f>PainelDeVariaveis!$N$451:$N$460</c:f>
              <c:strCache>
                <c:ptCount val="10"/>
                <c:pt idx="0">
                  <c:v>L1I</c:v>
                </c:pt>
                <c:pt idx="1">
                  <c:v>-0,831034043</c:v>
                </c:pt>
                <c:pt idx="2">
                  <c:v>-0,831034043</c:v>
                </c:pt>
                <c:pt idx="3">
                  <c:v>-0,831034043</c:v>
                </c:pt>
                <c:pt idx="4">
                  <c:v>-0,831034043</c:v>
                </c:pt>
                <c:pt idx="5">
                  <c:v>-0,831034043</c:v>
                </c:pt>
                <c:pt idx="6">
                  <c:v>-0,831034043</c:v>
                </c:pt>
                <c:pt idx="7">
                  <c:v>-0,831034043</c:v>
                </c:pt>
                <c:pt idx="8">
                  <c:v>-0,831034043</c:v>
                </c:pt>
                <c:pt idx="9">
                  <c:v>-0,831034043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PainelDeVariaveis!$N$461:$N$481</c:f>
              <c:numCache>
                <c:formatCode>General</c:formatCode>
                <c:ptCount val="21"/>
                <c:pt idx="0">
                  <c:v>-0.83103404342029408</c:v>
                </c:pt>
                <c:pt idx="1">
                  <c:v>-0.83103404342029408</c:v>
                </c:pt>
                <c:pt idx="2">
                  <c:v>-0.83103404342029408</c:v>
                </c:pt>
                <c:pt idx="3">
                  <c:v>-0.83103404342029408</c:v>
                </c:pt>
                <c:pt idx="4">
                  <c:v>-0.83103404342029408</c:v>
                </c:pt>
                <c:pt idx="5">
                  <c:v>-0.83103404342029408</c:v>
                </c:pt>
                <c:pt idx="6">
                  <c:v>-0.83103404342029408</c:v>
                </c:pt>
                <c:pt idx="7">
                  <c:v>-0.83103404342029408</c:v>
                </c:pt>
                <c:pt idx="8">
                  <c:v>-0.83103404342029408</c:v>
                </c:pt>
                <c:pt idx="9">
                  <c:v>-0.83103404342029408</c:v>
                </c:pt>
                <c:pt idx="10">
                  <c:v>-0.83103404342029408</c:v>
                </c:pt>
                <c:pt idx="11">
                  <c:v>-0.83103404342029408</c:v>
                </c:pt>
                <c:pt idx="12">
                  <c:v>-0.83103404342029408</c:v>
                </c:pt>
                <c:pt idx="13">
                  <c:v>-0.83103404342029408</c:v>
                </c:pt>
                <c:pt idx="14">
                  <c:v>-0.83103404342029408</c:v>
                </c:pt>
                <c:pt idx="15">
                  <c:v>-0.83103404342029408</c:v>
                </c:pt>
                <c:pt idx="16">
                  <c:v>-0.83103404342029408</c:v>
                </c:pt>
                <c:pt idx="17">
                  <c:v>-0.83103404342029408</c:v>
                </c:pt>
                <c:pt idx="18">
                  <c:v>-0.83103404342029408</c:v>
                </c:pt>
                <c:pt idx="19">
                  <c:v>-0.83103404342029408</c:v>
                </c:pt>
                <c:pt idx="20">
                  <c:v>-0.83103404342029408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A6-48BF-BD50-DCDB715A41C4}"/>
            </c:ext>
          </c:extLst>
        </c:ser>
        <c:ser>
          <c:idx val="4"/>
          <c:order val="4"/>
          <c:tx>
            <c:strRef>
              <c:f>PainelDeVariaveis!$O$451:$O$460</c:f>
              <c:strCache>
                <c:ptCount val="10"/>
                <c:pt idx="0">
                  <c:v>LMC</c:v>
                </c:pt>
                <c:pt idx="1">
                  <c:v>0,013157895</c:v>
                </c:pt>
                <c:pt idx="2">
                  <c:v>0,013157895</c:v>
                </c:pt>
                <c:pt idx="3">
                  <c:v>0,013157895</c:v>
                </c:pt>
                <c:pt idx="4">
                  <c:v>0,013157895</c:v>
                </c:pt>
                <c:pt idx="5">
                  <c:v>0,013157895</c:v>
                </c:pt>
                <c:pt idx="6">
                  <c:v>0,013157895</c:v>
                </c:pt>
                <c:pt idx="7">
                  <c:v>0,013157895</c:v>
                </c:pt>
                <c:pt idx="8">
                  <c:v>0,013157895</c:v>
                </c:pt>
                <c:pt idx="9">
                  <c:v>0,013157895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A6-48BF-BD50-DCDB715A41C4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PainelDeVariaveis!$O$461:$O$481</c:f>
              <c:numCache>
                <c:formatCode>General</c:formatCode>
                <c:ptCount val="21"/>
                <c:pt idx="0">
                  <c:v>1.3157894736842105E-2</c:v>
                </c:pt>
                <c:pt idx="1">
                  <c:v>1.3157894736842105E-2</c:v>
                </c:pt>
                <c:pt idx="2">
                  <c:v>1.3157894736842105E-2</c:v>
                </c:pt>
                <c:pt idx="3">
                  <c:v>1.3157894736842105E-2</c:v>
                </c:pt>
                <c:pt idx="4">
                  <c:v>1.3157894736842105E-2</c:v>
                </c:pt>
                <c:pt idx="5">
                  <c:v>1.3157894736842105E-2</c:v>
                </c:pt>
                <c:pt idx="6">
                  <c:v>1.3157894736842105E-2</c:v>
                </c:pt>
                <c:pt idx="7">
                  <c:v>1.3157894736842105E-2</c:v>
                </c:pt>
                <c:pt idx="8">
                  <c:v>1.3157894736842105E-2</c:v>
                </c:pt>
                <c:pt idx="9">
                  <c:v>1.3157894736842105E-2</c:v>
                </c:pt>
                <c:pt idx="10">
                  <c:v>1.3157894736842105E-2</c:v>
                </c:pt>
                <c:pt idx="11">
                  <c:v>1.3157894736842105E-2</c:v>
                </c:pt>
                <c:pt idx="12">
                  <c:v>1.3157894736842105E-2</c:v>
                </c:pt>
                <c:pt idx="13">
                  <c:v>1.3157894736842105E-2</c:v>
                </c:pt>
                <c:pt idx="14">
                  <c:v>1.3157894736842105E-2</c:v>
                </c:pt>
                <c:pt idx="15">
                  <c:v>1.3157894736842105E-2</c:v>
                </c:pt>
                <c:pt idx="16">
                  <c:v>1.3157894736842105E-2</c:v>
                </c:pt>
                <c:pt idx="17">
                  <c:v>1.3157894736842105E-2</c:v>
                </c:pt>
                <c:pt idx="18">
                  <c:v>1.3157894736842105E-2</c:v>
                </c:pt>
                <c:pt idx="19">
                  <c:v>1.3157894736842105E-2</c:v>
                </c:pt>
                <c:pt idx="20">
                  <c:v>1.3157894736842105E-2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A6-48BF-BD50-DCDB715A41C4}"/>
            </c:ext>
          </c:extLst>
        </c:ser>
        <c:ser>
          <c:idx val="5"/>
          <c:order val="5"/>
          <c:tx>
            <c:strRef>
              <c:f>PainelDeVariaveis!$P$451:$P$460</c:f>
              <c:strCache>
                <c:ptCount val="10"/>
                <c:pt idx="0">
                  <c:v>L1S</c:v>
                </c:pt>
                <c:pt idx="1">
                  <c:v>0,857349833</c:v>
                </c:pt>
                <c:pt idx="2">
                  <c:v>0,857349833</c:v>
                </c:pt>
                <c:pt idx="3">
                  <c:v>0,857349833</c:v>
                </c:pt>
                <c:pt idx="4">
                  <c:v>0,857349833</c:v>
                </c:pt>
                <c:pt idx="5">
                  <c:v>0,857349833</c:v>
                </c:pt>
                <c:pt idx="6">
                  <c:v>0,857349833</c:v>
                </c:pt>
                <c:pt idx="7">
                  <c:v>0,857349833</c:v>
                </c:pt>
                <c:pt idx="8">
                  <c:v>0,857349833</c:v>
                </c:pt>
                <c:pt idx="9">
                  <c:v>0,857349833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PainelDeVariaveis!$P$461:$P$481</c:f>
              <c:numCache>
                <c:formatCode>General</c:formatCode>
                <c:ptCount val="21"/>
                <c:pt idx="0">
                  <c:v>0.85734983289397837</c:v>
                </c:pt>
                <c:pt idx="1">
                  <c:v>0.85734983289397837</c:v>
                </c:pt>
                <c:pt idx="2">
                  <c:v>0.85734983289397837</c:v>
                </c:pt>
                <c:pt idx="3">
                  <c:v>0.85734983289397837</c:v>
                </c:pt>
                <c:pt idx="4">
                  <c:v>0.85734983289397837</c:v>
                </c:pt>
                <c:pt idx="5">
                  <c:v>0.85734983289397837</c:v>
                </c:pt>
                <c:pt idx="6">
                  <c:v>0.85734983289397837</c:v>
                </c:pt>
                <c:pt idx="7">
                  <c:v>0.85734983289397837</c:v>
                </c:pt>
                <c:pt idx="8">
                  <c:v>0.85734983289397837</c:v>
                </c:pt>
                <c:pt idx="9">
                  <c:v>0.85734983289397837</c:v>
                </c:pt>
                <c:pt idx="10">
                  <c:v>0.85734983289397837</c:v>
                </c:pt>
                <c:pt idx="11">
                  <c:v>0.85734983289397837</c:v>
                </c:pt>
                <c:pt idx="12">
                  <c:v>0.85734983289397837</c:v>
                </c:pt>
                <c:pt idx="13">
                  <c:v>0.85734983289397837</c:v>
                </c:pt>
                <c:pt idx="14">
                  <c:v>0.85734983289397837</c:v>
                </c:pt>
                <c:pt idx="15">
                  <c:v>0.85734983289397837</c:v>
                </c:pt>
                <c:pt idx="16">
                  <c:v>0.85734983289397837</c:v>
                </c:pt>
                <c:pt idx="17">
                  <c:v>0.85734983289397837</c:v>
                </c:pt>
                <c:pt idx="18">
                  <c:v>0.85734983289397837</c:v>
                </c:pt>
                <c:pt idx="19">
                  <c:v>0.85734983289397837</c:v>
                </c:pt>
                <c:pt idx="20">
                  <c:v>0.85734983289397837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EA6-48BF-BD50-DCDB715A41C4}"/>
            </c:ext>
          </c:extLst>
        </c:ser>
        <c:ser>
          <c:idx val="6"/>
          <c:order val="6"/>
          <c:tx>
            <c:strRef>
              <c:f>PainelDeVariaveis!$Q$451:$Q$460</c:f>
              <c:strCache>
                <c:ptCount val="10"/>
                <c:pt idx="0">
                  <c:v>L2S</c:v>
                </c:pt>
                <c:pt idx="1">
                  <c:v>1,701541771</c:v>
                </c:pt>
                <c:pt idx="2">
                  <c:v>1,701541771</c:v>
                </c:pt>
                <c:pt idx="3">
                  <c:v>1,701541771</c:v>
                </c:pt>
                <c:pt idx="4">
                  <c:v>1,701541771</c:v>
                </c:pt>
                <c:pt idx="5">
                  <c:v>1,701541771</c:v>
                </c:pt>
                <c:pt idx="6">
                  <c:v>1,701541771</c:v>
                </c:pt>
                <c:pt idx="7">
                  <c:v>1,701541771</c:v>
                </c:pt>
                <c:pt idx="8">
                  <c:v>1,701541771</c:v>
                </c:pt>
                <c:pt idx="9">
                  <c:v>1,701541771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PainelDeVariaveis!$Q$461:$Q$481</c:f>
              <c:numCache>
                <c:formatCode>General</c:formatCode>
                <c:ptCount val="21"/>
                <c:pt idx="0">
                  <c:v>1.7015417710511145</c:v>
                </c:pt>
                <c:pt idx="1">
                  <c:v>1.7015417710511145</c:v>
                </c:pt>
                <c:pt idx="2">
                  <c:v>1.7015417710511145</c:v>
                </c:pt>
                <c:pt idx="3">
                  <c:v>1.7015417710511145</c:v>
                </c:pt>
                <c:pt idx="4">
                  <c:v>1.7015417710511145</c:v>
                </c:pt>
                <c:pt idx="5">
                  <c:v>1.7015417710511145</c:v>
                </c:pt>
                <c:pt idx="6">
                  <c:v>1.7015417710511145</c:v>
                </c:pt>
                <c:pt idx="7">
                  <c:v>1.7015417710511145</c:v>
                </c:pt>
                <c:pt idx="8">
                  <c:v>1.7015417710511145</c:v>
                </c:pt>
                <c:pt idx="9">
                  <c:v>1.7015417710511145</c:v>
                </c:pt>
                <c:pt idx="10">
                  <c:v>1.7015417710511145</c:v>
                </c:pt>
                <c:pt idx="11">
                  <c:v>1.7015417710511145</c:v>
                </c:pt>
                <c:pt idx="12">
                  <c:v>1.7015417710511145</c:v>
                </c:pt>
                <c:pt idx="13">
                  <c:v>1.7015417710511145</c:v>
                </c:pt>
                <c:pt idx="14">
                  <c:v>1.7015417710511145</c:v>
                </c:pt>
                <c:pt idx="15">
                  <c:v>1.7015417710511145</c:v>
                </c:pt>
                <c:pt idx="16">
                  <c:v>1.7015417710511145</c:v>
                </c:pt>
                <c:pt idx="17">
                  <c:v>1.7015417710511145</c:v>
                </c:pt>
                <c:pt idx="18">
                  <c:v>1.7015417710511145</c:v>
                </c:pt>
                <c:pt idx="19">
                  <c:v>1.7015417710511145</c:v>
                </c:pt>
                <c:pt idx="20">
                  <c:v>1.7015417710511145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A6-48BF-BD50-DCDB715A41C4}"/>
            </c:ext>
          </c:extLst>
        </c:ser>
        <c:ser>
          <c:idx val="7"/>
          <c:order val="7"/>
          <c:tx>
            <c:strRef>
              <c:f>PainelDeVariaveis!$R$451:$R$460</c:f>
              <c:strCache>
                <c:ptCount val="10"/>
                <c:pt idx="0">
                  <c:v>LSC</c:v>
                </c:pt>
                <c:pt idx="1">
                  <c:v>2,545733709</c:v>
                </c:pt>
                <c:pt idx="2">
                  <c:v>2,545733709</c:v>
                </c:pt>
                <c:pt idx="3">
                  <c:v>2,545733709</c:v>
                </c:pt>
                <c:pt idx="4">
                  <c:v>2,545733709</c:v>
                </c:pt>
                <c:pt idx="5">
                  <c:v>2,545733709</c:v>
                </c:pt>
                <c:pt idx="6">
                  <c:v>2,545733709</c:v>
                </c:pt>
                <c:pt idx="7">
                  <c:v>2,545733709</c:v>
                </c:pt>
                <c:pt idx="8">
                  <c:v>2,545733709</c:v>
                </c:pt>
                <c:pt idx="9">
                  <c:v>2,545733709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A6-48BF-BD50-DCDB715A41C4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PainelDeVariaveis!$R$461:$R$481</c:f>
              <c:numCache>
                <c:formatCode>General</c:formatCode>
                <c:ptCount val="21"/>
                <c:pt idx="0">
                  <c:v>2.5457337092082506</c:v>
                </c:pt>
                <c:pt idx="1">
                  <c:v>2.5457337092082506</c:v>
                </c:pt>
                <c:pt idx="2">
                  <c:v>2.5457337092082506</c:v>
                </c:pt>
                <c:pt idx="3">
                  <c:v>2.5457337092082506</c:v>
                </c:pt>
                <c:pt idx="4">
                  <c:v>2.5457337092082506</c:v>
                </c:pt>
                <c:pt idx="5">
                  <c:v>2.5457337092082506</c:v>
                </c:pt>
                <c:pt idx="6">
                  <c:v>2.5457337092082506</c:v>
                </c:pt>
                <c:pt idx="7">
                  <c:v>2.5457337092082506</c:v>
                </c:pt>
                <c:pt idx="8">
                  <c:v>2.5457337092082506</c:v>
                </c:pt>
                <c:pt idx="9">
                  <c:v>2.5457337092082506</c:v>
                </c:pt>
                <c:pt idx="10">
                  <c:v>2.5457337092082506</c:v>
                </c:pt>
                <c:pt idx="11">
                  <c:v>2.5457337092082506</c:v>
                </c:pt>
                <c:pt idx="12">
                  <c:v>2.5457337092082506</c:v>
                </c:pt>
                <c:pt idx="13">
                  <c:v>2.5457337092082506</c:v>
                </c:pt>
                <c:pt idx="14">
                  <c:v>2.5457337092082506</c:v>
                </c:pt>
                <c:pt idx="15">
                  <c:v>2.5457337092082506</c:v>
                </c:pt>
                <c:pt idx="16">
                  <c:v>2.5457337092082506</c:v>
                </c:pt>
                <c:pt idx="17">
                  <c:v>2.5457337092082506</c:v>
                </c:pt>
                <c:pt idx="18">
                  <c:v>2.5457337092082506</c:v>
                </c:pt>
                <c:pt idx="19">
                  <c:v>2.5457337092082506</c:v>
                </c:pt>
                <c:pt idx="20">
                  <c:v>2.5457337092082506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EA6-48BF-BD50-DCDB715A4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214544"/>
        <c:axId val="479221264"/>
      </c:lineChart>
      <c:dateAx>
        <c:axId val="479214544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9221264"/>
        <c:crosses val="autoZero"/>
        <c:auto val="1"/>
        <c:lblOffset val="100"/>
        <c:baseTimeUnit val="months"/>
      </c:dateAx>
      <c:valAx>
        <c:axId val="47922126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921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V13 - SM4M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PainelDeVariaveis!$C$451:$C$460</c:f>
              <c:strCache>
                <c:ptCount val="10"/>
                <c:pt idx="0">
                  <c:v>Apurado</c:v>
                </c:pt>
                <c:pt idx="1">
                  <c:v>18</c:v>
                </c:pt>
                <c:pt idx="2">
                  <c:v>23</c:v>
                </c:pt>
                <c:pt idx="3">
                  <c:v>20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30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PainelDeVariaveis!$C$461:$C$481</c:f>
              <c:numCache>
                <c:formatCode>General</c:formatCode>
                <c:ptCount val="21"/>
                <c:pt idx="0">
                  <c:v>23</c:v>
                </c:pt>
                <c:pt idx="1">
                  <c:v>21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11</c:v>
                </c:pt>
                <c:pt idx="12">
                  <c:v>14</c:v>
                </c:pt>
                <c:pt idx="13">
                  <c:v>15</c:v>
                </c:pt>
                <c:pt idx="14">
                  <c:v>18</c:v>
                </c:pt>
                <c:pt idx="15">
                  <c:v>12</c:v>
                </c:pt>
                <c:pt idx="16">
                  <c:v>9</c:v>
                </c:pt>
                <c:pt idx="17">
                  <c:v>9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7-4593-B8AC-82E20B44E3AB}"/>
            </c:ext>
          </c:extLst>
        </c:ser>
        <c:ser>
          <c:idx val="1"/>
          <c:order val="1"/>
          <c:tx>
            <c:strRef>
              <c:f>PainelDeVariaveis!$D$451:$D$460</c:f>
              <c:strCache>
                <c:ptCount val="10"/>
                <c:pt idx="0">
                  <c:v>LIC</c:v>
                </c:pt>
                <c:pt idx="1">
                  <c:v>-5,14</c:v>
                </c:pt>
                <c:pt idx="2">
                  <c:v>-5,14</c:v>
                </c:pt>
                <c:pt idx="3">
                  <c:v>-5,14</c:v>
                </c:pt>
                <c:pt idx="4">
                  <c:v>-5,14</c:v>
                </c:pt>
                <c:pt idx="5">
                  <c:v>-5,14</c:v>
                </c:pt>
                <c:pt idx="6">
                  <c:v>-5,14</c:v>
                </c:pt>
                <c:pt idx="7">
                  <c:v>-5,14</c:v>
                </c:pt>
                <c:pt idx="8">
                  <c:v>-5,14</c:v>
                </c:pt>
                <c:pt idx="9">
                  <c:v>-5,14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7-4593-B8AC-82E20B44E3A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PainelDeVariaveis!$D$461:$D$481</c:f>
              <c:numCache>
                <c:formatCode>0.00</c:formatCode>
                <c:ptCount val="21"/>
                <c:pt idx="0">
                  <c:v>-5.1383866155474749</c:v>
                </c:pt>
                <c:pt idx="1">
                  <c:v>-5.1383866155474749</c:v>
                </c:pt>
                <c:pt idx="2">
                  <c:v>-5.1383866155474749</c:v>
                </c:pt>
                <c:pt idx="3">
                  <c:v>-5.1383866155474749</c:v>
                </c:pt>
                <c:pt idx="4">
                  <c:v>-5.1383866155474749</c:v>
                </c:pt>
                <c:pt idx="5">
                  <c:v>-5.1383866155474749</c:v>
                </c:pt>
                <c:pt idx="6">
                  <c:v>-5.1383866155474749</c:v>
                </c:pt>
                <c:pt idx="7">
                  <c:v>-5.1383866155474749</c:v>
                </c:pt>
                <c:pt idx="8">
                  <c:v>-5.1383866155474749</c:v>
                </c:pt>
                <c:pt idx="9">
                  <c:v>-5.1383866155474749</c:v>
                </c:pt>
                <c:pt idx="10">
                  <c:v>-5.1383866155474749</c:v>
                </c:pt>
                <c:pt idx="11">
                  <c:v>-5.1383866155474749</c:v>
                </c:pt>
                <c:pt idx="12">
                  <c:v>-5.1383866155474749</c:v>
                </c:pt>
                <c:pt idx="13">
                  <c:v>-5.1383866155474749</c:v>
                </c:pt>
                <c:pt idx="14">
                  <c:v>-5.1383866155474749</c:v>
                </c:pt>
                <c:pt idx="15">
                  <c:v>-5.1383866155474749</c:v>
                </c:pt>
                <c:pt idx="16">
                  <c:v>-5.1383866155474749</c:v>
                </c:pt>
                <c:pt idx="17">
                  <c:v>-5.1383866155474749</c:v>
                </c:pt>
                <c:pt idx="18">
                  <c:v>-5.1383866155474749</c:v>
                </c:pt>
                <c:pt idx="19">
                  <c:v>-5.1383866155474749</c:v>
                </c:pt>
                <c:pt idx="20">
                  <c:v>-5.1383866155474749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37-4593-B8AC-82E20B44E3AB}"/>
            </c:ext>
          </c:extLst>
        </c:ser>
        <c:ser>
          <c:idx val="2"/>
          <c:order val="2"/>
          <c:tx>
            <c:strRef>
              <c:f>PainelDeVariaveis!$E$451:$E$460</c:f>
              <c:strCache>
                <c:ptCount val="10"/>
                <c:pt idx="0">
                  <c:v>L2I</c:v>
                </c:pt>
                <c:pt idx="1">
                  <c:v>1,70</c:v>
                </c:pt>
                <c:pt idx="2">
                  <c:v>1,70</c:v>
                </c:pt>
                <c:pt idx="3">
                  <c:v>1,70</c:v>
                </c:pt>
                <c:pt idx="4">
                  <c:v>1,70</c:v>
                </c:pt>
                <c:pt idx="5">
                  <c:v>1,70</c:v>
                </c:pt>
                <c:pt idx="6">
                  <c:v>1,70</c:v>
                </c:pt>
                <c:pt idx="7">
                  <c:v>1,70</c:v>
                </c:pt>
                <c:pt idx="8">
                  <c:v>1,70</c:v>
                </c:pt>
                <c:pt idx="9">
                  <c:v>1,70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PainelDeVariaveis!$E$461:$E$481</c:f>
              <c:numCache>
                <c:formatCode>0.00</c:formatCode>
                <c:ptCount val="21"/>
                <c:pt idx="0">
                  <c:v>1.6972159405122103</c:v>
                </c:pt>
                <c:pt idx="1">
                  <c:v>1.6972159405122103</c:v>
                </c:pt>
                <c:pt idx="2">
                  <c:v>1.6972159405122103</c:v>
                </c:pt>
                <c:pt idx="3">
                  <c:v>1.6972159405122103</c:v>
                </c:pt>
                <c:pt idx="4">
                  <c:v>1.6972159405122103</c:v>
                </c:pt>
                <c:pt idx="5">
                  <c:v>1.6972159405122103</c:v>
                </c:pt>
                <c:pt idx="6">
                  <c:v>1.6972159405122103</c:v>
                </c:pt>
                <c:pt idx="7">
                  <c:v>1.6972159405122103</c:v>
                </c:pt>
                <c:pt idx="8">
                  <c:v>1.6972159405122103</c:v>
                </c:pt>
                <c:pt idx="9">
                  <c:v>1.6972159405122103</c:v>
                </c:pt>
                <c:pt idx="10">
                  <c:v>1.6972159405122103</c:v>
                </c:pt>
                <c:pt idx="11">
                  <c:v>1.6972159405122103</c:v>
                </c:pt>
                <c:pt idx="12">
                  <c:v>1.6972159405122103</c:v>
                </c:pt>
                <c:pt idx="13">
                  <c:v>1.6972159405122103</c:v>
                </c:pt>
                <c:pt idx="14">
                  <c:v>1.6972159405122103</c:v>
                </c:pt>
                <c:pt idx="15">
                  <c:v>1.6972159405122103</c:v>
                </c:pt>
                <c:pt idx="16">
                  <c:v>1.6972159405122103</c:v>
                </c:pt>
                <c:pt idx="17">
                  <c:v>1.6972159405122103</c:v>
                </c:pt>
                <c:pt idx="18">
                  <c:v>1.6972159405122103</c:v>
                </c:pt>
                <c:pt idx="19">
                  <c:v>1.6972159405122103</c:v>
                </c:pt>
                <c:pt idx="20">
                  <c:v>1.6972159405122103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37-4593-B8AC-82E20B44E3AB}"/>
            </c:ext>
          </c:extLst>
        </c:ser>
        <c:ser>
          <c:idx val="3"/>
          <c:order val="3"/>
          <c:tx>
            <c:strRef>
              <c:f>PainelDeVariaveis!$F$451:$F$460</c:f>
              <c:strCache>
                <c:ptCount val="10"/>
                <c:pt idx="0">
                  <c:v>L1I</c:v>
                </c:pt>
                <c:pt idx="1">
                  <c:v>8,53</c:v>
                </c:pt>
                <c:pt idx="2">
                  <c:v>8,53</c:v>
                </c:pt>
                <c:pt idx="3">
                  <c:v>8,53</c:v>
                </c:pt>
                <c:pt idx="4">
                  <c:v>8,53</c:v>
                </c:pt>
                <c:pt idx="5">
                  <c:v>8,53</c:v>
                </c:pt>
                <c:pt idx="6">
                  <c:v>8,53</c:v>
                </c:pt>
                <c:pt idx="7">
                  <c:v>8,53</c:v>
                </c:pt>
                <c:pt idx="8">
                  <c:v>8,53</c:v>
                </c:pt>
                <c:pt idx="9">
                  <c:v>8,53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PainelDeVariaveis!$F$461:$F$481</c:f>
              <c:numCache>
                <c:formatCode>0.00</c:formatCode>
                <c:ptCount val="21"/>
                <c:pt idx="0">
                  <c:v>8.5328184965718954</c:v>
                </c:pt>
                <c:pt idx="1">
                  <c:v>8.5328184965718954</c:v>
                </c:pt>
                <c:pt idx="2">
                  <c:v>8.5328184965718954</c:v>
                </c:pt>
                <c:pt idx="3">
                  <c:v>8.5328184965718954</c:v>
                </c:pt>
                <c:pt idx="4">
                  <c:v>8.5328184965718954</c:v>
                </c:pt>
                <c:pt idx="5">
                  <c:v>8.5328184965718954</c:v>
                </c:pt>
                <c:pt idx="6">
                  <c:v>8.5328184965718954</c:v>
                </c:pt>
                <c:pt idx="7">
                  <c:v>8.5328184965718954</c:v>
                </c:pt>
                <c:pt idx="8">
                  <c:v>8.5328184965718954</c:v>
                </c:pt>
                <c:pt idx="9">
                  <c:v>8.5328184965718954</c:v>
                </c:pt>
                <c:pt idx="10">
                  <c:v>8.5328184965718954</c:v>
                </c:pt>
                <c:pt idx="11">
                  <c:v>8.5328184965718954</c:v>
                </c:pt>
                <c:pt idx="12">
                  <c:v>8.5328184965718954</c:v>
                </c:pt>
                <c:pt idx="13">
                  <c:v>8.5328184965718954</c:v>
                </c:pt>
                <c:pt idx="14">
                  <c:v>8.5328184965718954</c:v>
                </c:pt>
                <c:pt idx="15">
                  <c:v>8.5328184965718954</c:v>
                </c:pt>
                <c:pt idx="16">
                  <c:v>8.5328184965718954</c:v>
                </c:pt>
                <c:pt idx="17">
                  <c:v>8.5328184965718954</c:v>
                </c:pt>
                <c:pt idx="18">
                  <c:v>8.5328184965718954</c:v>
                </c:pt>
                <c:pt idx="19">
                  <c:v>8.5328184965718954</c:v>
                </c:pt>
                <c:pt idx="20">
                  <c:v>8.5328184965718954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37-4593-B8AC-82E20B44E3AB}"/>
            </c:ext>
          </c:extLst>
        </c:ser>
        <c:ser>
          <c:idx val="4"/>
          <c:order val="4"/>
          <c:tx>
            <c:strRef>
              <c:f>PainelDeVariaveis!$G$451:$G$460</c:f>
              <c:strCache>
                <c:ptCount val="10"/>
                <c:pt idx="0">
                  <c:v>LMC</c:v>
                </c:pt>
                <c:pt idx="1">
                  <c:v>15,37</c:v>
                </c:pt>
                <c:pt idx="2">
                  <c:v>15,37</c:v>
                </c:pt>
                <c:pt idx="3">
                  <c:v>15,37</c:v>
                </c:pt>
                <c:pt idx="4">
                  <c:v>15,37</c:v>
                </c:pt>
                <c:pt idx="5">
                  <c:v>15,37</c:v>
                </c:pt>
                <c:pt idx="6">
                  <c:v>15,37</c:v>
                </c:pt>
                <c:pt idx="7">
                  <c:v>15,37</c:v>
                </c:pt>
                <c:pt idx="8">
                  <c:v>15,37</c:v>
                </c:pt>
                <c:pt idx="9">
                  <c:v>15,37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37-4593-B8AC-82E20B44E3A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PainelDeVariaveis!$G$461:$G$481</c:f>
              <c:numCache>
                <c:formatCode>0.00</c:formatCode>
                <c:ptCount val="21"/>
                <c:pt idx="0">
                  <c:v>15.368421052631579</c:v>
                </c:pt>
                <c:pt idx="1">
                  <c:v>15.368421052631579</c:v>
                </c:pt>
                <c:pt idx="2">
                  <c:v>15.368421052631579</c:v>
                </c:pt>
                <c:pt idx="3">
                  <c:v>15.368421052631579</c:v>
                </c:pt>
                <c:pt idx="4">
                  <c:v>15.368421052631579</c:v>
                </c:pt>
                <c:pt idx="5">
                  <c:v>15.368421052631579</c:v>
                </c:pt>
                <c:pt idx="6">
                  <c:v>15.368421052631579</c:v>
                </c:pt>
                <c:pt idx="7">
                  <c:v>15.368421052631579</c:v>
                </c:pt>
                <c:pt idx="8">
                  <c:v>15.368421052631579</c:v>
                </c:pt>
                <c:pt idx="9">
                  <c:v>15.368421052631579</c:v>
                </c:pt>
                <c:pt idx="10">
                  <c:v>15.368421052631579</c:v>
                </c:pt>
                <c:pt idx="11">
                  <c:v>15.368421052631579</c:v>
                </c:pt>
                <c:pt idx="12">
                  <c:v>15.368421052631579</c:v>
                </c:pt>
                <c:pt idx="13">
                  <c:v>15.368421052631579</c:v>
                </c:pt>
                <c:pt idx="14">
                  <c:v>15.368421052631579</c:v>
                </c:pt>
                <c:pt idx="15">
                  <c:v>15.368421052631579</c:v>
                </c:pt>
                <c:pt idx="16">
                  <c:v>15.368421052631579</c:v>
                </c:pt>
                <c:pt idx="17">
                  <c:v>15.368421052631579</c:v>
                </c:pt>
                <c:pt idx="18">
                  <c:v>15.368421052631579</c:v>
                </c:pt>
                <c:pt idx="19">
                  <c:v>15.368421052631579</c:v>
                </c:pt>
                <c:pt idx="20">
                  <c:v>15.368421052631579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37-4593-B8AC-82E20B44E3AB}"/>
            </c:ext>
          </c:extLst>
        </c:ser>
        <c:ser>
          <c:idx val="5"/>
          <c:order val="5"/>
          <c:tx>
            <c:strRef>
              <c:f>PainelDeVariaveis!$H$451:$H$460</c:f>
              <c:strCache>
                <c:ptCount val="10"/>
                <c:pt idx="0">
                  <c:v>L1S</c:v>
                </c:pt>
                <c:pt idx="1">
                  <c:v>22,20</c:v>
                </c:pt>
                <c:pt idx="2">
                  <c:v>22,20</c:v>
                </c:pt>
                <c:pt idx="3">
                  <c:v>22,20</c:v>
                </c:pt>
                <c:pt idx="4">
                  <c:v>22,20</c:v>
                </c:pt>
                <c:pt idx="5">
                  <c:v>22,20</c:v>
                </c:pt>
                <c:pt idx="6">
                  <c:v>22,20</c:v>
                </c:pt>
                <c:pt idx="7">
                  <c:v>22,20</c:v>
                </c:pt>
                <c:pt idx="8">
                  <c:v>22,20</c:v>
                </c:pt>
                <c:pt idx="9">
                  <c:v>22,20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PainelDeVariaveis!$H$461:$H$481</c:f>
              <c:numCache>
                <c:formatCode>0.00</c:formatCode>
                <c:ptCount val="21"/>
                <c:pt idx="0">
                  <c:v>22.204023608691262</c:v>
                </c:pt>
                <c:pt idx="1">
                  <c:v>22.204023608691262</c:v>
                </c:pt>
                <c:pt idx="2">
                  <c:v>22.204023608691262</c:v>
                </c:pt>
                <c:pt idx="3">
                  <c:v>22.204023608691262</c:v>
                </c:pt>
                <c:pt idx="4">
                  <c:v>22.204023608691262</c:v>
                </c:pt>
                <c:pt idx="5">
                  <c:v>22.204023608691262</c:v>
                </c:pt>
                <c:pt idx="6">
                  <c:v>22.204023608691262</c:v>
                </c:pt>
                <c:pt idx="7">
                  <c:v>22.204023608691262</c:v>
                </c:pt>
                <c:pt idx="8">
                  <c:v>22.204023608691262</c:v>
                </c:pt>
                <c:pt idx="9">
                  <c:v>22.204023608691262</c:v>
                </c:pt>
                <c:pt idx="10">
                  <c:v>22.204023608691262</c:v>
                </c:pt>
                <c:pt idx="11">
                  <c:v>22.204023608691262</c:v>
                </c:pt>
                <c:pt idx="12">
                  <c:v>22.204023608691262</c:v>
                </c:pt>
                <c:pt idx="13">
                  <c:v>22.204023608691262</c:v>
                </c:pt>
                <c:pt idx="14">
                  <c:v>22.204023608691262</c:v>
                </c:pt>
                <c:pt idx="15">
                  <c:v>22.204023608691262</c:v>
                </c:pt>
                <c:pt idx="16">
                  <c:v>22.204023608691262</c:v>
                </c:pt>
                <c:pt idx="17">
                  <c:v>22.204023608691262</c:v>
                </c:pt>
                <c:pt idx="18">
                  <c:v>22.204023608691262</c:v>
                </c:pt>
                <c:pt idx="19">
                  <c:v>22.204023608691262</c:v>
                </c:pt>
                <c:pt idx="20">
                  <c:v>22.204023608691262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37-4593-B8AC-82E20B44E3AB}"/>
            </c:ext>
          </c:extLst>
        </c:ser>
        <c:ser>
          <c:idx val="6"/>
          <c:order val="6"/>
          <c:tx>
            <c:strRef>
              <c:f>PainelDeVariaveis!$I$451:$I$460</c:f>
              <c:strCache>
                <c:ptCount val="10"/>
                <c:pt idx="0">
                  <c:v>L2S</c:v>
                </c:pt>
                <c:pt idx="1">
                  <c:v>29,04</c:v>
                </c:pt>
                <c:pt idx="2">
                  <c:v>29,04</c:v>
                </c:pt>
                <c:pt idx="3">
                  <c:v>29,04</c:v>
                </c:pt>
                <c:pt idx="4">
                  <c:v>29,04</c:v>
                </c:pt>
                <c:pt idx="5">
                  <c:v>29,04</c:v>
                </c:pt>
                <c:pt idx="6">
                  <c:v>29,04</c:v>
                </c:pt>
                <c:pt idx="7">
                  <c:v>29,04</c:v>
                </c:pt>
                <c:pt idx="8">
                  <c:v>29,04</c:v>
                </c:pt>
                <c:pt idx="9">
                  <c:v>29,04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PainelDeVariaveis!$I$461:$I$481</c:f>
              <c:numCache>
                <c:formatCode>0.00</c:formatCode>
                <c:ptCount val="21"/>
                <c:pt idx="0">
                  <c:v>29.039626164750949</c:v>
                </c:pt>
                <c:pt idx="1">
                  <c:v>29.039626164750949</c:v>
                </c:pt>
                <c:pt idx="2">
                  <c:v>29.039626164750949</c:v>
                </c:pt>
                <c:pt idx="3">
                  <c:v>29.039626164750949</c:v>
                </c:pt>
                <c:pt idx="4">
                  <c:v>29.039626164750949</c:v>
                </c:pt>
                <c:pt idx="5">
                  <c:v>29.039626164750949</c:v>
                </c:pt>
                <c:pt idx="6">
                  <c:v>29.039626164750949</c:v>
                </c:pt>
                <c:pt idx="7">
                  <c:v>29.039626164750949</c:v>
                </c:pt>
                <c:pt idx="8">
                  <c:v>29.039626164750949</c:v>
                </c:pt>
                <c:pt idx="9">
                  <c:v>29.039626164750949</c:v>
                </c:pt>
                <c:pt idx="10">
                  <c:v>29.039626164750949</c:v>
                </c:pt>
                <c:pt idx="11">
                  <c:v>29.039626164750949</c:v>
                </c:pt>
                <c:pt idx="12">
                  <c:v>29.039626164750949</c:v>
                </c:pt>
                <c:pt idx="13">
                  <c:v>29.039626164750949</c:v>
                </c:pt>
                <c:pt idx="14">
                  <c:v>29.039626164750949</c:v>
                </c:pt>
                <c:pt idx="15">
                  <c:v>29.039626164750949</c:v>
                </c:pt>
                <c:pt idx="16">
                  <c:v>29.039626164750949</c:v>
                </c:pt>
                <c:pt idx="17">
                  <c:v>29.039626164750949</c:v>
                </c:pt>
                <c:pt idx="18">
                  <c:v>29.039626164750949</c:v>
                </c:pt>
                <c:pt idx="19">
                  <c:v>29.039626164750949</c:v>
                </c:pt>
                <c:pt idx="20">
                  <c:v>29.039626164750949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37-4593-B8AC-82E20B44E3AB}"/>
            </c:ext>
          </c:extLst>
        </c:ser>
        <c:ser>
          <c:idx val="7"/>
          <c:order val="7"/>
          <c:tx>
            <c:strRef>
              <c:f>PainelDeVariaveis!$J$451:$J$460</c:f>
              <c:strCache>
                <c:ptCount val="10"/>
                <c:pt idx="0">
                  <c:v>LSC</c:v>
                </c:pt>
                <c:pt idx="1">
                  <c:v>35,88</c:v>
                </c:pt>
                <c:pt idx="2">
                  <c:v>35,88</c:v>
                </c:pt>
                <c:pt idx="3">
                  <c:v>35,88</c:v>
                </c:pt>
                <c:pt idx="4">
                  <c:v>35,88</c:v>
                </c:pt>
                <c:pt idx="5">
                  <c:v>35,88</c:v>
                </c:pt>
                <c:pt idx="6">
                  <c:v>35,88</c:v>
                </c:pt>
                <c:pt idx="7">
                  <c:v>35,88</c:v>
                </c:pt>
                <c:pt idx="8">
                  <c:v>35,88</c:v>
                </c:pt>
                <c:pt idx="9">
                  <c:v>35,88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37-4593-B8AC-82E20B44E3A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PainelDeVariaveis!$B$461:$B$481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PainelDeVariaveis!$J$461:$J$481</c:f>
              <c:numCache>
                <c:formatCode>0.00</c:formatCode>
                <c:ptCount val="21"/>
                <c:pt idx="0">
                  <c:v>35.875228720810632</c:v>
                </c:pt>
                <c:pt idx="1">
                  <c:v>35.875228720810632</c:v>
                </c:pt>
                <c:pt idx="2">
                  <c:v>35.875228720810632</c:v>
                </c:pt>
                <c:pt idx="3">
                  <c:v>35.875228720810632</c:v>
                </c:pt>
                <c:pt idx="4">
                  <c:v>35.875228720810632</c:v>
                </c:pt>
                <c:pt idx="5">
                  <c:v>35.875228720810632</c:v>
                </c:pt>
                <c:pt idx="6">
                  <c:v>35.875228720810632</c:v>
                </c:pt>
                <c:pt idx="7">
                  <c:v>35.875228720810632</c:v>
                </c:pt>
                <c:pt idx="8">
                  <c:v>35.875228720810632</c:v>
                </c:pt>
                <c:pt idx="9">
                  <c:v>35.875228720810632</c:v>
                </c:pt>
                <c:pt idx="10">
                  <c:v>35.875228720810632</c:v>
                </c:pt>
                <c:pt idx="11">
                  <c:v>35.875228720810632</c:v>
                </c:pt>
                <c:pt idx="12">
                  <c:v>35.875228720810632</c:v>
                </c:pt>
                <c:pt idx="13">
                  <c:v>35.875228720810632</c:v>
                </c:pt>
                <c:pt idx="14">
                  <c:v>35.875228720810632</c:v>
                </c:pt>
                <c:pt idx="15">
                  <c:v>35.875228720810632</c:v>
                </c:pt>
                <c:pt idx="16">
                  <c:v>35.875228720810632</c:v>
                </c:pt>
                <c:pt idx="17">
                  <c:v>35.875228720810632</c:v>
                </c:pt>
                <c:pt idx="18">
                  <c:v>35.875228720810632</c:v>
                </c:pt>
                <c:pt idx="19">
                  <c:v>35.875228720810632</c:v>
                </c:pt>
                <c:pt idx="20">
                  <c:v>35.875228720810632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337-4593-B8AC-82E20B44E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979919"/>
        <c:axId val="1064978959"/>
      </c:lineChart>
      <c:dateAx>
        <c:axId val="1064979919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4978959"/>
        <c:crosses val="autoZero"/>
        <c:auto val="1"/>
        <c:lblOffset val="100"/>
        <c:baseTimeUnit val="months"/>
      </c:dateAx>
      <c:valAx>
        <c:axId val="106497895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649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V12 - SM4M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PainelDeVariaveis!$C$414:$C$423</c:f>
              <c:strCache>
                <c:ptCount val="10"/>
                <c:pt idx="0">
                  <c:v>Apurado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PainelDeVariaveis!$C$424:$C$444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C-4220-A039-D8A1708253E4}"/>
            </c:ext>
          </c:extLst>
        </c:ser>
        <c:ser>
          <c:idx val="1"/>
          <c:order val="1"/>
          <c:tx>
            <c:strRef>
              <c:f>PainelDeVariaveis!$D$414:$D$423</c:f>
              <c:strCache>
                <c:ptCount val="10"/>
                <c:pt idx="0">
                  <c:v>LIC</c:v>
                </c:pt>
                <c:pt idx="1">
                  <c:v>-1,10</c:v>
                </c:pt>
                <c:pt idx="2">
                  <c:v>-1,10</c:v>
                </c:pt>
                <c:pt idx="3">
                  <c:v>-1,10</c:v>
                </c:pt>
                <c:pt idx="4">
                  <c:v>-1,10</c:v>
                </c:pt>
                <c:pt idx="5">
                  <c:v>-1,10</c:v>
                </c:pt>
                <c:pt idx="6">
                  <c:v>-1,10</c:v>
                </c:pt>
                <c:pt idx="7">
                  <c:v>-1,10</c:v>
                </c:pt>
                <c:pt idx="8">
                  <c:v>-1,10</c:v>
                </c:pt>
                <c:pt idx="9">
                  <c:v>-1,10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2C-4220-A039-D8A1708253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PainelDeVariaveis!$D$424:$D$444</c:f>
              <c:numCache>
                <c:formatCode>0.00</c:formatCode>
                <c:ptCount val="21"/>
                <c:pt idx="0">
                  <c:v>-1.0974178889440163</c:v>
                </c:pt>
                <c:pt idx="1">
                  <c:v>-1.0974178889440163</c:v>
                </c:pt>
                <c:pt idx="2">
                  <c:v>-1.0974178889440163</c:v>
                </c:pt>
                <c:pt idx="3">
                  <c:v>-1.0974178889440163</c:v>
                </c:pt>
                <c:pt idx="4">
                  <c:v>-1.0974178889440163</c:v>
                </c:pt>
                <c:pt idx="5">
                  <c:v>-1.0974178889440163</c:v>
                </c:pt>
                <c:pt idx="6">
                  <c:v>-1.0974178889440163</c:v>
                </c:pt>
                <c:pt idx="7">
                  <c:v>-1.0974178889440163</c:v>
                </c:pt>
                <c:pt idx="8">
                  <c:v>-1.0974178889440163</c:v>
                </c:pt>
                <c:pt idx="9">
                  <c:v>-1.0974178889440163</c:v>
                </c:pt>
                <c:pt idx="10">
                  <c:v>-1.0974178889440163</c:v>
                </c:pt>
                <c:pt idx="11">
                  <c:v>-1.0974178889440163</c:v>
                </c:pt>
                <c:pt idx="12">
                  <c:v>-1.0974178889440163</c:v>
                </c:pt>
                <c:pt idx="13">
                  <c:v>-1.0974178889440163</c:v>
                </c:pt>
                <c:pt idx="14">
                  <c:v>-1.0974178889440163</c:v>
                </c:pt>
                <c:pt idx="15">
                  <c:v>-1.0974178889440163</c:v>
                </c:pt>
                <c:pt idx="16">
                  <c:v>-1.0974178889440163</c:v>
                </c:pt>
                <c:pt idx="17">
                  <c:v>-1.0974178889440163</c:v>
                </c:pt>
                <c:pt idx="18">
                  <c:v>-1.0974178889440163</c:v>
                </c:pt>
                <c:pt idx="19">
                  <c:v>-1.0974178889440163</c:v>
                </c:pt>
                <c:pt idx="20">
                  <c:v>-1.0974178889440163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2C-4220-A039-D8A1708253E4}"/>
            </c:ext>
          </c:extLst>
        </c:ser>
        <c:ser>
          <c:idx val="2"/>
          <c:order val="2"/>
          <c:tx>
            <c:strRef>
              <c:f>PainelDeVariaveis!$E$414:$E$423</c:f>
              <c:strCache>
                <c:ptCount val="10"/>
                <c:pt idx="0">
                  <c:v>L2I</c:v>
                </c:pt>
                <c:pt idx="1">
                  <c:v>-0,63</c:v>
                </c:pt>
                <c:pt idx="2">
                  <c:v>-0,63</c:v>
                </c:pt>
                <c:pt idx="3">
                  <c:v>-0,63</c:v>
                </c:pt>
                <c:pt idx="4">
                  <c:v>-0,63</c:v>
                </c:pt>
                <c:pt idx="5">
                  <c:v>-0,63</c:v>
                </c:pt>
                <c:pt idx="6">
                  <c:v>-0,63</c:v>
                </c:pt>
                <c:pt idx="7">
                  <c:v>-0,63</c:v>
                </c:pt>
                <c:pt idx="8">
                  <c:v>-0,63</c:v>
                </c:pt>
                <c:pt idx="9">
                  <c:v>-0,63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PainelDeVariaveis!$E$424:$E$444</c:f>
              <c:numCache>
                <c:formatCode>0.00</c:formatCode>
                <c:ptCount val="21"/>
                <c:pt idx="0">
                  <c:v>-0.62634876806794071</c:v>
                </c:pt>
                <c:pt idx="1">
                  <c:v>-0.62634876806794071</c:v>
                </c:pt>
                <c:pt idx="2">
                  <c:v>-0.62634876806794071</c:v>
                </c:pt>
                <c:pt idx="3">
                  <c:v>-0.62634876806794071</c:v>
                </c:pt>
                <c:pt idx="4">
                  <c:v>-0.62634876806794071</c:v>
                </c:pt>
                <c:pt idx="5">
                  <c:v>-0.62634876806794071</c:v>
                </c:pt>
                <c:pt idx="6">
                  <c:v>-0.62634876806794071</c:v>
                </c:pt>
                <c:pt idx="7">
                  <c:v>-0.62634876806794071</c:v>
                </c:pt>
                <c:pt idx="8">
                  <c:v>-0.62634876806794071</c:v>
                </c:pt>
                <c:pt idx="9">
                  <c:v>-0.62634876806794071</c:v>
                </c:pt>
                <c:pt idx="10">
                  <c:v>-0.62634876806794071</c:v>
                </c:pt>
                <c:pt idx="11">
                  <c:v>-0.62634876806794071</c:v>
                </c:pt>
                <c:pt idx="12">
                  <c:v>-0.62634876806794071</c:v>
                </c:pt>
                <c:pt idx="13">
                  <c:v>-0.62634876806794071</c:v>
                </c:pt>
                <c:pt idx="14">
                  <c:v>-0.62634876806794071</c:v>
                </c:pt>
                <c:pt idx="15">
                  <c:v>-0.62634876806794071</c:v>
                </c:pt>
                <c:pt idx="16">
                  <c:v>-0.62634876806794071</c:v>
                </c:pt>
                <c:pt idx="17">
                  <c:v>-0.62634876806794071</c:v>
                </c:pt>
                <c:pt idx="18">
                  <c:v>-0.62634876806794071</c:v>
                </c:pt>
                <c:pt idx="19">
                  <c:v>-0.62634876806794071</c:v>
                </c:pt>
                <c:pt idx="20">
                  <c:v>-0.62634876806794071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2C-4220-A039-D8A1708253E4}"/>
            </c:ext>
          </c:extLst>
        </c:ser>
        <c:ser>
          <c:idx val="3"/>
          <c:order val="3"/>
          <c:tx>
            <c:strRef>
              <c:f>PainelDeVariaveis!$F$414:$F$423</c:f>
              <c:strCache>
                <c:ptCount val="10"/>
                <c:pt idx="0">
                  <c:v>L1I</c:v>
                </c:pt>
                <c:pt idx="1">
                  <c:v>-0,16</c:v>
                </c:pt>
                <c:pt idx="2">
                  <c:v>-0,16</c:v>
                </c:pt>
                <c:pt idx="3">
                  <c:v>-0,16</c:v>
                </c:pt>
                <c:pt idx="4">
                  <c:v>-0,16</c:v>
                </c:pt>
                <c:pt idx="5">
                  <c:v>-0,16</c:v>
                </c:pt>
                <c:pt idx="6">
                  <c:v>-0,16</c:v>
                </c:pt>
                <c:pt idx="7">
                  <c:v>-0,16</c:v>
                </c:pt>
                <c:pt idx="8">
                  <c:v>-0,16</c:v>
                </c:pt>
                <c:pt idx="9">
                  <c:v>-0,16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PainelDeVariaveis!$F$424:$F$444</c:f>
              <c:numCache>
                <c:formatCode>0.00</c:formatCode>
                <c:ptCount val="21"/>
                <c:pt idx="0">
                  <c:v>-0.1552796471918651</c:v>
                </c:pt>
                <c:pt idx="1">
                  <c:v>-0.1552796471918651</c:v>
                </c:pt>
                <c:pt idx="2">
                  <c:v>-0.1552796471918651</c:v>
                </c:pt>
                <c:pt idx="3">
                  <c:v>-0.1552796471918651</c:v>
                </c:pt>
                <c:pt idx="4">
                  <c:v>-0.1552796471918651</c:v>
                </c:pt>
                <c:pt idx="5">
                  <c:v>-0.1552796471918651</c:v>
                </c:pt>
                <c:pt idx="6">
                  <c:v>-0.1552796471918651</c:v>
                </c:pt>
                <c:pt idx="7">
                  <c:v>-0.1552796471918651</c:v>
                </c:pt>
                <c:pt idx="8">
                  <c:v>-0.1552796471918651</c:v>
                </c:pt>
                <c:pt idx="9">
                  <c:v>-0.1552796471918651</c:v>
                </c:pt>
                <c:pt idx="10">
                  <c:v>-0.1552796471918651</c:v>
                </c:pt>
                <c:pt idx="11">
                  <c:v>-0.1552796471918651</c:v>
                </c:pt>
                <c:pt idx="12">
                  <c:v>-0.1552796471918651</c:v>
                </c:pt>
                <c:pt idx="13">
                  <c:v>-0.1552796471918651</c:v>
                </c:pt>
                <c:pt idx="14">
                  <c:v>-0.1552796471918651</c:v>
                </c:pt>
                <c:pt idx="15">
                  <c:v>-0.1552796471918651</c:v>
                </c:pt>
                <c:pt idx="16">
                  <c:v>-0.1552796471918651</c:v>
                </c:pt>
                <c:pt idx="17">
                  <c:v>-0.1552796471918651</c:v>
                </c:pt>
                <c:pt idx="18">
                  <c:v>-0.1552796471918651</c:v>
                </c:pt>
                <c:pt idx="19">
                  <c:v>-0.1552796471918651</c:v>
                </c:pt>
                <c:pt idx="20">
                  <c:v>-0.1552796471918651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2C-4220-A039-D8A1708253E4}"/>
            </c:ext>
          </c:extLst>
        </c:ser>
        <c:ser>
          <c:idx val="4"/>
          <c:order val="4"/>
          <c:tx>
            <c:strRef>
              <c:f>PainelDeVariaveis!$G$414:$G$423</c:f>
              <c:strCache>
                <c:ptCount val="10"/>
                <c:pt idx="0">
                  <c:v>LMC</c:v>
                </c:pt>
                <c:pt idx="1">
                  <c:v>0,32</c:v>
                </c:pt>
                <c:pt idx="2">
                  <c:v>0,32</c:v>
                </c:pt>
                <c:pt idx="3">
                  <c:v>0,32</c:v>
                </c:pt>
                <c:pt idx="4">
                  <c:v>0,32</c:v>
                </c:pt>
                <c:pt idx="5">
                  <c:v>0,32</c:v>
                </c:pt>
                <c:pt idx="6">
                  <c:v>0,32</c:v>
                </c:pt>
                <c:pt idx="7">
                  <c:v>0,32</c:v>
                </c:pt>
                <c:pt idx="8">
                  <c:v>0,32</c:v>
                </c:pt>
                <c:pt idx="9">
                  <c:v>0,32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2C-4220-A039-D8A1708253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PainelDeVariaveis!$G$424:$G$444</c:f>
              <c:numCache>
                <c:formatCode>0.00</c:formatCode>
                <c:ptCount val="21"/>
                <c:pt idx="0">
                  <c:v>0.31578947368421051</c:v>
                </c:pt>
                <c:pt idx="1">
                  <c:v>0.31578947368421051</c:v>
                </c:pt>
                <c:pt idx="2">
                  <c:v>0.31578947368421051</c:v>
                </c:pt>
                <c:pt idx="3">
                  <c:v>0.31578947368421051</c:v>
                </c:pt>
                <c:pt idx="4">
                  <c:v>0.31578947368421051</c:v>
                </c:pt>
                <c:pt idx="5">
                  <c:v>0.31578947368421051</c:v>
                </c:pt>
                <c:pt idx="6">
                  <c:v>0.31578947368421051</c:v>
                </c:pt>
                <c:pt idx="7">
                  <c:v>0.31578947368421051</c:v>
                </c:pt>
                <c:pt idx="8">
                  <c:v>0.31578947368421051</c:v>
                </c:pt>
                <c:pt idx="9">
                  <c:v>0.31578947368421051</c:v>
                </c:pt>
                <c:pt idx="10">
                  <c:v>0.31578947368421051</c:v>
                </c:pt>
                <c:pt idx="11">
                  <c:v>0.31578947368421051</c:v>
                </c:pt>
                <c:pt idx="12">
                  <c:v>0.31578947368421051</c:v>
                </c:pt>
                <c:pt idx="13">
                  <c:v>0.31578947368421051</c:v>
                </c:pt>
                <c:pt idx="14">
                  <c:v>0.31578947368421051</c:v>
                </c:pt>
                <c:pt idx="15">
                  <c:v>0.31578947368421051</c:v>
                </c:pt>
                <c:pt idx="16">
                  <c:v>0.31578947368421051</c:v>
                </c:pt>
                <c:pt idx="17">
                  <c:v>0.31578947368421051</c:v>
                </c:pt>
                <c:pt idx="18">
                  <c:v>0.31578947368421051</c:v>
                </c:pt>
                <c:pt idx="19">
                  <c:v>0.31578947368421051</c:v>
                </c:pt>
                <c:pt idx="20">
                  <c:v>0.31578947368421051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2C-4220-A039-D8A1708253E4}"/>
            </c:ext>
          </c:extLst>
        </c:ser>
        <c:ser>
          <c:idx val="5"/>
          <c:order val="5"/>
          <c:tx>
            <c:strRef>
              <c:f>PainelDeVariaveis!$H$414:$H$423</c:f>
              <c:strCache>
                <c:ptCount val="10"/>
                <c:pt idx="0">
                  <c:v>L1S</c:v>
                </c:pt>
                <c:pt idx="1">
                  <c:v>0,79</c:v>
                </c:pt>
                <c:pt idx="2">
                  <c:v>0,79</c:v>
                </c:pt>
                <c:pt idx="3">
                  <c:v>0,79</c:v>
                </c:pt>
                <c:pt idx="4">
                  <c:v>0,79</c:v>
                </c:pt>
                <c:pt idx="5">
                  <c:v>0,79</c:v>
                </c:pt>
                <c:pt idx="6">
                  <c:v>0,79</c:v>
                </c:pt>
                <c:pt idx="7">
                  <c:v>0,79</c:v>
                </c:pt>
                <c:pt idx="8">
                  <c:v>0,79</c:v>
                </c:pt>
                <c:pt idx="9">
                  <c:v>0,79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PainelDeVariaveis!$H$424:$H$444</c:f>
              <c:numCache>
                <c:formatCode>0.00</c:formatCode>
                <c:ptCount val="21"/>
                <c:pt idx="0">
                  <c:v>0.78685859456028617</c:v>
                </c:pt>
                <c:pt idx="1">
                  <c:v>0.78685859456028617</c:v>
                </c:pt>
                <c:pt idx="2">
                  <c:v>0.78685859456028617</c:v>
                </c:pt>
                <c:pt idx="3">
                  <c:v>0.78685859456028617</c:v>
                </c:pt>
                <c:pt idx="4">
                  <c:v>0.78685859456028617</c:v>
                </c:pt>
                <c:pt idx="5">
                  <c:v>0.78685859456028617</c:v>
                </c:pt>
                <c:pt idx="6">
                  <c:v>0.78685859456028617</c:v>
                </c:pt>
                <c:pt idx="7">
                  <c:v>0.78685859456028617</c:v>
                </c:pt>
                <c:pt idx="8">
                  <c:v>0.78685859456028617</c:v>
                </c:pt>
                <c:pt idx="9">
                  <c:v>0.78685859456028617</c:v>
                </c:pt>
                <c:pt idx="10">
                  <c:v>0.78685859456028617</c:v>
                </c:pt>
                <c:pt idx="11">
                  <c:v>0.78685859456028617</c:v>
                </c:pt>
                <c:pt idx="12">
                  <c:v>0.78685859456028617</c:v>
                </c:pt>
                <c:pt idx="13">
                  <c:v>0.78685859456028617</c:v>
                </c:pt>
                <c:pt idx="14">
                  <c:v>0.78685859456028617</c:v>
                </c:pt>
                <c:pt idx="15">
                  <c:v>0.78685859456028617</c:v>
                </c:pt>
                <c:pt idx="16">
                  <c:v>0.78685859456028617</c:v>
                </c:pt>
                <c:pt idx="17">
                  <c:v>0.78685859456028617</c:v>
                </c:pt>
                <c:pt idx="18">
                  <c:v>0.78685859456028617</c:v>
                </c:pt>
                <c:pt idx="19">
                  <c:v>0.78685859456028617</c:v>
                </c:pt>
                <c:pt idx="20">
                  <c:v>0.78685859456028617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2C-4220-A039-D8A1708253E4}"/>
            </c:ext>
          </c:extLst>
        </c:ser>
        <c:ser>
          <c:idx val="6"/>
          <c:order val="6"/>
          <c:tx>
            <c:strRef>
              <c:f>PainelDeVariaveis!$I$414:$I$423</c:f>
              <c:strCache>
                <c:ptCount val="10"/>
                <c:pt idx="0">
                  <c:v>L2S</c:v>
                </c:pt>
                <c:pt idx="1">
                  <c:v>1,26</c:v>
                </c:pt>
                <c:pt idx="2">
                  <c:v>1,26</c:v>
                </c:pt>
                <c:pt idx="3">
                  <c:v>1,26</c:v>
                </c:pt>
                <c:pt idx="4">
                  <c:v>1,26</c:v>
                </c:pt>
                <c:pt idx="5">
                  <c:v>1,26</c:v>
                </c:pt>
                <c:pt idx="6">
                  <c:v>1,26</c:v>
                </c:pt>
                <c:pt idx="7">
                  <c:v>1,26</c:v>
                </c:pt>
                <c:pt idx="8">
                  <c:v>1,26</c:v>
                </c:pt>
                <c:pt idx="9">
                  <c:v>1,26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PainelDeVariaveis!$I$424:$I$444</c:f>
              <c:numCache>
                <c:formatCode>0.00</c:formatCode>
                <c:ptCount val="21"/>
                <c:pt idx="0">
                  <c:v>1.2579277154363617</c:v>
                </c:pt>
                <c:pt idx="1">
                  <c:v>1.2579277154363617</c:v>
                </c:pt>
                <c:pt idx="2">
                  <c:v>1.2579277154363617</c:v>
                </c:pt>
                <c:pt idx="3">
                  <c:v>1.2579277154363617</c:v>
                </c:pt>
                <c:pt idx="4">
                  <c:v>1.2579277154363617</c:v>
                </c:pt>
                <c:pt idx="5">
                  <c:v>1.2579277154363617</c:v>
                </c:pt>
                <c:pt idx="6">
                  <c:v>1.2579277154363617</c:v>
                </c:pt>
                <c:pt idx="7">
                  <c:v>1.2579277154363617</c:v>
                </c:pt>
                <c:pt idx="8">
                  <c:v>1.2579277154363617</c:v>
                </c:pt>
                <c:pt idx="9">
                  <c:v>1.2579277154363617</c:v>
                </c:pt>
                <c:pt idx="10">
                  <c:v>1.2579277154363617</c:v>
                </c:pt>
                <c:pt idx="11">
                  <c:v>1.2579277154363617</c:v>
                </c:pt>
                <c:pt idx="12">
                  <c:v>1.2579277154363617</c:v>
                </c:pt>
                <c:pt idx="13">
                  <c:v>1.2579277154363617</c:v>
                </c:pt>
                <c:pt idx="14">
                  <c:v>1.2579277154363617</c:v>
                </c:pt>
                <c:pt idx="15">
                  <c:v>1.2579277154363617</c:v>
                </c:pt>
                <c:pt idx="16">
                  <c:v>1.2579277154363617</c:v>
                </c:pt>
                <c:pt idx="17">
                  <c:v>1.2579277154363617</c:v>
                </c:pt>
                <c:pt idx="18">
                  <c:v>1.2579277154363617</c:v>
                </c:pt>
                <c:pt idx="19">
                  <c:v>1.2579277154363617</c:v>
                </c:pt>
                <c:pt idx="20">
                  <c:v>1.2579277154363617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2C-4220-A039-D8A1708253E4}"/>
            </c:ext>
          </c:extLst>
        </c:ser>
        <c:ser>
          <c:idx val="7"/>
          <c:order val="7"/>
          <c:tx>
            <c:strRef>
              <c:f>PainelDeVariaveis!$J$414:$J$423</c:f>
              <c:strCache>
                <c:ptCount val="10"/>
                <c:pt idx="0">
                  <c:v>LSC</c:v>
                </c:pt>
                <c:pt idx="1">
                  <c:v>1,73</c:v>
                </c:pt>
                <c:pt idx="2">
                  <c:v>1,73</c:v>
                </c:pt>
                <c:pt idx="3">
                  <c:v>1,73</c:v>
                </c:pt>
                <c:pt idx="4">
                  <c:v>1,73</c:v>
                </c:pt>
                <c:pt idx="5">
                  <c:v>1,73</c:v>
                </c:pt>
                <c:pt idx="6">
                  <c:v>1,73</c:v>
                </c:pt>
                <c:pt idx="7">
                  <c:v>1,73</c:v>
                </c:pt>
                <c:pt idx="8">
                  <c:v>1,73</c:v>
                </c:pt>
                <c:pt idx="9">
                  <c:v>1,73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2C-4220-A039-D8A1708253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PainelDeVariaveis!$B$424:$B$444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PainelDeVariaveis!$J$424:$J$444</c:f>
              <c:numCache>
                <c:formatCode>0.00</c:formatCode>
                <c:ptCount val="21"/>
                <c:pt idx="0">
                  <c:v>1.7289968363124375</c:v>
                </c:pt>
                <c:pt idx="1">
                  <c:v>1.7289968363124375</c:v>
                </c:pt>
                <c:pt idx="2">
                  <c:v>1.7289968363124375</c:v>
                </c:pt>
                <c:pt idx="3">
                  <c:v>1.7289968363124375</c:v>
                </c:pt>
                <c:pt idx="4">
                  <c:v>1.7289968363124375</c:v>
                </c:pt>
                <c:pt idx="5">
                  <c:v>1.7289968363124375</c:v>
                </c:pt>
                <c:pt idx="6">
                  <c:v>1.7289968363124375</c:v>
                </c:pt>
                <c:pt idx="7">
                  <c:v>1.7289968363124375</c:v>
                </c:pt>
                <c:pt idx="8">
                  <c:v>1.7289968363124375</c:v>
                </c:pt>
                <c:pt idx="9">
                  <c:v>1.7289968363124375</c:v>
                </c:pt>
                <c:pt idx="10">
                  <c:v>1.7289968363124375</c:v>
                </c:pt>
                <c:pt idx="11">
                  <c:v>1.7289968363124375</c:v>
                </c:pt>
                <c:pt idx="12">
                  <c:v>1.7289968363124375</c:v>
                </c:pt>
                <c:pt idx="13">
                  <c:v>1.7289968363124375</c:v>
                </c:pt>
                <c:pt idx="14">
                  <c:v>1.7289968363124375</c:v>
                </c:pt>
                <c:pt idx="15">
                  <c:v>1.7289968363124375</c:v>
                </c:pt>
                <c:pt idx="16">
                  <c:v>1.7289968363124375</c:v>
                </c:pt>
                <c:pt idx="17">
                  <c:v>1.7289968363124375</c:v>
                </c:pt>
                <c:pt idx="18">
                  <c:v>1.7289968363124375</c:v>
                </c:pt>
                <c:pt idx="19">
                  <c:v>1.7289968363124375</c:v>
                </c:pt>
                <c:pt idx="20">
                  <c:v>1.7289968363124375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2C-4220-A039-D8A170825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979919"/>
        <c:axId val="1064978959"/>
      </c:lineChart>
      <c:dateAx>
        <c:axId val="1064979919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4978959"/>
        <c:crosses val="autoZero"/>
        <c:auto val="1"/>
        <c:lblOffset val="100"/>
        <c:baseTimeUnit val="months"/>
      </c:dateAx>
      <c:valAx>
        <c:axId val="106497895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649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V14 - SM4M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PainelDeVariaveis!$C$488:$C$497</c:f>
              <c:strCache>
                <c:ptCount val="10"/>
                <c:pt idx="0">
                  <c:v>Apurado</c:v>
                </c:pt>
                <c:pt idx="1">
                  <c:v>18</c:v>
                </c:pt>
                <c:pt idx="2">
                  <c:v>23</c:v>
                </c:pt>
                <c:pt idx="3">
                  <c:v>20</c:v>
                </c:pt>
                <c:pt idx="4">
                  <c:v>22</c:v>
                </c:pt>
                <c:pt idx="5">
                  <c:v>23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PainelDeVariaveis!$C$498:$C$518</c:f>
              <c:numCache>
                <c:formatCode>General</c:formatCode>
                <c:ptCount val="21"/>
                <c:pt idx="0">
                  <c:v>23</c:v>
                </c:pt>
                <c:pt idx="1">
                  <c:v>21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11</c:v>
                </c:pt>
                <c:pt idx="12">
                  <c:v>14</c:v>
                </c:pt>
                <c:pt idx="13">
                  <c:v>15</c:v>
                </c:pt>
                <c:pt idx="14">
                  <c:v>18</c:v>
                </c:pt>
                <c:pt idx="15">
                  <c:v>12</c:v>
                </c:pt>
                <c:pt idx="16">
                  <c:v>9</c:v>
                </c:pt>
                <c:pt idx="17">
                  <c:v>9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8-4FC8-814E-3A2FBF218496}"/>
            </c:ext>
          </c:extLst>
        </c:ser>
        <c:ser>
          <c:idx val="1"/>
          <c:order val="1"/>
          <c:tx>
            <c:strRef>
              <c:f>PainelDeVariaveis!$D$488:$D$497</c:f>
              <c:strCache>
                <c:ptCount val="10"/>
                <c:pt idx="0">
                  <c:v>LIC</c:v>
                </c:pt>
                <c:pt idx="1">
                  <c:v>-3,93</c:v>
                </c:pt>
                <c:pt idx="2">
                  <c:v>-3,93</c:v>
                </c:pt>
                <c:pt idx="3">
                  <c:v>-3,93</c:v>
                </c:pt>
                <c:pt idx="4">
                  <c:v>-3,93</c:v>
                </c:pt>
                <c:pt idx="5">
                  <c:v>-3,93</c:v>
                </c:pt>
                <c:pt idx="6">
                  <c:v>-3,93</c:v>
                </c:pt>
                <c:pt idx="7">
                  <c:v>-3,93</c:v>
                </c:pt>
                <c:pt idx="8">
                  <c:v>-3,93</c:v>
                </c:pt>
                <c:pt idx="9">
                  <c:v>-3,93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BA8-4FC8-814E-3A2FBF218496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PainelDeVariaveis!$D$498:$D$518</c:f>
              <c:numCache>
                <c:formatCode>0.00</c:formatCode>
                <c:ptCount val="21"/>
                <c:pt idx="0">
                  <c:v>-3.9331758027408288</c:v>
                </c:pt>
                <c:pt idx="1">
                  <c:v>-3.9331758027408288</c:v>
                </c:pt>
                <c:pt idx="2">
                  <c:v>-3.9331758027408288</c:v>
                </c:pt>
                <c:pt idx="3">
                  <c:v>-3.9331758027408288</c:v>
                </c:pt>
                <c:pt idx="4">
                  <c:v>-3.9331758027408288</c:v>
                </c:pt>
                <c:pt idx="5">
                  <c:v>-3.9331758027408288</c:v>
                </c:pt>
                <c:pt idx="6">
                  <c:v>-3.9331758027408288</c:v>
                </c:pt>
                <c:pt idx="7">
                  <c:v>-3.9331758027408288</c:v>
                </c:pt>
                <c:pt idx="8">
                  <c:v>-3.9331758027408288</c:v>
                </c:pt>
                <c:pt idx="9">
                  <c:v>-3.9331758027408288</c:v>
                </c:pt>
                <c:pt idx="10">
                  <c:v>-3.9331758027408288</c:v>
                </c:pt>
                <c:pt idx="11">
                  <c:v>-3.9331758027408288</c:v>
                </c:pt>
                <c:pt idx="12">
                  <c:v>-3.9331758027408288</c:v>
                </c:pt>
                <c:pt idx="13">
                  <c:v>-3.9331758027408288</c:v>
                </c:pt>
                <c:pt idx="14">
                  <c:v>-3.9331758027408288</c:v>
                </c:pt>
                <c:pt idx="15">
                  <c:v>-3.9331758027408288</c:v>
                </c:pt>
                <c:pt idx="16">
                  <c:v>-3.9331758027408288</c:v>
                </c:pt>
                <c:pt idx="17">
                  <c:v>-3.9331758027408288</c:v>
                </c:pt>
                <c:pt idx="18">
                  <c:v>-3.9331758027408288</c:v>
                </c:pt>
                <c:pt idx="19">
                  <c:v>-3.9331758027408288</c:v>
                </c:pt>
                <c:pt idx="20">
                  <c:v>-3.9331758027408288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8-4FC8-814E-3A2FBF218496}"/>
            </c:ext>
          </c:extLst>
        </c:ser>
        <c:ser>
          <c:idx val="2"/>
          <c:order val="2"/>
          <c:tx>
            <c:strRef>
              <c:f>PainelDeVariaveis!$E$488:$E$497</c:f>
              <c:strCache>
                <c:ptCount val="10"/>
                <c:pt idx="0">
                  <c:v>L2I</c:v>
                </c:pt>
                <c:pt idx="1">
                  <c:v>2,40</c:v>
                </c:pt>
                <c:pt idx="2">
                  <c:v>2,40</c:v>
                </c:pt>
                <c:pt idx="3">
                  <c:v>2,40</c:v>
                </c:pt>
                <c:pt idx="4">
                  <c:v>2,40</c:v>
                </c:pt>
                <c:pt idx="5">
                  <c:v>2,40</c:v>
                </c:pt>
                <c:pt idx="6">
                  <c:v>2,40</c:v>
                </c:pt>
                <c:pt idx="7">
                  <c:v>2,40</c:v>
                </c:pt>
                <c:pt idx="8">
                  <c:v>2,40</c:v>
                </c:pt>
                <c:pt idx="9">
                  <c:v>2,40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PainelDeVariaveis!$E$498:$E$518</c:f>
              <c:numCache>
                <c:formatCode>0.00</c:formatCode>
                <c:ptCount val="21"/>
                <c:pt idx="0">
                  <c:v>2.3954266578219023</c:v>
                </c:pt>
                <c:pt idx="1">
                  <c:v>2.3954266578219023</c:v>
                </c:pt>
                <c:pt idx="2">
                  <c:v>2.3954266578219023</c:v>
                </c:pt>
                <c:pt idx="3">
                  <c:v>2.3954266578219023</c:v>
                </c:pt>
                <c:pt idx="4">
                  <c:v>2.3954266578219023</c:v>
                </c:pt>
                <c:pt idx="5">
                  <c:v>2.3954266578219023</c:v>
                </c:pt>
                <c:pt idx="6">
                  <c:v>2.3954266578219023</c:v>
                </c:pt>
                <c:pt idx="7">
                  <c:v>2.3954266578219023</c:v>
                </c:pt>
                <c:pt idx="8">
                  <c:v>2.3954266578219023</c:v>
                </c:pt>
                <c:pt idx="9">
                  <c:v>2.3954266578219023</c:v>
                </c:pt>
                <c:pt idx="10">
                  <c:v>2.3954266578219023</c:v>
                </c:pt>
                <c:pt idx="11">
                  <c:v>2.3954266578219023</c:v>
                </c:pt>
                <c:pt idx="12">
                  <c:v>2.3954266578219023</c:v>
                </c:pt>
                <c:pt idx="13">
                  <c:v>2.3954266578219023</c:v>
                </c:pt>
                <c:pt idx="14">
                  <c:v>2.3954266578219023</c:v>
                </c:pt>
                <c:pt idx="15">
                  <c:v>2.3954266578219023</c:v>
                </c:pt>
                <c:pt idx="16">
                  <c:v>2.3954266578219023</c:v>
                </c:pt>
                <c:pt idx="17">
                  <c:v>2.3954266578219023</c:v>
                </c:pt>
                <c:pt idx="18">
                  <c:v>2.3954266578219023</c:v>
                </c:pt>
                <c:pt idx="19">
                  <c:v>2.3954266578219023</c:v>
                </c:pt>
                <c:pt idx="20">
                  <c:v>2.3954266578219023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A8-4FC8-814E-3A2FBF218496}"/>
            </c:ext>
          </c:extLst>
        </c:ser>
        <c:ser>
          <c:idx val="3"/>
          <c:order val="3"/>
          <c:tx>
            <c:strRef>
              <c:f>PainelDeVariaveis!$F$488:$F$497</c:f>
              <c:strCache>
                <c:ptCount val="10"/>
                <c:pt idx="0">
                  <c:v>L1I</c:v>
                </c:pt>
                <c:pt idx="1">
                  <c:v>8,72</c:v>
                </c:pt>
                <c:pt idx="2">
                  <c:v>8,72</c:v>
                </c:pt>
                <c:pt idx="3">
                  <c:v>8,72</c:v>
                </c:pt>
                <c:pt idx="4">
                  <c:v>8,72</c:v>
                </c:pt>
                <c:pt idx="5">
                  <c:v>8,72</c:v>
                </c:pt>
                <c:pt idx="6">
                  <c:v>8,72</c:v>
                </c:pt>
                <c:pt idx="7">
                  <c:v>8,72</c:v>
                </c:pt>
                <c:pt idx="8">
                  <c:v>8,72</c:v>
                </c:pt>
                <c:pt idx="9">
                  <c:v>8,72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PainelDeVariaveis!$F$498:$F$518</c:f>
              <c:numCache>
                <c:formatCode>0.00</c:formatCode>
                <c:ptCount val="21"/>
                <c:pt idx="0">
                  <c:v>8.7240291183846352</c:v>
                </c:pt>
                <c:pt idx="1">
                  <c:v>8.7240291183846352</c:v>
                </c:pt>
                <c:pt idx="2">
                  <c:v>8.7240291183846352</c:v>
                </c:pt>
                <c:pt idx="3">
                  <c:v>8.7240291183846352</c:v>
                </c:pt>
                <c:pt idx="4">
                  <c:v>8.7240291183846352</c:v>
                </c:pt>
                <c:pt idx="5">
                  <c:v>8.7240291183846352</c:v>
                </c:pt>
                <c:pt idx="6">
                  <c:v>8.7240291183846352</c:v>
                </c:pt>
                <c:pt idx="7">
                  <c:v>8.7240291183846352</c:v>
                </c:pt>
                <c:pt idx="8">
                  <c:v>8.7240291183846352</c:v>
                </c:pt>
                <c:pt idx="9">
                  <c:v>8.7240291183846352</c:v>
                </c:pt>
                <c:pt idx="10">
                  <c:v>8.7240291183846352</c:v>
                </c:pt>
                <c:pt idx="11">
                  <c:v>8.7240291183846352</c:v>
                </c:pt>
                <c:pt idx="12">
                  <c:v>8.7240291183846352</c:v>
                </c:pt>
                <c:pt idx="13">
                  <c:v>8.7240291183846352</c:v>
                </c:pt>
                <c:pt idx="14">
                  <c:v>8.7240291183846352</c:v>
                </c:pt>
                <c:pt idx="15">
                  <c:v>8.7240291183846352</c:v>
                </c:pt>
                <c:pt idx="16">
                  <c:v>8.7240291183846352</c:v>
                </c:pt>
                <c:pt idx="17">
                  <c:v>8.7240291183846352</c:v>
                </c:pt>
                <c:pt idx="18">
                  <c:v>8.7240291183846352</c:v>
                </c:pt>
                <c:pt idx="19">
                  <c:v>8.7240291183846352</c:v>
                </c:pt>
                <c:pt idx="20">
                  <c:v>8.7240291183846352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A8-4FC8-814E-3A2FBF218496}"/>
            </c:ext>
          </c:extLst>
        </c:ser>
        <c:ser>
          <c:idx val="4"/>
          <c:order val="4"/>
          <c:tx>
            <c:strRef>
              <c:f>PainelDeVariaveis!$G$488:$G$497</c:f>
              <c:strCache>
                <c:ptCount val="10"/>
                <c:pt idx="0">
                  <c:v>LMC</c:v>
                </c:pt>
                <c:pt idx="1">
                  <c:v>15,05</c:v>
                </c:pt>
                <c:pt idx="2">
                  <c:v>15,05</c:v>
                </c:pt>
                <c:pt idx="3">
                  <c:v>15,05</c:v>
                </c:pt>
                <c:pt idx="4">
                  <c:v>15,05</c:v>
                </c:pt>
                <c:pt idx="5">
                  <c:v>15,05</c:v>
                </c:pt>
                <c:pt idx="6">
                  <c:v>15,05</c:v>
                </c:pt>
                <c:pt idx="7">
                  <c:v>15,05</c:v>
                </c:pt>
                <c:pt idx="8">
                  <c:v>15,05</c:v>
                </c:pt>
                <c:pt idx="9">
                  <c:v>15,05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A8-4FC8-814E-3A2FBF218496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PainelDeVariaveis!$G$498:$G$518</c:f>
              <c:numCache>
                <c:formatCode>0.00</c:formatCode>
                <c:ptCount val="21"/>
                <c:pt idx="0">
                  <c:v>15.052631578947368</c:v>
                </c:pt>
                <c:pt idx="1">
                  <c:v>15.052631578947368</c:v>
                </c:pt>
                <c:pt idx="2">
                  <c:v>15.052631578947368</c:v>
                </c:pt>
                <c:pt idx="3">
                  <c:v>15.052631578947368</c:v>
                </c:pt>
                <c:pt idx="4">
                  <c:v>15.052631578947368</c:v>
                </c:pt>
                <c:pt idx="5">
                  <c:v>15.052631578947368</c:v>
                </c:pt>
                <c:pt idx="6">
                  <c:v>15.052631578947368</c:v>
                </c:pt>
                <c:pt idx="7">
                  <c:v>15.052631578947368</c:v>
                </c:pt>
                <c:pt idx="8">
                  <c:v>15.052631578947368</c:v>
                </c:pt>
                <c:pt idx="9">
                  <c:v>15.052631578947368</c:v>
                </c:pt>
                <c:pt idx="10">
                  <c:v>15.052631578947368</c:v>
                </c:pt>
                <c:pt idx="11">
                  <c:v>15.052631578947368</c:v>
                </c:pt>
                <c:pt idx="12">
                  <c:v>15.052631578947368</c:v>
                </c:pt>
                <c:pt idx="13">
                  <c:v>15.052631578947368</c:v>
                </c:pt>
                <c:pt idx="14">
                  <c:v>15.052631578947368</c:v>
                </c:pt>
                <c:pt idx="15">
                  <c:v>15.052631578947368</c:v>
                </c:pt>
                <c:pt idx="16">
                  <c:v>15.052631578947368</c:v>
                </c:pt>
                <c:pt idx="17">
                  <c:v>15.052631578947368</c:v>
                </c:pt>
                <c:pt idx="18">
                  <c:v>15.052631578947368</c:v>
                </c:pt>
                <c:pt idx="19">
                  <c:v>15.052631578947368</c:v>
                </c:pt>
                <c:pt idx="20">
                  <c:v>15.052631578947368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A8-4FC8-814E-3A2FBF218496}"/>
            </c:ext>
          </c:extLst>
        </c:ser>
        <c:ser>
          <c:idx val="5"/>
          <c:order val="5"/>
          <c:tx>
            <c:strRef>
              <c:f>PainelDeVariaveis!$H$488:$H$497</c:f>
              <c:strCache>
                <c:ptCount val="10"/>
                <c:pt idx="0">
                  <c:v>L1S</c:v>
                </c:pt>
                <c:pt idx="1">
                  <c:v>21,38</c:v>
                </c:pt>
                <c:pt idx="2">
                  <c:v>21,38</c:v>
                </c:pt>
                <c:pt idx="3">
                  <c:v>21,38</c:v>
                </c:pt>
                <c:pt idx="4">
                  <c:v>21,38</c:v>
                </c:pt>
                <c:pt idx="5">
                  <c:v>21,38</c:v>
                </c:pt>
                <c:pt idx="6">
                  <c:v>21,38</c:v>
                </c:pt>
                <c:pt idx="7">
                  <c:v>21,38</c:v>
                </c:pt>
                <c:pt idx="8">
                  <c:v>21,38</c:v>
                </c:pt>
                <c:pt idx="9">
                  <c:v>21,38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PainelDeVariaveis!$H$498:$H$518</c:f>
              <c:numCache>
                <c:formatCode>0.00</c:formatCode>
                <c:ptCount val="21"/>
                <c:pt idx="0">
                  <c:v>21.381234039510101</c:v>
                </c:pt>
                <c:pt idx="1">
                  <c:v>21.381234039510101</c:v>
                </c:pt>
                <c:pt idx="2">
                  <c:v>21.381234039510101</c:v>
                </c:pt>
                <c:pt idx="3">
                  <c:v>21.381234039510101</c:v>
                </c:pt>
                <c:pt idx="4">
                  <c:v>21.381234039510101</c:v>
                </c:pt>
                <c:pt idx="5">
                  <c:v>21.381234039510101</c:v>
                </c:pt>
                <c:pt idx="6">
                  <c:v>21.381234039510101</c:v>
                </c:pt>
                <c:pt idx="7">
                  <c:v>21.381234039510101</c:v>
                </c:pt>
                <c:pt idx="8">
                  <c:v>21.381234039510101</c:v>
                </c:pt>
                <c:pt idx="9">
                  <c:v>21.381234039510101</c:v>
                </c:pt>
                <c:pt idx="10">
                  <c:v>21.381234039510101</c:v>
                </c:pt>
                <c:pt idx="11">
                  <c:v>21.381234039510101</c:v>
                </c:pt>
                <c:pt idx="12">
                  <c:v>21.381234039510101</c:v>
                </c:pt>
                <c:pt idx="13">
                  <c:v>21.381234039510101</c:v>
                </c:pt>
                <c:pt idx="14">
                  <c:v>21.381234039510101</c:v>
                </c:pt>
                <c:pt idx="15">
                  <c:v>21.381234039510101</c:v>
                </c:pt>
                <c:pt idx="16">
                  <c:v>21.381234039510101</c:v>
                </c:pt>
                <c:pt idx="17">
                  <c:v>21.381234039510101</c:v>
                </c:pt>
                <c:pt idx="18">
                  <c:v>21.381234039510101</c:v>
                </c:pt>
                <c:pt idx="19">
                  <c:v>21.381234039510101</c:v>
                </c:pt>
                <c:pt idx="20">
                  <c:v>21.381234039510101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A8-4FC8-814E-3A2FBF218496}"/>
            </c:ext>
          </c:extLst>
        </c:ser>
        <c:ser>
          <c:idx val="6"/>
          <c:order val="6"/>
          <c:tx>
            <c:strRef>
              <c:f>PainelDeVariaveis!$I$488:$I$497</c:f>
              <c:strCache>
                <c:ptCount val="10"/>
                <c:pt idx="0">
                  <c:v>L2S</c:v>
                </c:pt>
                <c:pt idx="1">
                  <c:v>27,71</c:v>
                </c:pt>
                <c:pt idx="2">
                  <c:v>27,71</c:v>
                </c:pt>
                <c:pt idx="3">
                  <c:v>27,71</c:v>
                </c:pt>
                <c:pt idx="4">
                  <c:v>27,71</c:v>
                </c:pt>
                <c:pt idx="5">
                  <c:v>27,71</c:v>
                </c:pt>
                <c:pt idx="6">
                  <c:v>27,71</c:v>
                </c:pt>
                <c:pt idx="7">
                  <c:v>27,71</c:v>
                </c:pt>
                <c:pt idx="8">
                  <c:v>27,71</c:v>
                </c:pt>
                <c:pt idx="9">
                  <c:v>27,71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PainelDeVariaveis!$I$498:$I$518</c:f>
              <c:numCache>
                <c:formatCode>0.00</c:formatCode>
                <c:ptCount val="21"/>
                <c:pt idx="0">
                  <c:v>27.709836500072832</c:v>
                </c:pt>
                <c:pt idx="1">
                  <c:v>27.709836500072832</c:v>
                </c:pt>
                <c:pt idx="2">
                  <c:v>27.709836500072832</c:v>
                </c:pt>
                <c:pt idx="3">
                  <c:v>27.709836500072832</c:v>
                </c:pt>
                <c:pt idx="4">
                  <c:v>27.709836500072832</c:v>
                </c:pt>
                <c:pt idx="5">
                  <c:v>27.709836500072832</c:v>
                </c:pt>
                <c:pt idx="6">
                  <c:v>27.709836500072832</c:v>
                </c:pt>
                <c:pt idx="7">
                  <c:v>27.709836500072832</c:v>
                </c:pt>
                <c:pt idx="8">
                  <c:v>27.709836500072832</c:v>
                </c:pt>
                <c:pt idx="9">
                  <c:v>27.709836500072832</c:v>
                </c:pt>
                <c:pt idx="10">
                  <c:v>27.709836500072832</c:v>
                </c:pt>
                <c:pt idx="11">
                  <c:v>27.709836500072832</c:v>
                </c:pt>
                <c:pt idx="12">
                  <c:v>27.709836500072832</c:v>
                </c:pt>
                <c:pt idx="13">
                  <c:v>27.709836500072832</c:v>
                </c:pt>
                <c:pt idx="14">
                  <c:v>27.709836500072832</c:v>
                </c:pt>
                <c:pt idx="15">
                  <c:v>27.709836500072832</c:v>
                </c:pt>
                <c:pt idx="16">
                  <c:v>27.709836500072832</c:v>
                </c:pt>
                <c:pt idx="17">
                  <c:v>27.709836500072832</c:v>
                </c:pt>
                <c:pt idx="18">
                  <c:v>27.709836500072832</c:v>
                </c:pt>
                <c:pt idx="19">
                  <c:v>27.709836500072832</c:v>
                </c:pt>
                <c:pt idx="20">
                  <c:v>27.709836500072832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A8-4FC8-814E-3A2FBF218496}"/>
            </c:ext>
          </c:extLst>
        </c:ser>
        <c:ser>
          <c:idx val="7"/>
          <c:order val="7"/>
          <c:tx>
            <c:strRef>
              <c:f>PainelDeVariaveis!$J$488:$J$497</c:f>
              <c:strCache>
                <c:ptCount val="10"/>
                <c:pt idx="0">
                  <c:v>LSC</c:v>
                </c:pt>
                <c:pt idx="1">
                  <c:v>34,04</c:v>
                </c:pt>
                <c:pt idx="2">
                  <c:v>34,04</c:v>
                </c:pt>
                <c:pt idx="3">
                  <c:v>34,04</c:v>
                </c:pt>
                <c:pt idx="4">
                  <c:v>34,04</c:v>
                </c:pt>
                <c:pt idx="5">
                  <c:v>34,04</c:v>
                </c:pt>
                <c:pt idx="6">
                  <c:v>34,04</c:v>
                </c:pt>
                <c:pt idx="7">
                  <c:v>34,04</c:v>
                </c:pt>
                <c:pt idx="8">
                  <c:v>34,04</c:v>
                </c:pt>
                <c:pt idx="9">
                  <c:v>34,04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BA8-4FC8-814E-3A2FBF218496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PainelDeVariaveis!$J$498:$J$518</c:f>
              <c:numCache>
                <c:formatCode>0.00</c:formatCode>
                <c:ptCount val="21"/>
                <c:pt idx="0">
                  <c:v>34.038438960635567</c:v>
                </c:pt>
                <c:pt idx="1">
                  <c:v>34.038438960635567</c:v>
                </c:pt>
                <c:pt idx="2">
                  <c:v>34.038438960635567</c:v>
                </c:pt>
                <c:pt idx="3">
                  <c:v>34.038438960635567</c:v>
                </c:pt>
                <c:pt idx="4">
                  <c:v>34.038438960635567</c:v>
                </c:pt>
                <c:pt idx="5">
                  <c:v>34.038438960635567</c:v>
                </c:pt>
                <c:pt idx="6">
                  <c:v>34.038438960635567</c:v>
                </c:pt>
                <c:pt idx="7">
                  <c:v>34.038438960635567</c:v>
                </c:pt>
                <c:pt idx="8">
                  <c:v>34.038438960635567</c:v>
                </c:pt>
                <c:pt idx="9">
                  <c:v>34.038438960635567</c:v>
                </c:pt>
                <c:pt idx="10">
                  <c:v>34.038438960635567</c:v>
                </c:pt>
                <c:pt idx="11">
                  <c:v>34.038438960635567</c:v>
                </c:pt>
                <c:pt idx="12">
                  <c:v>34.038438960635567</c:v>
                </c:pt>
                <c:pt idx="13">
                  <c:v>34.038438960635567</c:v>
                </c:pt>
                <c:pt idx="14">
                  <c:v>34.038438960635567</c:v>
                </c:pt>
                <c:pt idx="15">
                  <c:v>34.038438960635567</c:v>
                </c:pt>
                <c:pt idx="16">
                  <c:v>34.038438960635567</c:v>
                </c:pt>
                <c:pt idx="17">
                  <c:v>34.038438960635567</c:v>
                </c:pt>
                <c:pt idx="18">
                  <c:v>34.038438960635567</c:v>
                </c:pt>
                <c:pt idx="19">
                  <c:v>34.038438960635567</c:v>
                </c:pt>
                <c:pt idx="20">
                  <c:v>34.038438960635567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BA8-4FC8-814E-3A2FBF218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979919"/>
        <c:axId val="1064978959"/>
      </c:lineChart>
      <c:dateAx>
        <c:axId val="1064979919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4978959"/>
        <c:crosses val="autoZero"/>
        <c:auto val="1"/>
        <c:lblOffset val="100"/>
        <c:baseTimeUnit val="months"/>
      </c:dateAx>
      <c:valAx>
        <c:axId val="106497895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649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V14 - AM4M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PainelDeVariaveis!$K$488:$K$497</c:f>
              <c:strCache>
                <c:ptCount val="10"/>
                <c:pt idx="0">
                  <c:v>Apurado</c:v>
                </c:pt>
                <c:pt idx="1">
                  <c:v>0,5</c:v>
                </c:pt>
                <c:pt idx="2">
                  <c:v>1,25</c:v>
                </c:pt>
                <c:pt idx="3">
                  <c:v>-0,75</c:v>
                </c:pt>
                <c:pt idx="4">
                  <c:v>0,5</c:v>
                </c:pt>
                <c:pt idx="5">
                  <c:v>0,25</c:v>
                </c:pt>
                <c:pt idx="6">
                  <c:v>-0,25</c:v>
                </c:pt>
                <c:pt idx="7">
                  <c:v>0,25</c:v>
                </c:pt>
                <c:pt idx="8">
                  <c:v>0,25</c:v>
                </c:pt>
                <c:pt idx="9">
                  <c:v>0,75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PainelDeVariaveis!$K$498:$K$518</c:f>
              <c:numCache>
                <c:formatCode>General</c:formatCode>
                <c:ptCount val="21"/>
                <c:pt idx="0">
                  <c:v>-1</c:v>
                </c:pt>
                <c:pt idx="1">
                  <c:v>-0.5</c:v>
                </c:pt>
                <c:pt idx="2">
                  <c:v>-1</c:v>
                </c:pt>
                <c:pt idx="3">
                  <c:v>-0.5</c:v>
                </c:pt>
                <c:pt idx="4">
                  <c:v>0.25</c:v>
                </c:pt>
                <c:pt idx="5">
                  <c:v>-0.25</c:v>
                </c:pt>
                <c:pt idx="6">
                  <c:v>0</c:v>
                </c:pt>
                <c:pt idx="7">
                  <c:v>-0.75</c:v>
                </c:pt>
                <c:pt idx="8">
                  <c:v>-0.5</c:v>
                </c:pt>
                <c:pt idx="9">
                  <c:v>-0.5</c:v>
                </c:pt>
                <c:pt idx="10">
                  <c:v>-0.75</c:v>
                </c:pt>
                <c:pt idx="11">
                  <c:v>1.5</c:v>
                </c:pt>
                <c:pt idx="12">
                  <c:v>0.75</c:v>
                </c:pt>
                <c:pt idx="13">
                  <c:v>0.25</c:v>
                </c:pt>
                <c:pt idx="14">
                  <c:v>0.75</c:v>
                </c:pt>
                <c:pt idx="15">
                  <c:v>-1.5</c:v>
                </c:pt>
                <c:pt idx="16">
                  <c:v>-0.75</c:v>
                </c:pt>
                <c:pt idx="17">
                  <c:v>0</c:v>
                </c:pt>
                <c:pt idx="18">
                  <c:v>-0.75</c:v>
                </c:pt>
                <c:pt idx="19">
                  <c:v>-0.75</c:v>
                </c:pt>
                <c:pt idx="20">
                  <c:v>-0.25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95-4154-8E64-B6645B88B848}"/>
            </c:ext>
          </c:extLst>
        </c:ser>
        <c:ser>
          <c:idx val="1"/>
          <c:order val="1"/>
          <c:tx>
            <c:strRef>
              <c:f>PainelDeVariaveis!$L$488:$L$497</c:f>
              <c:strCache>
                <c:ptCount val="10"/>
                <c:pt idx="0">
                  <c:v>LIC</c:v>
                </c:pt>
                <c:pt idx="1">
                  <c:v>-2,408957494</c:v>
                </c:pt>
                <c:pt idx="2">
                  <c:v>-2,408957494</c:v>
                </c:pt>
                <c:pt idx="3">
                  <c:v>-2,408957494</c:v>
                </c:pt>
                <c:pt idx="4">
                  <c:v>-2,408957494</c:v>
                </c:pt>
                <c:pt idx="5">
                  <c:v>-2,408957494</c:v>
                </c:pt>
                <c:pt idx="6">
                  <c:v>-2,408957494</c:v>
                </c:pt>
                <c:pt idx="7">
                  <c:v>-2,408957494</c:v>
                </c:pt>
                <c:pt idx="8">
                  <c:v>-2,408957494</c:v>
                </c:pt>
                <c:pt idx="9">
                  <c:v>-2,408957494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95-4154-8E64-B6645B88B84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PainelDeVariaveis!$L$498:$L$518</c:f>
              <c:numCache>
                <c:formatCode>General</c:formatCode>
                <c:ptCount val="21"/>
                <c:pt idx="0">
                  <c:v>-2.4089574944938654</c:v>
                </c:pt>
                <c:pt idx="1">
                  <c:v>-2.4089574944938654</c:v>
                </c:pt>
                <c:pt idx="2">
                  <c:v>-2.4089574944938654</c:v>
                </c:pt>
                <c:pt idx="3">
                  <c:v>-2.4089574944938654</c:v>
                </c:pt>
                <c:pt idx="4">
                  <c:v>-2.4089574944938654</c:v>
                </c:pt>
                <c:pt idx="5">
                  <c:v>-2.4089574944938654</c:v>
                </c:pt>
                <c:pt idx="6">
                  <c:v>-2.4089574944938654</c:v>
                </c:pt>
                <c:pt idx="7">
                  <c:v>-2.4089574944938654</c:v>
                </c:pt>
                <c:pt idx="8">
                  <c:v>-2.4089574944938654</c:v>
                </c:pt>
                <c:pt idx="9">
                  <c:v>-2.4089574944938654</c:v>
                </c:pt>
                <c:pt idx="10">
                  <c:v>-2.4089574944938654</c:v>
                </c:pt>
                <c:pt idx="11">
                  <c:v>-2.4089574944938654</c:v>
                </c:pt>
                <c:pt idx="12">
                  <c:v>-2.4089574944938654</c:v>
                </c:pt>
                <c:pt idx="13">
                  <c:v>-2.4089574944938654</c:v>
                </c:pt>
                <c:pt idx="14">
                  <c:v>-2.4089574944938654</c:v>
                </c:pt>
                <c:pt idx="15">
                  <c:v>-2.4089574944938654</c:v>
                </c:pt>
                <c:pt idx="16">
                  <c:v>-2.4089574944938654</c:v>
                </c:pt>
                <c:pt idx="17">
                  <c:v>-2.4089574944938654</c:v>
                </c:pt>
                <c:pt idx="18">
                  <c:v>-2.4089574944938654</c:v>
                </c:pt>
                <c:pt idx="19">
                  <c:v>-2.4089574944938654</c:v>
                </c:pt>
                <c:pt idx="20">
                  <c:v>-2.4089574944938654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95-4154-8E64-B6645B88B848}"/>
            </c:ext>
          </c:extLst>
        </c:ser>
        <c:ser>
          <c:idx val="2"/>
          <c:order val="2"/>
          <c:tx>
            <c:strRef>
              <c:f>PainelDeVariaveis!$M$488:$M$497</c:f>
              <c:strCache>
                <c:ptCount val="10"/>
                <c:pt idx="0">
                  <c:v>L2I</c:v>
                </c:pt>
                <c:pt idx="1">
                  <c:v>-1,601585698</c:v>
                </c:pt>
                <c:pt idx="2">
                  <c:v>-1,601585698</c:v>
                </c:pt>
                <c:pt idx="3">
                  <c:v>-1,601585698</c:v>
                </c:pt>
                <c:pt idx="4">
                  <c:v>-1,601585698</c:v>
                </c:pt>
                <c:pt idx="5">
                  <c:v>-1,601585698</c:v>
                </c:pt>
                <c:pt idx="6">
                  <c:v>-1,601585698</c:v>
                </c:pt>
                <c:pt idx="7">
                  <c:v>-1,601585698</c:v>
                </c:pt>
                <c:pt idx="8">
                  <c:v>-1,601585698</c:v>
                </c:pt>
                <c:pt idx="9">
                  <c:v>-1,601585698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PainelDeVariaveis!$M$498:$M$518</c:f>
              <c:numCache>
                <c:formatCode>General</c:formatCode>
                <c:ptCount val="21"/>
                <c:pt idx="0">
                  <c:v>-1.6015856980836296</c:v>
                </c:pt>
                <c:pt idx="1">
                  <c:v>-1.6015856980836296</c:v>
                </c:pt>
                <c:pt idx="2">
                  <c:v>-1.6015856980836296</c:v>
                </c:pt>
                <c:pt idx="3">
                  <c:v>-1.6015856980836296</c:v>
                </c:pt>
                <c:pt idx="4">
                  <c:v>-1.6015856980836296</c:v>
                </c:pt>
                <c:pt idx="5">
                  <c:v>-1.6015856980836296</c:v>
                </c:pt>
                <c:pt idx="6">
                  <c:v>-1.6015856980836296</c:v>
                </c:pt>
                <c:pt idx="7">
                  <c:v>-1.6015856980836296</c:v>
                </c:pt>
                <c:pt idx="8">
                  <c:v>-1.6015856980836296</c:v>
                </c:pt>
                <c:pt idx="9">
                  <c:v>-1.6015856980836296</c:v>
                </c:pt>
                <c:pt idx="10">
                  <c:v>-1.6015856980836296</c:v>
                </c:pt>
                <c:pt idx="11">
                  <c:v>-1.6015856980836296</c:v>
                </c:pt>
                <c:pt idx="12">
                  <c:v>-1.6015856980836296</c:v>
                </c:pt>
                <c:pt idx="13">
                  <c:v>-1.6015856980836296</c:v>
                </c:pt>
                <c:pt idx="14">
                  <c:v>-1.6015856980836296</c:v>
                </c:pt>
                <c:pt idx="15">
                  <c:v>-1.6015856980836296</c:v>
                </c:pt>
                <c:pt idx="16">
                  <c:v>-1.6015856980836296</c:v>
                </c:pt>
                <c:pt idx="17">
                  <c:v>-1.6015856980836296</c:v>
                </c:pt>
                <c:pt idx="18">
                  <c:v>-1.6015856980836296</c:v>
                </c:pt>
                <c:pt idx="19">
                  <c:v>-1.6015856980836296</c:v>
                </c:pt>
                <c:pt idx="20">
                  <c:v>-1.6015856980836296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95-4154-8E64-B6645B88B848}"/>
            </c:ext>
          </c:extLst>
        </c:ser>
        <c:ser>
          <c:idx val="3"/>
          <c:order val="3"/>
          <c:tx>
            <c:strRef>
              <c:f>PainelDeVariaveis!$N$488:$N$497</c:f>
              <c:strCache>
                <c:ptCount val="10"/>
                <c:pt idx="0">
                  <c:v>L1I</c:v>
                </c:pt>
                <c:pt idx="1">
                  <c:v>-0,794213902</c:v>
                </c:pt>
                <c:pt idx="2">
                  <c:v>-0,794213902</c:v>
                </c:pt>
                <c:pt idx="3">
                  <c:v>-0,794213902</c:v>
                </c:pt>
                <c:pt idx="4">
                  <c:v>-0,794213902</c:v>
                </c:pt>
                <c:pt idx="5">
                  <c:v>-0,794213902</c:v>
                </c:pt>
                <c:pt idx="6">
                  <c:v>-0,794213902</c:v>
                </c:pt>
                <c:pt idx="7">
                  <c:v>-0,794213902</c:v>
                </c:pt>
                <c:pt idx="8">
                  <c:v>-0,794213902</c:v>
                </c:pt>
                <c:pt idx="9">
                  <c:v>-0,794213902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PainelDeVariaveis!$N$498:$N$518</c:f>
              <c:numCache>
                <c:formatCode>General</c:formatCode>
                <c:ptCount val="21"/>
                <c:pt idx="0">
                  <c:v>-0.79421390167339367</c:v>
                </c:pt>
                <c:pt idx="1">
                  <c:v>-0.79421390167339367</c:v>
                </c:pt>
                <c:pt idx="2">
                  <c:v>-0.79421390167339367</c:v>
                </c:pt>
                <c:pt idx="3">
                  <c:v>-0.79421390167339367</c:v>
                </c:pt>
                <c:pt idx="4">
                  <c:v>-0.79421390167339367</c:v>
                </c:pt>
                <c:pt idx="5">
                  <c:v>-0.79421390167339367</c:v>
                </c:pt>
                <c:pt idx="6">
                  <c:v>-0.79421390167339367</c:v>
                </c:pt>
                <c:pt idx="7">
                  <c:v>-0.79421390167339367</c:v>
                </c:pt>
                <c:pt idx="8">
                  <c:v>-0.79421390167339367</c:v>
                </c:pt>
                <c:pt idx="9">
                  <c:v>-0.79421390167339367</c:v>
                </c:pt>
                <c:pt idx="10">
                  <c:v>-0.79421390167339367</c:v>
                </c:pt>
                <c:pt idx="11">
                  <c:v>-0.79421390167339367</c:v>
                </c:pt>
                <c:pt idx="12">
                  <c:v>-0.79421390167339367</c:v>
                </c:pt>
                <c:pt idx="13">
                  <c:v>-0.79421390167339367</c:v>
                </c:pt>
                <c:pt idx="14">
                  <c:v>-0.79421390167339367</c:v>
                </c:pt>
                <c:pt idx="15">
                  <c:v>-0.79421390167339367</c:v>
                </c:pt>
                <c:pt idx="16">
                  <c:v>-0.79421390167339367</c:v>
                </c:pt>
                <c:pt idx="17">
                  <c:v>-0.79421390167339367</c:v>
                </c:pt>
                <c:pt idx="18">
                  <c:v>-0.79421390167339367</c:v>
                </c:pt>
                <c:pt idx="19">
                  <c:v>-0.79421390167339367</c:v>
                </c:pt>
                <c:pt idx="20">
                  <c:v>-0.79421390167339367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95-4154-8E64-B6645B88B848}"/>
            </c:ext>
          </c:extLst>
        </c:ser>
        <c:ser>
          <c:idx val="4"/>
          <c:order val="4"/>
          <c:tx>
            <c:strRef>
              <c:f>PainelDeVariaveis!$O$488:$O$497</c:f>
              <c:strCache>
                <c:ptCount val="10"/>
                <c:pt idx="0">
                  <c:v>LMC</c:v>
                </c:pt>
                <c:pt idx="1">
                  <c:v>0,013157895</c:v>
                </c:pt>
                <c:pt idx="2">
                  <c:v>0,013157895</c:v>
                </c:pt>
                <c:pt idx="3">
                  <c:v>0,013157895</c:v>
                </c:pt>
                <c:pt idx="4">
                  <c:v>0,013157895</c:v>
                </c:pt>
                <c:pt idx="5">
                  <c:v>0,013157895</c:v>
                </c:pt>
                <c:pt idx="6">
                  <c:v>0,013157895</c:v>
                </c:pt>
                <c:pt idx="7">
                  <c:v>0,013157895</c:v>
                </c:pt>
                <c:pt idx="8">
                  <c:v>0,013157895</c:v>
                </c:pt>
                <c:pt idx="9">
                  <c:v>0,013157895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95-4154-8E64-B6645B88B84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PainelDeVariaveis!$O$498:$O$518</c:f>
              <c:numCache>
                <c:formatCode>General</c:formatCode>
                <c:ptCount val="21"/>
                <c:pt idx="0">
                  <c:v>1.3157894736842105E-2</c:v>
                </c:pt>
                <c:pt idx="1">
                  <c:v>1.3157894736842105E-2</c:v>
                </c:pt>
                <c:pt idx="2">
                  <c:v>1.3157894736842105E-2</c:v>
                </c:pt>
                <c:pt idx="3">
                  <c:v>1.3157894736842105E-2</c:v>
                </c:pt>
                <c:pt idx="4">
                  <c:v>1.3157894736842105E-2</c:v>
                </c:pt>
                <c:pt idx="5">
                  <c:v>1.3157894736842105E-2</c:v>
                </c:pt>
                <c:pt idx="6">
                  <c:v>1.3157894736842105E-2</c:v>
                </c:pt>
                <c:pt idx="7">
                  <c:v>1.3157894736842105E-2</c:v>
                </c:pt>
                <c:pt idx="8">
                  <c:v>1.3157894736842105E-2</c:v>
                </c:pt>
                <c:pt idx="9">
                  <c:v>1.3157894736842105E-2</c:v>
                </c:pt>
                <c:pt idx="10">
                  <c:v>1.3157894736842105E-2</c:v>
                </c:pt>
                <c:pt idx="11">
                  <c:v>1.3157894736842105E-2</c:v>
                </c:pt>
                <c:pt idx="12">
                  <c:v>1.3157894736842105E-2</c:v>
                </c:pt>
                <c:pt idx="13">
                  <c:v>1.3157894736842105E-2</c:v>
                </c:pt>
                <c:pt idx="14">
                  <c:v>1.3157894736842105E-2</c:v>
                </c:pt>
                <c:pt idx="15">
                  <c:v>1.3157894736842105E-2</c:v>
                </c:pt>
                <c:pt idx="16">
                  <c:v>1.3157894736842105E-2</c:v>
                </c:pt>
                <c:pt idx="17">
                  <c:v>1.3157894736842105E-2</c:v>
                </c:pt>
                <c:pt idx="18">
                  <c:v>1.3157894736842105E-2</c:v>
                </c:pt>
                <c:pt idx="19">
                  <c:v>1.3157894736842105E-2</c:v>
                </c:pt>
                <c:pt idx="20">
                  <c:v>1.3157894736842105E-2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95-4154-8E64-B6645B88B848}"/>
            </c:ext>
          </c:extLst>
        </c:ser>
        <c:ser>
          <c:idx val="5"/>
          <c:order val="5"/>
          <c:tx>
            <c:strRef>
              <c:f>PainelDeVariaveis!$P$488:$P$497</c:f>
              <c:strCache>
                <c:ptCount val="10"/>
                <c:pt idx="0">
                  <c:v>L1S</c:v>
                </c:pt>
                <c:pt idx="1">
                  <c:v>0,820529691</c:v>
                </c:pt>
                <c:pt idx="2">
                  <c:v>0,820529691</c:v>
                </c:pt>
                <c:pt idx="3">
                  <c:v>0,820529691</c:v>
                </c:pt>
                <c:pt idx="4">
                  <c:v>0,820529691</c:v>
                </c:pt>
                <c:pt idx="5">
                  <c:v>0,820529691</c:v>
                </c:pt>
                <c:pt idx="6">
                  <c:v>0,820529691</c:v>
                </c:pt>
                <c:pt idx="7">
                  <c:v>0,820529691</c:v>
                </c:pt>
                <c:pt idx="8">
                  <c:v>0,820529691</c:v>
                </c:pt>
                <c:pt idx="9">
                  <c:v>0,820529691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PainelDeVariaveis!$P$498:$P$518</c:f>
              <c:numCache>
                <c:formatCode>General</c:formatCode>
                <c:ptCount val="21"/>
                <c:pt idx="0">
                  <c:v>0.82052969114707797</c:v>
                </c:pt>
                <c:pt idx="1">
                  <c:v>0.82052969114707797</c:v>
                </c:pt>
                <c:pt idx="2">
                  <c:v>0.82052969114707797</c:v>
                </c:pt>
                <c:pt idx="3">
                  <c:v>0.82052969114707797</c:v>
                </c:pt>
                <c:pt idx="4">
                  <c:v>0.82052969114707797</c:v>
                </c:pt>
                <c:pt idx="5">
                  <c:v>0.82052969114707797</c:v>
                </c:pt>
                <c:pt idx="6">
                  <c:v>0.82052969114707797</c:v>
                </c:pt>
                <c:pt idx="7">
                  <c:v>0.82052969114707797</c:v>
                </c:pt>
                <c:pt idx="8">
                  <c:v>0.82052969114707797</c:v>
                </c:pt>
                <c:pt idx="9">
                  <c:v>0.82052969114707797</c:v>
                </c:pt>
                <c:pt idx="10">
                  <c:v>0.82052969114707797</c:v>
                </c:pt>
                <c:pt idx="11">
                  <c:v>0.82052969114707797</c:v>
                </c:pt>
                <c:pt idx="12">
                  <c:v>0.82052969114707797</c:v>
                </c:pt>
                <c:pt idx="13">
                  <c:v>0.82052969114707797</c:v>
                </c:pt>
                <c:pt idx="14">
                  <c:v>0.82052969114707797</c:v>
                </c:pt>
                <c:pt idx="15">
                  <c:v>0.82052969114707797</c:v>
                </c:pt>
                <c:pt idx="16">
                  <c:v>0.82052969114707797</c:v>
                </c:pt>
                <c:pt idx="17">
                  <c:v>0.82052969114707797</c:v>
                </c:pt>
                <c:pt idx="18">
                  <c:v>0.82052969114707797</c:v>
                </c:pt>
                <c:pt idx="19">
                  <c:v>0.82052969114707797</c:v>
                </c:pt>
                <c:pt idx="20">
                  <c:v>0.82052969114707797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95-4154-8E64-B6645B88B848}"/>
            </c:ext>
          </c:extLst>
        </c:ser>
        <c:ser>
          <c:idx val="6"/>
          <c:order val="6"/>
          <c:tx>
            <c:strRef>
              <c:f>PainelDeVariaveis!$Q$488:$Q$497</c:f>
              <c:strCache>
                <c:ptCount val="10"/>
                <c:pt idx="0">
                  <c:v>L2S</c:v>
                </c:pt>
                <c:pt idx="1">
                  <c:v>1,627901488</c:v>
                </c:pt>
                <c:pt idx="2">
                  <c:v>1,627901488</c:v>
                </c:pt>
                <c:pt idx="3">
                  <c:v>1,627901488</c:v>
                </c:pt>
                <c:pt idx="4">
                  <c:v>1,627901488</c:v>
                </c:pt>
                <c:pt idx="5">
                  <c:v>1,627901488</c:v>
                </c:pt>
                <c:pt idx="6">
                  <c:v>1,627901488</c:v>
                </c:pt>
                <c:pt idx="7">
                  <c:v>1,627901488</c:v>
                </c:pt>
                <c:pt idx="8">
                  <c:v>1,627901488</c:v>
                </c:pt>
                <c:pt idx="9">
                  <c:v>1,627901488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PainelDeVariaveis!$Q$498:$Q$518</c:f>
              <c:numCache>
                <c:formatCode>General</c:formatCode>
                <c:ptCount val="21"/>
                <c:pt idx="0">
                  <c:v>1.6279014875573137</c:v>
                </c:pt>
                <c:pt idx="1">
                  <c:v>1.6279014875573137</c:v>
                </c:pt>
                <c:pt idx="2">
                  <c:v>1.6279014875573137</c:v>
                </c:pt>
                <c:pt idx="3">
                  <c:v>1.6279014875573137</c:v>
                </c:pt>
                <c:pt idx="4">
                  <c:v>1.6279014875573137</c:v>
                </c:pt>
                <c:pt idx="5">
                  <c:v>1.6279014875573137</c:v>
                </c:pt>
                <c:pt idx="6">
                  <c:v>1.6279014875573137</c:v>
                </c:pt>
                <c:pt idx="7">
                  <c:v>1.6279014875573137</c:v>
                </c:pt>
                <c:pt idx="8">
                  <c:v>1.6279014875573137</c:v>
                </c:pt>
                <c:pt idx="9">
                  <c:v>1.6279014875573137</c:v>
                </c:pt>
                <c:pt idx="10">
                  <c:v>1.6279014875573137</c:v>
                </c:pt>
                <c:pt idx="11">
                  <c:v>1.6279014875573137</c:v>
                </c:pt>
                <c:pt idx="12">
                  <c:v>1.6279014875573137</c:v>
                </c:pt>
                <c:pt idx="13">
                  <c:v>1.6279014875573137</c:v>
                </c:pt>
                <c:pt idx="14">
                  <c:v>1.6279014875573137</c:v>
                </c:pt>
                <c:pt idx="15">
                  <c:v>1.6279014875573137</c:v>
                </c:pt>
                <c:pt idx="16">
                  <c:v>1.6279014875573137</c:v>
                </c:pt>
                <c:pt idx="17">
                  <c:v>1.6279014875573137</c:v>
                </c:pt>
                <c:pt idx="18">
                  <c:v>1.6279014875573137</c:v>
                </c:pt>
                <c:pt idx="19">
                  <c:v>1.6279014875573137</c:v>
                </c:pt>
                <c:pt idx="20">
                  <c:v>1.6279014875573137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95-4154-8E64-B6645B88B848}"/>
            </c:ext>
          </c:extLst>
        </c:ser>
        <c:ser>
          <c:idx val="7"/>
          <c:order val="7"/>
          <c:tx>
            <c:strRef>
              <c:f>PainelDeVariaveis!$R$488:$R$497</c:f>
              <c:strCache>
                <c:ptCount val="10"/>
                <c:pt idx="0">
                  <c:v>LSC</c:v>
                </c:pt>
                <c:pt idx="1">
                  <c:v>2,435273284</c:v>
                </c:pt>
                <c:pt idx="2">
                  <c:v>2,435273284</c:v>
                </c:pt>
                <c:pt idx="3">
                  <c:v>2,435273284</c:v>
                </c:pt>
                <c:pt idx="4">
                  <c:v>2,435273284</c:v>
                </c:pt>
                <c:pt idx="5">
                  <c:v>2,435273284</c:v>
                </c:pt>
                <c:pt idx="6">
                  <c:v>2,435273284</c:v>
                </c:pt>
                <c:pt idx="7">
                  <c:v>2,435273284</c:v>
                </c:pt>
                <c:pt idx="8">
                  <c:v>2,435273284</c:v>
                </c:pt>
                <c:pt idx="9">
                  <c:v>2,435273284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395-4154-8E64-B6645B88B84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PainelDeVariaveis!$B$498:$B$518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PainelDeVariaveis!$R$498:$R$518</c:f>
              <c:numCache>
                <c:formatCode>General</c:formatCode>
                <c:ptCount val="21"/>
                <c:pt idx="0">
                  <c:v>2.4352732839675495</c:v>
                </c:pt>
                <c:pt idx="1">
                  <c:v>2.4352732839675495</c:v>
                </c:pt>
                <c:pt idx="2">
                  <c:v>2.4352732839675495</c:v>
                </c:pt>
                <c:pt idx="3">
                  <c:v>2.4352732839675495</c:v>
                </c:pt>
                <c:pt idx="4">
                  <c:v>2.4352732839675495</c:v>
                </c:pt>
                <c:pt idx="5">
                  <c:v>2.4352732839675495</c:v>
                </c:pt>
                <c:pt idx="6">
                  <c:v>2.4352732839675495</c:v>
                </c:pt>
                <c:pt idx="7">
                  <c:v>2.4352732839675495</c:v>
                </c:pt>
                <c:pt idx="8">
                  <c:v>2.4352732839675495</c:v>
                </c:pt>
                <c:pt idx="9">
                  <c:v>2.4352732839675495</c:v>
                </c:pt>
                <c:pt idx="10">
                  <c:v>2.4352732839675495</c:v>
                </c:pt>
                <c:pt idx="11">
                  <c:v>2.4352732839675495</c:v>
                </c:pt>
                <c:pt idx="12">
                  <c:v>2.4352732839675495</c:v>
                </c:pt>
                <c:pt idx="13">
                  <c:v>2.4352732839675495</c:v>
                </c:pt>
                <c:pt idx="14">
                  <c:v>2.4352732839675495</c:v>
                </c:pt>
                <c:pt idx="15">
                  <c:v>2.4352732839675495</c:v>
                </c:pt>
                <c:pt idx="16">
                  <c:v>2.4352732839675495</c:v>
                </c:pt>
                <c:pt idx="17">
                  <c:v>2.4352732839675495</c:v>
                </c:pt>
                <c:pt idx="18">
                  <c:v>2.4352732839675495</c:v>
                </c:pt>
                <c:pt idx="19">
                  <c:v>2.4352732839675495</c:v>
                </c:pt>
                <c:pt idx="20">
                  <c:v>2.4352732839675495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95-4154-8E64-B6645B88B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214544"/>
        <c:axId val="479221264"/>
      </c:lineChart>
      <c:dateAx>
        <c:axId val="479214544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9221264"/>
        <c:crosses val="autoZero"/>
        <c:auto val="1"/>
        <c:lblOffset val="100"/>
        <c:baseTimeUnit val="months"/>
      </c:dateAx>
      <c:valAx>
        <c:axId val="47922126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921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V15 - SM4M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PainelDeVariaveis!$C$525:$C$534</c:f>
              <c:strCache>
                <c:ptCount val="10"/>
                <c:pt idx="0">
                  <c:v>Apurado</c:v>
                </c:pt>
                <c:pt idx="1">
                  <c:v>18</c:v>
                </c:pt>
                <c:pt idx="2">
                  <c:v>23</c:v>
                </c:pt>
                <c:pt idx="3">
                  <c:v>20</c:v>
                </c:pt>
                <c:pt idx="4">
                  <c:v>22</c:v>
                </c:pt>
                <c:pt idx="5">
                  <c:v>23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PainelDeVariaveis!$C$535:$C$555</c:f>
              <c:numCache>
                <c:formatCode>General</c:formatCode>
                <c:ptCount val="21"/>
                <c:pt idx="0">
                  <c:v>23</c:v>
                </c:pt>
                <c:pt idx="1">
                  <c:v>21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11</c:v>
                </c:pt>
                <c:pt idx="12">
                  <c:v>14</c:v>
                </c:pt>
                <c:pt idx="13">
                  <c:v>15</c:v>
                </c:pt>
                <c:pt idx="14">
                  <c:v>18</c:v>
                </c:pt>
                <c:pt idx="15">
                  <c:v>12</c:v>
                </c:pt>
                <c:pt idx="16">
                  <c:v>9</c:v>
                </c:pt>
                <c:pt idx="17">
                  <c:v>9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0A-4FBD-8CFE-096471D940B1}"/>
            </c:ext>
          </c:extLst>
        </c:ser>
        <c:ser>
          <c:idx val="1"/>
          <c:order val="1"/>
          <c:tx>
            <c:strRef>
              <c:f>PainelDeVariaveis!$D$525:$D$534</c:f>
              <c:strCache>
                <c:ptCount val="10"/>
                <c:pt idx="0">
                  <c:v>LIC</c:v>
                </c:pt>
                <c:pt idx="1">
                  <c:v>-3,93</c:v>
                </c:pt>
                <c:pt idx="2">
                  <c:v>-3,93</c:v>
                </c:pt>
                <c:pt idx="3">
                  <c:v>-3,93</c:v>
                </c:pt>
                <c:pt idx="4">
                  <c:v>-3,93</c:v>
                </c:pt>
                <c:pt idx="5">
                  <c:v>-3,93</c:v>
                </c:pt>
                <c:pt idx="6">
                  <c:v>-3,93</c:v>
                </c:pt>
                <c:pt idx="7">
                  <c:v>-3,93</c:v>
                </c:pt>
                <c:pt idx="8">
                  <c:v>-3,93</c:v>
                </c:pt>
                <c:pt idx="9">
                  <c:v>-3,93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0A-4FBD-8CFE-096471D940B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PainelDeVariaveis!$D$535:$D$555</c:f>
              <c:numCache>
                <c:formatCode>0.00</c:formatCode>
                <c:ptCount val="21"/>
                <c:pt idx="0">
                  <c:v>-3.9331758027408288</c:v>
                </c:pt>
                <c:pt idx="1">
                  <c:v>-3.9331758027408288</c:v>
                </c:pt>
                <c:pt idx="2">
                  <c:v>-3.9331758027408288</c:v>
                </c:pt>
                <c:pt idx="3">
                  <c:v>-3.9331758027408288</c:v>
                </c:pt>
                <c:pt idx="4">
                  <c:v>-3.9331758027408288</c:v>
                </c:pt>
                <c:pt idx="5">
                  <c:v>-3.9331758027408288</c:v>
                </c:pt>
                <c:pt idx="6">
                  <c:v>-3.9331758027408288</c:v>
                </c:pt>
                <c:pt idx="7">
                  <c:v>-3.9331758027408288</c:v>
                </c:pt>
                <c:pt idx="8">
                  <c:v>-3.9331758027408288</c:v>
                </c:pt>
                <c:pt idx="9">
                  <c:v>-3.9331758027408288</c:v>
                </c:pt>
                <c:pt idx="10">
                  <c:v>-3.9331758027408288</c:v>
                </c:pt>
                <c:pt idx="11">
                  <c:v>-3.9331758027408288</c:v>
                </c:pt>
                <c:pt idx="12">
                  <c:v>-3.9331758027408288</c:v>
                </c:pt>
                <c:pt idx="13">
                  <c:v>-3.9331758027408288</c:v>
                </c:pt>
                <c:pt idx="14">
                  <c:v>-3.9331758027408288</c:v>
                </c:pt>
                <c:pt idx="15">
                  <c:v>-3.9331758027408288</c:v>
                </c:pt>
                <c:pt idx="16">
                  <c:v>-3.9331758027408288</c:v>
                </c:pt>
                <c:pt idx="17">
                  <c:v>-3.9331758027408288</c:v>
                </c:pt>
                <c:pt idx="18">
                  <c:v>-3.9331758027408288</c:v>
                </c:pt>
                <c:pt idx="19">
                  <c:v>-3.9331758027408288</c:v>
                </c:pt>
                <c:pt idx="20">
                  <c:v>-3.9331758027408288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0A-4FBD-8CFE-096471D940B1}"/>
            </c:ext>
          </c:extLst>
        </c:ser>
        <c:ser>
          <c:idx val="2"/>
          <c:order val="2"/>
          <c:tx>
            <c:strRef>
              <c:f>PainelDeVariaveis!$E$525:$E$534</c:f>
              <c:strCache>
                <c:ptCount val="10"/>
                <c:pt idx="0">
                  <c:v>L2I</c:v>
                </c:pt>
                <c:pt idx="1">
                  <c:v>2,40</c:v>
                </c:pt>
                <c:pt idx="2">
                  <c:v>2,40</c:v>
                </c:pt>
                <c:pt idx="3">
                  <c:v>2,40</c:v>
                </c:pt>
                <c:pt idx="4">
                  <c:v>2,40</c:v>
                </c:pt>
                <c:pt idx="5">
                  <c:v>2,40</c:v>
                </c:pt>
                <c:pt idx="6">
                  <c:v>2,40</c:v>
                </c:pt>
                <c:pt idx="7">
                  <c:v>2,40</c:v>
                </c:pt>
                <c:pt idx="8">
                  <c:v>2,40</c:v>
                </c:pt>
                <c:pt idx="9">
                  <c:v>2,40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PainelDeVariaveis!$E$535:$E$555</c:f>
              <c:numCache>
                <c:formatCode>0.00</c:formatCode>
                <c:ptCount val="21"/>
                <c:pt idx="0">
                  <c:v>2.3954266578219023</c:v>
                </c:pt>
                <c:pt idx="1">
                  <c:v>2.3954266578219023</c:v>
                </c:pt>
                <c:pt idx="2">
                  <c:v>2.3954266578219023</c:v>
                </c:pt>
                <c:pt idx="3">
                  <c:v>2.3954266578219023</c:v>
                </c:pt>
                <c:pt idx="4">
                  <c:v>2.3954266578219023</c:v>
                </c:pt>
                <c:pt idx="5">
                  <c:v>2.3954266578219023</c:v>
                </c:pt>
                <c:pt idx="6">
                  <c:v>2.3954266578219023</c:v>
                </c:pt>
                <c:pt idx="7">
                  <c:v>2.3954266578219023</c:v>
                </c:pt>
                <c:pt idx="8">
                  <c:v>2.3954266578219023</c:v>
                </c:pt>
                <c:pt idx="9">
                  <c:v>2.3954266578219023</c:v>
                </c:pt>
                <c:pt idx="10">
                  <c:v>2.3954266578219023</c:v>
                </c:pt>
                <c:pt idx="11">
                  <c:v>2.3954266578219023</c:v>
                </c:pt>
                <c:pt idx="12">
                  <c:v>2.3954266578219023</c:v>
                </c:pt>
                <c:pt idx="13">
                  <c:v>2.3954266578219023</c:v>
                </c:pt>
                <c:pt idx="14">
                  <c:v>2.3954266578219023</c:v>
                </c:pt>
                <c:pt idx="15">
                  <c:v>2.3954266578219023</c:v>
                </c:pt>
                <c:pt idx="16">
                  <c:v>2.3954266578219023</c:v>
                </c:pt>
                <c:pt idx="17">
                  <c:v>2.3954266578219023</c:v>
                </c:pt>
                <c:pt idx="18">
                  <c:v>2.3954266578219023</c:v>
                </c:pt>
                <c:pt idx="19">
                  <c:v>2.3954266578219023</c:v>
                </c:pt>
                <c:pt idx="20">
                  <c:v>2.3954266578219023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0A-4FBD-8CFE-096471D940B1}"/>
            </c:ext>
          </c:extLst>
        </c:ser>
        <c:ser>
          <c:idx val="3"/>
          <c:order val="3"/>
          <c:tx>
            <c:strRef>
              <c:f>PainelDeVariaveis!$F$525:$F$534</c:f>
              <c:strCache>
                <c:ptCount val="10"/>
                <c:pt idx="0">
                  <c:v>L1I</c:v>
                </c:pt>
                <c:pt idx="1">
                  <c:v>8,72</c:v>
                </c:pt>
                <c:pt idx="2">
                  <c:v>8,72</c:v>
                </c:pt>
                <c:pt idx="3">
                  <c:v>8,72</c:v>
                </c:pt>
                <c:pt idx="4">
                  <c:v>8,72</c:v>
                </c:pt>
                <c:pt idx="5">
                  <c:v>8,72</c:v>
                </c:pt>
                <c:pt idx="6">
                  <c:v>8,72</c:v>
                </c:pt>
                <c:pt idx="7">
                  <c:v>8,72</c:v>
                </c:pt>
                <c:pt idx="8">
                  <c:v>8,72</c:v>
                </c:pt>
                <c:pt idx="9">
                  <c:v>8,72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PainelDeVariaveis!$F$535:$F$555</c:f>
              <c:numCache>
                <c:formatCode>0.00</c:formatCode>
                <c:ptCount val="21"/>
                <c:pt idx="0">
                  <c:v>8.7240291183846352</c:v>
                </c:pt>
                <c:pt idx="1">
                  <c:v>8.7240291183846352</c:v>
                </c:pt>
                <c:pt idx="2">
                  <c:v>8.7240291183846352</c:v>
                </c:pt>
                <c:pt idx="3">
                  <c:v>8.7240291183846352</c:v>
                </c:pt>
                <c:pt idx="4">
                  <c:v>8.7240291183846352</c:v>
                </c:pt>
                <c:pt idx="5">
                  <c:v>8.7240291183846352</c:v>
                </c:pt>
                <c:pt idx="6">
                  <c:v>8.7240291183846352</c:v>
                </c:pt>
                <c:pt idx="7">
                  <c:v>8.7240291183846352</c:v>
                </c:pt>
                <c:pt idx="8">
                  <c:v>8.7240291183846352</c:v>
                </c:pt>
                <c:pt idx="9">
                  <c:v>8.7240291183846352</c:v>
                </c:pt>
                <c:pt idx="10">
                  <c:v>8.7240291183846352</c:v>
                </c:pt>
                <c:pt idx="11">
                  <c:v>8.7240291183846352</c:v>
                </c:pt>
                <c:pt idx="12">
                  <c:v>8.7240291183846352</c:v>
                </c:pt>
                <c:pt idx="13">
                  <c:v>8.7240291183846352</c:v>
                </c:pt>
                <c:pt idx="14">
                  <c:v>8.7240291183846352</c:v>
                </c:pt>
                <c:pt idx="15">
                  <c:v>8.7240291183846352</c:v>
                </c:pt>
                <c:pt idx="16">
                  <c:v>8.7240291183846352</c:v>
                </c:pt>
                <c:pt idx="17">
                  <c:v>8.7240291183846352</c:v>
                </c:pt>
                <c:pt idx="18">
                  <c:v>8.7240291183846352</c:v>
                </c:pt>
                <c:pt idx="19">
                  <c:v>8.7240291183846352</c:v>
                </c:pt>
                <c:pt idx="20">
                  <c:v>8.7240291183846352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0A-4FBD-8CFE-096471D940B1}"/>
            </c:ext>
          </c:extLst>
        </c:ser>
        <c:ser>
          <c:idx val="4"/>
          <c:order val="4"/>
          <c:tx>
            <c:strRef>
              <c:f>PainelDeVariaveis!$G$525:$G$534</c:f>
              <c:strCache>
                <c:ptCount val="10"/>
                <c:pt idx="0">
                  <c:v>LMC</c:v>
                </c:pt>
                <c:pt idx="1">
                  <c:v>15,05</c:v>
                </c:pt>
                <c:pt idx="2">
                  <c:v>15,05</c:v>
                </c:pt>
                <c:pt idx="3">
                  <c:v>15,05</c:v>
                </c:pt>
                <c:pt idx="4">
                  <c:v>15,05</c:v>
                </c:pt>
                <c:pt idx="5">
                  <c:v>15,05</c:v>
                </c:pt>
                <c:pt idx="6">
                  <c:v>15,05</c:v>
                </c:pt>
                <c:pt idx="7">
                  <c:v>15,05</c:v>
                </c:pt>
                <c:pt idx="8">
                  <c:v>15,05</c:v>
                </c:pt>
                <c:pt idx="9">
                  <c:v>15,05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0A-4FBD-8CFE-096471D940B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PainelDeVariaveis!$G$535:$G$555</c:f>
              <c:numCache>
                <c:formatCode>0.00</c:formatCode>
                <c:ptCount val="21"/>
                <c:pt idx="0">
                  <c:v>15.052631578947368</c:v>
                </c:pt>
                <c:pt idx="1">
                  <c:v>15.052631578947368</c:v>
                </c:pt>
                <c:pt idx="2">
                  <c:v>15.052631578947368</c:v>
                </c:pt>
                <c:pt idx="3">
                  <c:v>15.052631578947368</c:v>
                </c:pt>
                <c:pt idx="4">
                  <c:v>15.052631578947368</c:v>
                </c:pt>
                <c:pt idx="5">
                  <c:v>15.052631578947368</c:v>
                </c:pt>
                <c:pt idx="6">
                  <c:v>15.052631578947368</c:v>
                </c:pt>
                <c:pt idx="7">
                  <c:v>15.052631578947368</c:v>
                </c:pt>
                <c:pt idx="8">
                  <c:v>15.052631578947368</c:v>
                </c:pt>
                <c:pt idx="9">
                  <c:v>15.052631578947368</c:v>
                </c:pt>
                <c:pt idx="10">
                  <c:v>15.052631578947368</c:v>
                </c:pt>
                <c:pt idx="11">
                  <c:v>15.052631578947368</c:v>
                </c:pt>
                <c:pt idx="12">
                  <c:v>15.052631578947368</c:v>
                </c:pt>
                <c:pt idx="13">
                  <c:v>15.052631578947368</c:v>
                </c:pt>
                <c:pt idx="14">
                  <c:v>15.052631578947368</c:v>
                </c:pt>
                <c:pt idx="15">
                  <c:v>15.052631578947368</c:v>
                </c:pt>
                <c:pt idx="16">
                  <c:v>15.052631578947368</c:v>
                </c:pt>
                <c:pt idx="17">
                  <c:v>15.052631578947368</c:v>
                </c:pt>
                <c:pt idx="18">
                  <c:v>15.052631578947368</c:v>
                </c:pt>
                <c:pt idx="19">
                  <c:v>15.052631578947368</c:v>
                </c:pt>
                <c:pt idx="20">
                  <c:v>15.052631578947368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0A-4FBD-8CFE-096471D940B1}"/>
            </c:ext>
          </c:extLst>
        </c:ser>
        <c:ser>
          <c:idx val="5"/>
          <c:order val="5"/>
          <c:tx>
            <c:strRef>
              <c:f>PainelDeVariaveis!$H$525:$H$534</c:f>
              <c:strCache>
                <c:ptCount val="10"/>
                <c:pt idx="0">
                  <c:v>L1S</c:v>
                </c:pt>
                <c:pt idx="1">
                  <c:v>21,38</c:v>
                </c:pt>
                <c:pt idx="2">
                  <c:v>21,38</c:v>
                </c:pt>
                <c:pt idx="3">
                  <c:v>21,38</c:v>
                </c:pt>
                <c:pt idx="4">
                  <c:v>21,38</c:v>
                </c:pt>
                <c:pt idx="5">
                  <c:v>21,38</c:v>
                </c:pt>
                <c:pt idx="6">
                  <c:v>21,38</c:v>
                </c:pt>
                <c:pt idx="7">
                  <c:v>21,38</c:v>
                </c:pt>
                <c:pt idx="8">
                  <c:v>21,38</c:v>
                </c:pt>
                <c:pt idx="9">
                  <c:v>21,38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PainelDeVariaveis!$H$535:$H$555</c:f>
              <c:numCache>
                <c:formatCode>0.00</c:formatCode>
                <c:ptCount val="21"/>
                <c:pt idx="0">
                  <c:v>21.381234039510101</c:v>
                </c:pt>
                <c:pt idx="1">
                  <c:v>21.381234039510101</c:v>
                </c:pt>
                <c:pt idx="2">
                  <c:v>21.381234039510101</c:v>
                </c:pt>
                <c:pt idx="3">
                  <c:v>21.381234039510101</c:v>
                </c:pt>
                <c:pt idx="4">
                  <c:v>21.381234039510101</c:v>
                </c:pt>
                <c:pt idx="5">
                  <c:v>21.381234039510101</c:v>
                </c:pt>
                <c:pt idx="6">
                  <c:v>21.381234039510101</c:v>
                </c:pt>
                <c:pt idx="7">
                  <c:v>21.381234039510101</c:v>
                </c:pt>
                <c:pt idx="8">
                  <c:v>21.381234039510101</c:v>
                </c:pt>
                <c:pt idx="9">
                  <c:v>21.381234039510101</c:v>
                </c:pt>
                <c:pt idx="10">
                  <c:v>21.381234039510101</c:v>
                </c:pt>
                <c:pt idx="11">
                  <c:v>21.381234039510101</c:v>
                </c:pt>
                <c:pt idx="12">
                  <c:v>21.381234039510101</c:v>
                </c:pt>
                <c:pt idx="13">
                  <c:v>21.381234039510101</c:v>
                </c:pt>
                <c:pt idx="14">
                  <c:v>21.381234039510101</c:v>
                </c:pt>
                <c:pt idx="15">
                  <c:v>21.381234039510101</c:v>
                </c:pt>
                <c:pt idx="16">
                  <c:v>21.381234039510101</c:v>
                </c:pt>
                <c:pt idx="17">
                  <c:v>21.381234039510101</c:v>
                </c:pt>
                <c:pt idx="18">
                  <c:v>21.381234039510101</c:v>
                </c:pt>
                <c:pt idx="19">
                  <c:v>21.381234039510101</c:v>
                </c:pt>
                <c:pt idx="20">
                  <c:v>21.381234039510101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0A-4FBD-8CFE-096471D940B1}"/>
            </c:ext>
          </c:extLst>
        </c:ser>
        <c:ser>
          <c:idx val="6"/>
          <c:order val="6"/>
          <c:tx>
            <c:strRef>
              <c:f>PainelDeVariaveis!$I$525:$I$534</c:f>
              <c:strCache>
                <c:ptCount val="10"/>
                <c:pt idx="0">
                  <c:v>L2S</c:v>
                </c:pt>
                <c:pt idx="1">
                  <c:v>27,71</c:v>
                </c:pt>
                <c:pt idx="2">
                  <c:v>27,71</c:v>
                </c:pt>
                <c:pt idx="3">
                  <c:v>27,71</c:v>
                </c:pt>
                <c:pt idx="4">
                  <c:v>27,71</c:v>
                </c:pt>
                <c:pt idx="5">
                  <c:v>27,71</c:v>
                </c:pt>
                <c:pt idx="6">
                  <c:v>27,71</c:v>
                </c:pt>
                <c:pt idx="7">
                  <c:v>27,71</c:v>
                </c:pt>
                <c:pt idx="8">
                  <c:v>27,71</c:v>
                </c:pt>
                <c:pt idx="9">
                  <c:v>27,71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PainelDeVariaveis!$I$535:$I$555</c:f>
              <c:numCache>
                <c:formatCode>0.00</c:formatCode>
                <c:ptCount val="21"/>
                <c:pt idx="0">
                  <c:v>27.709836500072832</c:v>
                </c:pt>
                <c:pt idx="1">
                  <c:v>27.709836500072832</c:v>
                </c:pt>
                <c:pt idx="2">
                  <c:v>27.709836500072832</c:v>
                </c:pt>
                <c:pt idx="3">
                  <c:v>27.709836500072832</c:v>
                </c:pt>
                <c:pt idx="4">
                  <c:v>27.709836500072832</c:v>
                </c:pt>
                <c:pt idx="5">
                  <c:v>27.709836500072832</c:v>
                </c:pt>
                <c:pt idx="6">
                  <c:v>27.709836500072832</c:v>
                </c:pt>
                <c:pt idx="7">
                  <c:v>27.709836500072832</c:v>
                </c:pt>
                <c:pt idx="8">
                  <c:v>27.709836500072832</c:v>
                </c:pt>
                <c:pt idx="9">
                  <c:v>27.709836500072832</c:v>
                </c:pt>
                <c:pt idx="10">
                  <c:v>27.709836500072832</c:v>
                </c:pt>
                <c:pt idx="11">
                  <c:v>27.709836500072832</c:v>
                </c:pt>
                <c:pt idx="12">
                  <c:v>27.709836500072832</c:v>
                </c:pt>
                <c:pt idx="13">
                  <c:v>27.709836500072832</c:v>
                </c:pt>
                <c:pt idx="14">
                  <c:v>27.709836500072832</c:v>
                </c:pt>
                <c:pt idx="15">
                  <c:v>27.709836500072832</c:v>
                </c:pt>
                <c:pt idx="16">
                  <c:v>27.709836500072832</c:v>
                </c:pt>
                <c:pt idx="17">
                  <c:v>27.709836500072832</c:v>
                </c:pt>
                <c:pt idx="18">
                  <c:v>27.709836500072832</c:v>
                </c:pt>
                <c:pt idx="19">
                  <c:v>27.709836500072832</c:v>
                </c:pt>
                <c:pt idx="20">
                  <c:v>27.709836500072832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0A-4FBD-8CFE-096471D940B1}"/>
            </c:ext>
          </c:extLst>
        </c:ser>
        <c:ser>
          <c:idx val="7"/>
          <c:order val="7"/>
          <c:tx>
            <c:strRef>
              <c:f>PainelDeVariaveis!$J$525:$J$534</c:f>
              <c:strCache>
                <c:ptCount val="10"/>
                <c:pt idx="0">
                  <c:v>LSC</c:v>
                </c:pt>
                <c:pt idx="1">
                  <c:v>34,04</c:v>
                </c:pt>
                <c:pt idx="2">
                  <c:v>34,04</c:v>
                </c:pt>
                <c:pt idx="3">
                  <c:v>34,04</c:v>
                </c:pt>
                <c:pt idx="4">
                  <c:v>34,04</c:v>
                </c:pt>
                <c:pt idx="5">
                  <c:v>34,04</c:v>
                </c:pt>
                <c:pt idx="6">
                  <c:v>34,04</c:v>
                </c:pt>
                <c:pt idx="7">
                  <c:v>34,04</c:v>
                </c:pt>
                <c:pt idx="8">
                  <c:v>34,04</c:v>
                </c:pt>
                <c:pt idx="9">
                  <c:v>34,04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20A-4FBD-8CFE-096471D940B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PainelDeVariaveis!$J$535:$J$555</c:f>
              <c:numCache>
                <c:formatCode>0.00</c:formatCode>
                <c:ptCount val="21"/>
                <c:pt idx="0">
                  <c:v>34.038438960635567</c:v>
                </c:pt>
                <c:pt idx="1">
                  <c:v>34.038438960635567</c:v>
                </c:pt>
                <c:pt idx="2">
                  <c:v>34.038438960635567</c:v>
                </c:pt>
                <c:pt idx="3">
                  <c:v>34.038438960635567</c:v>
                </c:pt>
                <c:pt idx="4">
                  <c:v>34.038438960635567</c:v>
                </c:pt>
                <c:pt idx="5">
                  <c:v>34.038438960635567</c:v>
                </c:pt>
                <c:pt idx="6">
                  <c:v>34.038438960635567</c:v>
                </c:pt>
                <c:pt idx="7">
                  <c:v>34.038438960635567</c:v>
                </c:pt>
                <c:pt idx="8">
                  <c:v>34.038438960635567</c:v>
                </c:pt>
                <c:pt idx="9">
                  <c:v>34.038438960635567</c:v>
                </c:pt>
                <c:pt idx="10">
                  <c:v>34.038438960635567</c:v>
                </c:pt>
                <c:pt idx="11">
                  <c:v>34.038438960635567</c:v>
                </c:pt>
                <c:pt idx="12">
                  <c:v>34.038438960635567</c:v>
                </c:pt>
                <c:pt idx="13">
                  <c:v>34.038438960635567</c:v>
                </c:pt>
                <c:pt idx="14">
                  <c:v>34.038438960635567</c:v>
                </c:pt>
                <c:pt idx="15">
                  <c:v>34.038438960635567</c:v>
                </c:pt>
                <c:pt idx="16">
                  <c:v>34.038438960635567</c:v>
                </c:pt>
                <c:pt idx="17">
                  <c:v>34.038438960635567</c:v>
                </c:pt>
                <c:pt idx="18">
                  <c:v>34.038438960635567</c:v>
                </c:pt>
                <c:pt idx="19">
                  <c:v>34.038438960635567</c:v>
                </c:pt>
                <c:pt idx="20">
                  <c:v>34.038438960635567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20A-4FBD-8CFE-096471D94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979919"/>
        <c:axId val="1064978959"/>
      </c:lineChart>
      <c:dateAx>
        <c:axId val="1064979919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4978959"/>
        <c:crosses val="autoZero"/>
        <c:auto val="1"/>
        <c:lblOffset val="100"/>
        <c:baseTimeUnit val="months"/>
      </c:dateAx>
      <c:valAx>
        <c:axId val="106497895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649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V15 - AM4M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PainelDeVariaveis!$K$525:$K$534</c:f>
              <c:strCache>
                <c:ptCount val="10"/>
                <c:pt idx="0">
                  <c:v>Apurado</c:v>
                </c:pt>
                <c:pt idx="1">
                  <c:v>0,5</c:v>
                </c:pt>
                <c:pt idx="2">
                  <c:v>1,25</c:v>
                </c:pt>
                <c:pt idx="3">
                  <c:v>-0,75</c:v>
                </c:pt>
                <c:pt idx="4">
                  <c:v>0,5</c:v>
                </c:pt>
                <c:pt idx="5">
                  <c:v>0,25</c:v>
                </c:pt>
                <c:pt idx="6">
                  <c:v>-0,25</c:v>
                </c:pt>
                <c:pt idx="7">
                  <c:v>0,25</c:v>
                </c:pt>
                <c:pt idx="8">
                  <c:v>0,25</c:v>
                </c:pt>
                <c:pt idx="9">
                  <c:v>0,75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PainelDeVariaveis!$K$535:$K$555</c:f>
              <c:numCache>
                <c:formatCode>General</c:formatCode>
                <c:ptCount val="21"/>
                <c:pt idx="0">
                  <c:v>-1</c:v>
                </c:pt>
                <c:pt idx="1">
                  <c:v>-0.5</c:v>
                </c:pt>
                <c:pt idx="2">
                  <c:v>-1</c:v>
                </c:pt>
                <c:pt idx="3">
                  <c:v>-0.5</c:v>
                </c:pt>
                <c:pt idx="4">
                  <c:v>0.25</c:v>
                </c:pt>
                <c:pt idx="5">
                  <c:v>-0.25</c:v>
                </c:pt>
                <c:pt idx="6">
                  <c:v>0</c:v>
                </c:pt>
                <c:pt idx="7">
                  <c:v>-0.75</c:v>
                </c:pt>
                <c:pt idx="8">
                  <c:v>-0.5</c:v>
                </c:pt>
                <c:pt idx="9">
                  <c:v>-0.5</c:v>
                </c:pt>
                <c:pt idx="10">
                  <c:v>-0.75</c:v>
                </c:pt>
                <c:pt idx="11">
                  <c:v>1.5</c:v>
                </c:pt>
                <c:pt idx="12">
                  <c:v>0.75</c:v>
                </c:pt>
                <c:pt idx="13">
                  <c:v>0.25</c:v>
                </c:pt>
                <c:pt idx="14">
                  <c:v>0.75</c:v>
                </c:pt>
                <c:pt idx="15">
                  <c:v>-1.5</c:v>
                </c:pt>
                <c:pt idx="16">
                  <c:v>-0.75</c:v>
                </c:pt>
                <c:pt idx="17">
                  <c:v>0</c:v>
                </c:pt>
                <c:pt idx="18">
                  <c:v>-0.75</c:v>
                </c:pt>
                <c:pt idx="19">
                  <c:v>-0.75</c:v>
                </c:pt>
                <c:pt idx="20">
                  <c:v>-0.25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7B-4A01-98E7-7C15A5E22C76}"/>
            </c:ext>
          </c:extLst>
        </c:ser>
        <c:ser>
          <c:idx val="1"/>
          <c:order val="1"/>
          <c:tx>
            <c:strRef>
              <c:f>PainelDeVariaveis!$L$525:$L$534</c:f>
              <c:strCache>
                <c:ptCount val="10"/>
                <c:pt idx="0">
                  <c:v>LIC</c:v>
                </c:pt>
                <c:pt idx="1">
                  <c:v>-2,408957494</c:v>
                </c:pt>
                <c:pt idx="2">
                  <c:v>-2,408957494</c:v>
                </c:pt>
                <c:pt idx="3">
                  <c:v>-2,408957494</c:v>
                </c:pt>
                <c:pt idx="4">
                  <c:v>-2,408957494</c:v>
                </c:pt>
                <c:pt idx="5">
                  <c:v>-2,408957494</c:v>
                </c:pt>
                <c:pt idx="6">
                  <c:v>-2,408957494</c:v>
                </c:pt>
                <c:pt idx="7">
                  <c:v>-2,408957494</c:v>
                </c:pt>
                <c:pt idx="8">
                  <c:v>-2,408957494</c:v>
                </c:pt>
                <c:pt idx="9">
                  <c:v>-2,408957494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A7B-4A01-98E7-7C15A5E22C76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PainelDeVariaveis!$L$535:$L$555</c:f>
              <c:numCache>
                <c:formatCode>General</c:formatCode>
                <c:ptCount val="21"/>
                <c:pt idx="0">
                  <c:v>-2.4089574944938654</c:v>
                </c:pt>
                <c:pt idx="1">
                  <c:v>-2.4089574944938654</c:v>
                </c:pt>
                <c:pt idx="2">
                  <c:v>-2.4089574944938654</c:v>
                </c:pt>
                <c:pt idx="3">
                  <c:v>-2.4089574944938654</c:v>
                </c:pt>
                <c:pt idx="4">
                  <c:v>-2.4089574944938654</c:v>
                </c:pt>
                <c:pt idx="5">
                  <c:v>-2.4089574944938654</c:v>
                </c:pt>
                <c:pt idx="6">
                  <c:v>-2.4089574944938654</c:v>
                </c:pt>
                <c:pt idx="7">
                  <c:v>-2.4089574944938654</c:v>
                </c:pt>
                <c:pt idx="8">
                  <c:v>-2.4089574944938654</c:v>
                </c:pt>
                <c:pt idx="9">
                  <c:v>-2.4089574944938654</c:v>
                </c:pt>
                <c:pt idx="10">
                  <c:v>-2.4089574944938654</c:v>
                </c:pt>
                <c:pt idx="11">
                  <c:v>-2.4089574944938654</c:v>
                </c:pt>
                <c:pt idx="12">
                  <c:v>-2.4089574944938654</c:v>
                </c:pt>
                <c:pt idx="13">
                  <c:v>-2.4089574944938654</c:v>
                </c:pt>
                <c:pt idx="14">
                  <c:v>-2.4089574944938654</c:v>
                </c:pt>
                <c:pt idx="15">
                  <c:v>-2.4089574944938654</c:v>
                </c:pt>
                <c:pt idx="16">
                  <c:v>-2.4089574944938654</c:v>
                </c:pt>
                <c:pt idx="17">
                  <c:v>-2.4089574944938654</c:v>
                </c:pt>
                <c:pt idx="18">
                  <c:v>-2.4089574944938654</c:v>
                </c:pt>
                <c:pt idx="19">
                  <c:v>-2.4089574944938654</c:v>
                </c:pt>
                <c:pt idx="20">
                  <c:v>-2.4089574944938654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7B-4A01-98E7-7C15A5E22C76}"/>
            </c:ext>
          </c:extLst>
        </c:ser>
        <c:ser>
          <c:idx val="2"/>
          <c:order val="2"/>
          <c:tx>
            <c:strRef>
              <c:f>PainelDeVariaveis!$M$525:$M$534</c:f>
              <c:strCache>
                <c:ptCount val="10"/>
                <c:pt idx="0">
                  <c:v>L2I</c:v>
                </c:pt>
                <c:pt idx="1">
                  <c:v>-1,601585698</c:v>
                </c:pt>
                <c:pt idx="2">
                  <c:v>-1,601585698</c:v>
                </c:pt>
                <c:pt idx="3">
                  <c:v>-1,601585698</c:v>
                </c:pt>
                <c:pt idx="4">
                  <c:v>-1,601585698</c:v>
                </c:pt>
                <c:pt idx="5">
                  <c:v>-1,601585698</c:v>
                </c:pt>
                <c:pt idx="6">
                  <c:v>-1,601585698</c:v>
                </c:pt>
                <c:pt idx="7">
                  <c:v>-1,601585698</c:v>
                </c:pt>
                <c:pt idx="8">
                  <c:v>-1,601585698</c:v>
                </c:pt>
                <c:pt idx="9">
                  <c:v>-1,601585698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PainelDeVariaveis!$M$535:$M$555</c:f>
              <c:numCache>
                <c:formatCode>General</c:formatCode>
                <c:ptCount val="21"/>
                <c:pt idx="0">
                  <c:v>-1.6015856980836296</c:v>
                </c:pt>
                <c:pt idx="1">
                  <c:v>-1.6015856980836296</c:v>
                </c:pt>
                <c:pt idx="2">
                  <c:v>-1.6015856980836296</c:v>
                </c:pt>
                <c:pt idx="3">
                  <c:v>-1.6015856980836296</c:v>
                </c:pt>
                <c:pt idx="4">
                  <c:v>-1.6015856980836296</c:v>
                </c:pt>
                <c:pt idx="5">
                  <c:v>-1.6015856980836296</c:v>
                </c:pt>
                <c:pt idx="6">
                  <c:v>-1.6015856980836296</c:v>
                </c:pt>
                <c:pt idx="7">
                  <c:v>-1.6015856980836296</c:v>
                </c:pt>
                <c:pt idx="8">
                  <c:v>-1.6015856980836296</c:v>
                </c:pt>
                <c:pt idx="9">
                  <c:v>-1.6015856980836296</c:v>
                </c:pt>
                <c:pt idx="10">
                  <c:v>-1.6015856980836296</c:v>
                </c:pt>
                <c:pt idx="11">
                  <c:v>-1.6015856980836296</c:v>
                </c:pt>
                <c:pt idx="12">
                  <c:v>-1.6015856980836296</c:v>
                </c:pt>
                <c:pt idx="13">
                  <c:v>-1.6015856980836296</c:v>
                </c:pt>
                <c:pt idx="14">
                  <c:v>-1.6015856980836296</c:v>
                </c:pt>
                <c:pt idx="15">
                  <c:v>-1.6015856980836296</c:v>
                </c:pt>
                <c:pt idx="16">
                  <c:v>-1.6015856980836296</c:v>
                </c:pt>
                <c:pt idx="17">
                  <c:v>-1.6015856980836296</c:v>
                </c:pt>
                <c:pt idx="18">
                  <c:v>-1.6015856980836296</c:v>
                </c:pt>
                <c:pt idx="19">
                  <c:v>-1.6015856980836296</c:v>
                </c:pt>
                <c:pt idx="20">
                  <c:v>-1.6015856980836296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7B-4A01-98E7-7C15A5E22C76}"/>
            </c:ext>
          </c:extLst>
        </c:ser>
        <c:ser>
          <c:idx val="3"/>
          <c:order val="3"/>
          <c:tx>
            <c:strRef>
              <c:f>PainelDeVariaveis!$N$525:$N$534</c:f>
              <c:strCache>
                <c:ptCount val="10"/>
                <c:pt idx="0">
                  <c:v>L1I</c:v>
                </c:pt>
                <c:pt idx="1">
                  <c:v>-0,794213902</c:v>
                </c:pt>
                <c:pt idx="2">
                  <c:v>-0,794213902</c:v>
                </c:pt>
                <c:pt idx="3">
                  <c:v>-0,794213902</c:v>
                </c:pt>
                <c:pt idx="4">
                  <c:v>-0,794213902</c:v>
                </c:pt>
                <c:pt idx="5">
                  <c:v>-0,794213902</c:v>
                </c:pt>
                <c:pt idx="6">
                  <c:v>-0,794213902</c:v>
                </c:pt>
                <c:pt idx="7">
                  <c:v>-0,794213902</c:v>
                </c:pt>
                <c:pt idx="8">
                  <c:v>-0,794213902</c:v>
                </c:pt>
                <c:pt idx="9">
                  <c:v>-0,794213902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PainelDeVariaveis!$N$535:$N$555</c:f>
              <c:numCache>
                <c:formatCode>General</c:formatCode>
                <c:ptCount val="21"/>
                <c:pt idx="0">
                  <c:v>-0.79421390167339367</c:v>
                </c:pt>
                <c:pt idx="1">
                  <c:v>-0.79421390167339367</c:v>
                </c:pt>
                <c:pt idx="2">
                  <c:v>-0.79421390167339367</c:v>
                </c:pt>
                <c:pt idx="3">
                  <c:v>-0.79421390167339367</c:v>
                </c:pt>
                <c:pt idx="4">
                  <c:v>-0.79421390167339367</c:v>
                </c:pt>
                <c:pt idx="5">
                  <c:v>-0.79421390167339367</c:v>
                </c:pt>
                <c:pt idx="6">
                  <c:v>-0.79421390167339367</c:v>
                </c:pt>
                <c:pt idx="7">
                  <c:v>-0.79421390167339367</c:v>
                </c:pt>
                <c:pt idx="8">
                  <c:v>-0.79421390167339367</c:v>
                </c:pt>
                <c:pt idx="9">
                  <c:v>-0.79421390167339367</c:v>
                </c:pt>
                <c:pt idx="10">
                  <c:v>-0.79421390167339367</c:v>
                </c:pt>
                <c:pt idx="11">
                  <c:v>-0.79421390167339367</c:v>
                </c:pt>
                <c:pt idx="12">
                  <c:v>-0.79421390167339367</c:v>
                </c:pt>
                <c:pt idx="13">
                  <c:v>-0.79421390167339367</c:v>
                </c:pt>
                <c:pt idx="14">
                  <c:v>-0.79421390167339367</c:v>
                </c:pt>
                <c:pt idx="15">
                  <c:v>-0.79421390167339367</c:v>
                </c:pt>
                <c:pt idx="16">
                  <c:v>-0.79421390167339367</c:v>
                </c:pt>
                <c:pt idx="17">
                  <c:v>-0.79421390167339367</c:v>
                </c:pt>
                <c:pt idx="18">
                  <c:v>-0.79421390167339367</c:v>
                </c:pt>
                <c:pt idx="19">
                  <c:v>-0.79421390167339367</c:v>
                </c:pt>
                <c:pt idx="20">
                  <c:v>-0.79421390167339367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7B-4A01-98E7-7C15A5E22C76}"/>
            </c:ext>
          </c:extLst>
        </c:ser>
        <c:ser>
          <c:idx val="4"/>
          <c:order val="4"/>
          <c:tx>
            <c:strRef>
              <c:f>PainelDeVariaveis!$O$525:$O$534</c:f>
              <c:strCache>
                <c:ptCount val="10"/>
                <c:pt idx="0">
                  <c:v>LMC</c:v>
                </c:pt>
                <c:pt idx="1">
                  <c:v>0,013157895</c:v>
                </c:pt>
                <c:pt idx="2">
                  <c:v>0,013157895</c:v>
                </c:pt>
                <c:pt idx="3">
                  <c:v>0,013157895</c:v>
                </c:pt>
                <c:pt idx="4">
                  <c:v>0,013157895</c:v>
                </c:pt>
                <c:pt idx="5">
                  <c:v>0,013157895</c:v>
                </c:pt>
                <c:pt idx="6">
                  <c:v>0,013157895</c:v>
                </c:pt>
                <c:pt idx="7">
                  <c:v>0,013157895</c:v>
                </c:pt>
                <c:pt idx="8">
                  <c:v>0,013157895</c:v>
                </c:pt>
                <c:pt idx="9">
                  <c:v>0,013157895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7B-4A01-98E7-7C15A5E22C76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PainelDeVariaveis!$O$535:$O$555</c:f>
              <c:numCache>
                <c:formatCode>General</c:formatCode>
                <c:ptCount val="21"/>
                <c:pt idx="0">
                  <c:v>1.3157894736842105E-2</c:v>
                </c:pt>
                <c:pt idx="1">
                  <c:v>1.3157894736842105E-2</c:v>
                </c:pt>
                <c:pt idx="2">
                  <c:v>1.3157894736842105E-2</c:v>
                </c:pt>
                <c:pt idx="3">
                  <c:v>1.3157894736842105E-2</c:v>
                </c:pt>
                <c:pt idx="4">
                  <c:v>1.3157894736842105E-2</c:v>
                </c:pt>
                <c:pt idx="5">
                  <c:v>1.3157894736842105E-2</c:v>
                </c:pt>
                <c:pt idx="6">
                  <c:v>1.3157894736842105E-2</c:v>
                </c:pt>
                <c:pt idx="7">
                  <c:v>1.3157894736842105E-2</c:v>
                </c:pt>
                <c:pt idx="8">
                  <c:v>1.3157894736842105E-2</c:v>
                </c:pt>
                <c:pt idx="9">
                  <c:v>1.3157894736842105E-2</c:v>
                </c:pt>
                <c:pt idx="10">
                  <c:v>1.3157894736842105E-2</c:v>
                </c:pt>
                <c:pt idx="11">
                  <c:v>1.3157894736842105E-2</c:v>
                </c:pt>
                <c:pt idx="12">
                  <c:v>1.3157894736842105E-2</c:v>
                </c:pt>
                <c:pt idx="13">
                  <c:v>1.3157894736842105E-2</c:v>
                </c:pt>
                <c:pt idx="14">
                  <c:v>1.3157894736842105E-2</c:v>
                </c:pt>
                <c:pt idx="15">
                  <c:v>1.3157894736842105E-2</c:v>
                </c:pt>
                <c:pt idx="16">
                  <c:v>1.3157894736842105E-2</c:v>
                </c:pt>
                <c:pt idx="17">
                  <c:v>1.3157894736842105E-2</c:v>
                </c:pt>
                <c:pt idx="18">
                  <c:v>1.3157894736842105E-2</c:v>
                </c:pt>
                <c:pt idx="19">
                  <c:v>1.3157894736842105E-2</c:v>
                </c:pt>
                <c:pt idx="20">
                  <c:v>1.3157894736842105E-2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7B-4A01-98E7-7C15A5E22C76}"/>
            </c:ext>
          </c:extLst>
        </c:ser>
        <c:ser>
          <c:idx val="5"/>
          <c:order val="5"/>
          <c:tx>
            <c:strRef>
              <c:f>PainelDeVariaveis!$P$525:$P$534</c:f>
              <c:strCache>
                <c:ptCount val="10"/>
                <c:pt idx="0">
                  <c:v>L1S</c:v>
                </c:pt>
                <c:pt idx="1">
                  <c:v>0,820529691</c:v>
                </c:pt>
                <c:pt idx="2">
                  <c:v>0,820529691</c:v>
                </c:pt>
                <c:pt idx="3">
                  <c:v>0,820529691</c:v>
                </c:pt>
                <c:pt idx="4">
                  <c:v>0,820529691</c:v>
                </c:pt>
                <c:pt idx="5">
                  <c:v>0,820529691</c:v>
                </c:pt>
                <c:pt idx="6">
                  <c:v>0,820529691</c:v>
                </c:pt>
                <c:pt idx="7">
                  <c:v>0,820529691</c:v>
                </c:pt>
                <c:pt idx="8">
                  <c:v>0,820529691</c:v>
                </c:pt>
                <c:pt idx="9">
                  <c:v>0,820529691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PainelDeVariaveis!$P$535:$P$555</c:f>
              <c:numCache>
                <c:formatCode>General</c:formatCode>
                <c:ptCount val="21"/>
                <c:pt idx="0">
                  <c:v>0.82052969114707797</c:v>
                </c:pt>
                <c:pt idx="1">
                  <c:v>0.82052969114707797</c:v>
                </c:pt>
                <c:pt idx="2">
                  <c:v>0.82052969114707797</c:v>
                </c:pt>
                <c:pt idx="3">
                  <c:v>0.82052969114707797</c:v>
                </c:pt>
                <c:pt idx="4">
                  <c:v>0.82052969114707797</c:v>
                </c:pt>
                <c:pt idx="5">
                  <c:v>0.82052969114707797</c:v>
                </c:pt>
                <c:pt idx="6">
                  <c:v>0.82052969114707797</c:v>
                </c:pt>
                <c:pt idx="7">
                  <c:v>0.82052969114707797</c:v>
                </c:pt>
                <c:pt idx="8">
                  <c:v>0.82052969114707797</c:v>
                </c:pt>
                <c:pt idx="9">
                  <c:v>0.82052969114707797</c:v>
                </c:pt>
                <c:pt idx="10">
                  <c:v>0.82052969114707797</c:v>
                </c:pt>
                <c:pt idx="11">
                  <c:v>0.82052969114707797</c:v>
                </c:pt>
                <c:pt idx="12">
                  <c:v>0.82052969114707797</c:v>
                </c:pt>
                <c:pt idx="13">
                  <c:v>0.82052969114707797</c:v>
                </c:pt>
                <c:pt idx="14">
                  <c:v>0.82052969114707797</c:v>
                </c:pt>
                <c:pt idx="15">
                  <c:v>0.82052969114707797</c:v>
                </c:pt>
                <c:pt idx="16">
                  <c:v>0.82052969114707797</c:v>
                </c:pt>
                <c:pt idx="17">
                  <c:v>0.82052969114707797</c:v>
                </c:pt>
                <c:pt idx="18">
                  <c:v>0.82052969114707797</c:v>
                </c:pt>
                <c:pt idx="19">
                  <c:v>0.82052969114707797</c:v>
                </c:pt>
                <c:pt idx="20">
                  <c:v>0.82052969114707797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7B-4A01-98E7-7C15A5E22C76}"/>
            </c:ext>
          </c:extLst>
        </c:ser>
        <c:ser>
          <c:idx val="6"/>
          <c:order val="6"/>
          <c:tx>
            <c:strRef>
              <c:f>PainelDeVariaveis!$Q$525:$Q$534</c:f>
              <c:strCache>
                <c:ptCount val="10"/>
                <c:pt idx="0">
                  <c:v>L2S</c:v>
                </c:pt>
                <c:pt idx="1">
                  <c:v>1,627901488</c:v>
                </c:pt>
                <c:pt idx="2">
                  <c:v>1,627901488</c:v>
                </c:pt>
                <c:pt idx="3">
                  <c:v>1,627901488</c:v>
                </c:pt>
                <c:pt idx="4">
                  <c:v>1,627901488</c:v>
                </c:pt>
                <c:pt idx="5">
                  <c:v>1,627901488</c:v>
                </c:pt>
                <c:pt idx="6">
                  <c:v>1,627901488</c:v>
                </c:pt>
                <c:pt idx="7">
                  <c:v>1,627901488</c:v>
                </c:pt>
                <c:pt idx="8">
                  <c:v>1,627901488</c:v>
                </c:pt>
                <c:pt idx="9">
                  <c:v>1,627901488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PainelDeVariaveis!$Q$535:$Q$555</c:f>
              <c:numCache>
                <c:formatCode>General</c:formatCode>
                <c:ptCount val="21"/>
                <c:pt idx="0">
                  <c:v>1.6279014875573137</c:v>
                </c:pt>
                <c:pt idx="1">
                  <c:v>1.6279014875573137</c:v>
                </c:pt>
                <c:pt idx="2">
                  <c:v>1.6279014875573137</c:v>
                </c:pt>
                <c:pt idx="3">
                  <c:v>1.6279014875573137</c:v>
                </c:pt>
                <c:pt idx="4">
                  <c:v>1.6279014875573137</c:v>
                </c:pt>
                <c:pt idx="5">
                  <c:v>1.6279014875573137</c:v>
                </c:pt>
                <c:pt idx="6">
                  <c:v>1.6279014875573137</c:v>
                </c:pt>
                <c:pt idx="7">
                  <c:v>1.6279014875573137</c:v>
                </c:pt>
                <c:pt idx="8">
                  <c:v>1.6279014875573137</c:v>
                </c:pt>
                <c:pt idx="9">
                  <c:v>1.6279014875573137</c:v>
                </c:pt>
                <c:pt idx="10">
                  <c:v>1.6279014875573137</c:v>
                </c:pt>
                <c:pt idx="11">
                  <c:v>1.6279014875573137</c:v>
                </c:pt>
                <c:pt idx="12">
                  <c:v>1.6279014875573137</c:v>
                </c:pt>
                <c:pt idx="13">
                  <c:v>1.6279014875573137</c:v>
                </c:pt>
                <c:pt idx="14">
                  <c:v>1.6279014875573137</c:v>
                </c:pt>
                <c:pt idx="15">
                  <c:v>1.6279014875573137</c:v>
                </c:pt>
                <c:pt idx="16">
                  <c:v>1.6279014875573137</c:v>
                </c:pt>
                <c:pt idx="17">
                  <c:v>1.6279014875573137</c:v>
                </c:pt>
                <c:pt idx="18">
                  <c:v>1.6279014875573137</c:v>
                </c:pt>
                <c:pt idx="19">
                  <c:v>1.6279014875573137</c:v>
                </c:pt>
                <c:pt idx="20">
                  <c:v>1.6279014875573137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7B-4A01-98E7-7C15A5E22C76}"/>
            </c:ext>
          </c:extLst>
        </c:ser>
        <c:ser>
          <c:idx val="7"/>
          <c:order val="7"/>
          <c:tx>
            <c:strRef>
              <c:f>PainelDeVariaveis!$R$525:$R$534</c:f>
              <c:strCache>
                <c:ptCount val="10"/>
                <c:pt idx="0">
                  <c:v>LSC</c:v>
                </c:pt>
                <c:pt idx="1">
                  <c:v>2,435273284</c:v>
                </c:pt>
                <c:pt idx="2">
                  <c:v>2,435273284</c:v>
                </c:pt>
                <c:pt idx="3">
                  <c:v>2,435273284</c:v>
                </c:pt>
                <c:pt idx="4">
                  <c:v>2,435273284</c:v>
                </c:pt>
                <c:pt idx="5">
                  <c:v>2,435273284</c:v>
                </c:pt>
                <c:pt idx="6">
                  <c:v>2,435273284</c:v>
                </c:pt>
                <c:pt idx="7">
                  <c:v>2,435273284</c:v>
                </c:pt>
                <c:pt idx="8">
                  <c:v>2,435273284</c:v>
                </c:pt>
                <c:pt idx="9">
                  <c:v>2,435273284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A7B-4A01-98E7-7C15A5E22C76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PainelDeVariaveis!$B$535:$B$555</c:f>
              <c:numCache>
                <c:formatCode>yyyy\.mm</c:formatCode>
                <c:ptCount val="21"/>
                <c:pt idx="0">
                  <c:v>45350</c:v>
                </c:pt>
                <c:pt idx="1">
                  <c:v>45379</c:v>
                </c:pt>
                <c:pt idx="2">
                  <c:v>45410</c:v>
                </c:pt>
                <c:pt idx="3">
                  <c:v>45440</c:v>
                </c:pt>
                <c:pt idx="4">
                  <c:v>45471</c:v>
                </c:pt>
                <c:pt idx="5">
                  <c:v>45501</c:v>
                </c:pt>
                <c:pt idx="6">
                  <c:v>45532</c:v>
                </c:pt>
                <c:pt idx="7">
                  <c:v>45563</c:v>
                </c:pt>
                <c:pt idx="8">
                  <c:v>45593</c:v>
                </c:pt>
                <c:pt idx="9">
                  <c:v>45624</c:v>
                </c:pt>
                <c:pt idx="10">
                  <c:v>45654</c:v>
                </c:pt>
                <c:pt idx="11">
                  <c:v>45685</c:v>
                </c:pt>
                <c:pt idx="12">
                  <c:v>45716</c:v>
                </c:pt>
                <c:pt idx="13">
                  <c:v>45746</c:v>
                </c:pt>
                <c:pt idx="14">
                  <c:v>45777</c:v>
                </c:pt>
                <c:pt idx="15">
                  <c:v>45807</c:v>
                </c:pt>
                <c:pt idx="16">
                  <c:v>45838</c:v>
                </c:pt>
                <c:pt idx="17">
                  <c:v>45868</c:v>
                </c:pt>
                <c:pt idx="18">
                  <c:v>45899</c:v>
                </c:pt>
                <c:pt idx="19">
                  <c:v>45930</c:v>
                </c:pt>
                <c:pt idx="20">
                  <c:v>45961</c:v>
                </c:pt>
              </c:numCache>
            </c:numRef>
          </c:cat>
          <c:val>
            <c:numRef>
              <c:f>PainelDeVariaveis!$R$535:$R$555</c:f>
              <c:numCache>
                <c:formatCode>General</c:formatCode>
                <c:ptCount val="21"/>
                <c:pt idx="0">
                  <c:v>2.4352732839675495</c:v>
                </c:pt>
                <c:pt idx="1">
                  <c:v>2.4352732839675495</c:v>
                </c:pt>
                <c:pt idx="2">
                  <c:v>2.4352732839675495</c:v>
                </c:pt>
                <c:pt idx="3">
                  <c:v>2.4352732839675495</c:v>
                </c:pt>
                <c:pt idx="4">
                  <c:v>2.4352732839675495</c:v>
                </c:pt>
                <c:pt idx="5">
                  <c:v>2.4352732839675495</c:v>
                </c:pt>
                <c:pt idx="6">
                  <c:v>2.4352732839675495</c:v>
                </c:pt>
                <c:pt idx="7">
                  <c:v>2.4352732839675495</c:v>
                </c:pt>
                <c:pt idx="8">
                  <c:v>2.4352732839675495</c:v>
                </c:pt>
                <c:pt idx="9">
                  <c:v>2.4352732839675495</c:v>
                </c:pt>
                <c:pt idx="10">
                  <c:v>2.4352732839675495</c:v>
                </c:pt>
                <c:pt idx="11">
                  <c:v>2.4352732839675495</c:v>
                </c:pt>
                <c:pt idx="12">
                  <c:v>2.4352732839675495</c:v>
                </c:pt>
                <c:pt idx="13">
                  <c:v>2.4352732839675495</c:v>
                </c:pt>
                <c:pt idx="14">
                  <c:v>2.4352732839675495</c:v>
                </c:pt>
                <c:pt idx="15">
                  <c:v>2.4352732839675495</c:v>
                </c:pt>
                <c:pt idx="16">
                  <c:v>2.4352732839675495</c:v>
                </c:pt>
                <c:pt idx="17">
                  <c:v>2.4352732839675495</c:v>
                </c:pt>
                <c:pt idx="18">
                  <c:v>2.4352732839675495</c:v>
                </c:pt>
                <c:pt idx="19">
                  <c:v>2.4352732839675495</c:v>
                </c:pt>
                <c:pt idx="20">
                  <c:v>2.4352732839675495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7B-4A01-98E7-7C15A5E22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214544"/>
        <c:axId val="479221264"/>
      </c:lineChart>
      <c:dateAx>
        <c:axId val="479214544"/>
        <c:scaling>
          <c:orientation val="minMax"/>
        </c:scaling>
        <c:delete val="0"/>
        <c:axPos val="b"/>
        <c:numFmt formatCode="yyyy\.mm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9221264"/>
        <c:crosses val="autoZero"/>
        <c:auto val="1"/>
        <c:lblOffset val="100"/>
        <c:baseTimeUnit val="months"/>
      </c:dateAx>
      <c:valAx>
        <c:axId val="47922126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921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900"/>
              <a:t>V10 - VAGAS OFERTADAS NO TREINAMENTO DO PROGRAMA DE INTEGRIDADE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'V10'!$B$8</c:f>
              <c:strCache>
                <c:ptCount val="1"/>
                <c:pt idx="0">
                  <c:v>Soma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'V10'!$A$9:$A$23</c:f>
              <c:strCache>
                <c:ptCount val="7"/>
                <c:pt idx="0">
                  <c:v>2022.03</c:v>
                </c:pt>
                <c:pt idx="1">
                  <c:v>2023.01</c:v>
                </c:pt>
                <c:pt idx="2">
                  <c:v>2023.02</c:v>
                </c:pt>
                <c:pt idx="3">
                  <c:v>2023.03</c:v>
                </c:pt>
                <c:pt idx="4">
                  <c:v>2024.01</c:v>
                </c:pt>
                <c:pt idx="5">
                  <c:v>2024.02</c:v>
                </c:pt>
                <c:pt idx="6">
                  <c:v>2024.03</c:v>
                </c:pt>
              </c:strCache>
            </c:strRef>
          </c:cat>
          <c:val>
            <c:numRef>
              <c:f>'V10'!$B$9:$B$23</c:f>
              <c:numCache>
                <c:formatCode>#,##0</c:formatCode>
                <c:ptCount val="15"/>
                <c:pt idx="0">
                  <c:v>0</c:v>
                </c:pt>
                <c:pt idx="1">
                  <c:v>96</c:v>
                </c:pt>
                <c:pt idx="2">
                  <c:v>108</c:v>
                </c:pt>
                <c:pt idx="3">
                  <c:v>0</c:v>
                </c:pt>
                <c:pt idx="4">
                  <c:v>0</c:v>
                </c:pt>
                <c:pt idx="5">
                  <c:v>125</c:v>
                </c:pt>
                <c:pt idx="6">
                  <c:v>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A-45BA-88BC-B0FE822CA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05521856"/>
        <c:axId val="405504576"/>
      </c:barChart>
      <c:catAx>
        <c:axId val="40552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5504576"/>
        <c:crosses val="autoZero"/>
        <c:auto val="1"/>
        <c:lblAlgn val="ctr"/>
        <c:lblOffset val="100"/>
        <c:noMultiLvlLbl val="0"/>
      </c:catAx>
      <c:valAx>
        <c:axId val="4055045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0552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900"/>
              <a:t>I05 - ÍNDICE DE EMPREGADOS TREINADOS NO PROGRAMA DE INTEGRIDADE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'I05'!$D$8</c:f>
              <c:strCache>
                <c:ptCount val="1"/>
                <c:pt idx="0">
                  <c:v>I05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'I05'!$A$9:$A$23</c:f>
              <c:strCache>
                <c:ptCount val="7"/>
                <c:pt idx="0">
                  <c:v>2022.03</c:v>
                </c:pt>
                <c:pt idx="1">
                  <c:v>2023.01</c:v>
                </c:pt>
                <c:pt idx="2">
                  <c:v>2023.02</c:v>
                </c:pt>
                <c:pt idx="3">
                  <c:v>2023.03</c:v>
                </c:pt>
                <c:pt idx="4">
                  <c:v>2024.01</c:v>
                </c:pt>
                <c:pt idx="5">
                  <c:v>2024.02</c:v>
                </c:pt>
                <c:pt idx="6">
                  <c:v>2024.03</c:v>
                </c:pt>
              </c:strCache>
            </c:strRef>
          </c:cat>
          <c:val>
            <c:numRef>
              <c:f>'I05'!$D$9:$D$23</c:f>
              <c:numCache>
                <c:formatCode>0.00</c:formatCode>
                <c:ptCount val="15"/>
                <c:pt idx="0">
                  <c:v>0</c:v>
                </c:pt>
                <c:pt idx="1">
                  <c:v>148.14814814814815</c:v>
                </c:pt>
                <c:pt idx="2">
                  <c:v>150.76923076923077</c:v>
                </c:pt>
                <c:pt idx="3">
                  <c:v>0</c:v>
                </c:pt>
                <c:pt idx="4">
                  <c:v>0</c:v>
                </c:pt>
                <c:pt idx="5">
                  <c:v>116.98113207547169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0-42CE-8497-CC3BFCF00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0678623"/>
        <c:axId val="1000704543"/>
      </c:barChart>
      <c:catAx>
        <c:axId val="100067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0704543"/>
        <c:crosses val="autoZero"/>
        <c:auto val="1"/>
        <c:lblAlgn val="ctr"/>
        <c:lblOffset val="100"/>
        <c:noMultiLvlLbl val="0"/>
      </c:catAx>
      <c:valAx>
        <c:axId val="10007045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100067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900"/>
              <a:t>I06 - ÍNDICE DE EVASÃO NOS TREINAMENTOS DO PROGRAMA DE INTEGRIDADE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'I06'!$D$8</c:f>
              <c:strCache>
                <c:ptCount val="1"/>
                <c:pt idx="0">
                  <c:v>I06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'I06'!$A$9:$A$23</c:f>
              <c:strCache>
                <c:ptCount val="7"/>
                <c:pt idx="0">
                  <c:v>2022.03</c:v>
                </c:pt>
                <c:pt idx="1">
                  <c:v>2023.01</c:v>
                </c:pt>
                <c:pt idx="2">
                  <c:v>2023.02</c:v>
                </c:pt>
                <c:pt idx="3">
                  <c:v>2023.03</c:v>
                </c:pt>
                <c:pt idx="4">
                  <c:v>2024.01</c:v>
                </c:pt>
                <c:pt idx="5">
                  <c:v>2024.02</c:v>
                </c:pt>
                <c:pt idx="6">
                  <c:v>2024.03</c:v>
                </c:pt>
              </c:strCache>
            </c:strRef>
          </c:cat>
          <c:val>
            <c:numRef>
              <c:f>'I06'!$D$9:$D$23</c:f>
              <c:numCache>
                <c:formatCode>0.00</c:formatCode>
                <c:ptCount val="15"/>
                <c:pt idx="0">
                  <c:v>0</c:v>
                </c:pt>
                <c:pt idx="1">
                  <c:v>16.666666666666668</c:v>
                </c:pt>
                <c:pt idx="2">
                  <c:v>9.2592592592592595</c:v>
                </c:pt>
                <c:pt idx="3">
                  <c:v>0</c:v>
                </c:pt>
                <c:pt idx="4">
                  <c:v>0</c:v>
                </c:pt>
                <c:pt idx="5">
                  <c:v>0.8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A-4904-9795-B5A1172DF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0713183"/>
        <c:axId val="1000733343"/>
      </c:barChart>
      <c:catAx>
        <c:axId val="100071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0733343"/>
        <c:crosses val="autoZero"/>
        <c:auto val="1"/>
        <c:lblAlgn val="ctr"/>
        <c:lblOffset val="100"/>
        <c:noMultiLvlLbl val="0"/>
      </c:catAx>
      <c:valAx>
        <c:axId val="10007333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100071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16384</xdr:col>
      <xdr:colOff>733425</xdr:colOff>
      <xdr:row>19</xdr:row>
      <xdr:rowOff>95250</xdr:rowOff>
    </xdr:from>
    <xdr:to>
      <xdr:col>16384</xdr:col>
      <xdr:colOff>1685925</xdr:colOff>
      <xdr:row>24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7697D2-56C7-031E-C071-66302717944B}"/>
            </a:ext>
          </a:extLst>
        </xdr:cNvPr>
        <xdr:cNvSpPr txBox="1"/>
      </xdr:nvSpPr>
      <xdr:spPr>
        <a:xfrm>
          <a:off x="10801350" y="2962275"/>
          <a:ext cx="9525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85725</xdr:rowOff>
    </xdr:from>
    <xdr:to>
      <xdr:col>25</xdr:col>
      <xdr:colOff>0</xdr:colOff>
      <xdr:row>37</xdr:row>
      <xdr:rowOff>85727</xdr:rowOff>
    </xdr:to>
    <xdr:graphicFrame macro="">
      <xdr:nvGraphicFramePr>
        <xdr:cNvPr id="2" name="Gráfico 24">
          <a:extLst>
            <a:ext uri="{FF2B5EF4-FFF2-40B4-BE49-F238E27FC236}">
              <a16:creationId xmlns:a16="http://schemas.microsoft.com/office/drawing/2014/main" id="{B66FF053-6EF1-4B98-ACD7-23529CA85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5</xdr:row>
      <xdr:rowOff>0</xdr:rowOff>
    </xdr:from>
    <xdr:to>
      <xdr:col>50</xdr:col>
      <xdr:colOff>1</xdr:colOff>
      <xdr:row>37</xdr:row>
      <xdr:rowOff>2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3D36BAC9-AAC1-4780-8FBE-56DF0813D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42</xdr:row>
      <xdr:rowOff>0</xdr:rowOff>
    </xdr:from>
    <xdr:to>
      <xdr:col>50</xdr:col>
      <xdr:colOff>1</xdr:colOff>
      <xdr:row>74</xdr:row>
      <xdr:rowOff>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1D17254-1070-47AC-9880-F5A860EF7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25</xdr:col>
      <xdr:colOff>0</xdr:colOff>
      <xdr:row>74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CADF034-28A4-459F-997A-65AC9DFE8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79</xdr:row>
      <xdr:rowOff>0</xdr:rowOff>
    </xdr:from>
    <xdr:to>
      <xdr:col>25</xdr:col>
      <xdr:colOff>0</xdr:colOff>
      <xdr:row>111</xdr:row>
      <xdr:rowOff>-1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7D1F8C9-7A00-4140-89B0-5A32185CF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79</xdr:row>
      <xdr:rowOff>0</xdr:rowOff>
    </xdr:from>
    <xdr:to>
      <xdr:col>50</xdr:col>
      <xdr:colOff>1</xdr:colOff>
      <xdr:row>111</xdr:row>
      <xdr:rowOff>-1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86F9BB4-BAA2-4751-BDA2-EB92A1363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116</xdr:row>
      <xdr:rowOff>0</xdr:rowOff>
    </xdr:from>
    <xdr:to>
      <xdr:col>25</xdr:col>
      <xdr:colOff>0</xdr:colOff>
      <xdr:row>148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0191879-0409-4BC2-BEDE-F3687BABE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0</xdr:colOff>
      <xdr:row>116</xdr:row>
      <xdr:rowOff>0</xdr:rowOff>
    </xdr:from>
    <xdr:to>
      <xdr:col>50</xdr:col>
      <xdr:colOff>1</xdr:colOff>
      <xdr:row>148</xdr:row>
      <xdr:rowOff>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8B8458B-9C11-4CDB-9B48-FDFA9A244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375</xdr:row>
      <xdr:rowOff>0</xdr:rowOff>
    </xdr:from>
    <xdr:to>
      <xdr:col>25</xdr:col>
      <xdr:colOff>0</xdr:colOff>
      <xdr:row>407</xdr:row>
      <xdr:rowOff>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F58A1C7D-5C3F-4100-99F0-067D899AC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0</xdr:colOff>
      <xdr:row>375</xdr:row>
      <xdr:rowOff>0</xdr:rowOff>
    </xdr:from>
    <xdr:to>
      <xdr:col>50</xdr:col>
      <xdr:colOff>1</xdr:colOff>
      <xdr:row>407</xdr:row>
      <xdr:rowOff>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7D97163C-D81B-4421-8749-B29E10DB0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0</xdr:colOff>
      <xdr:row>412</xdr:row>
      <xdr:rowOff>0</xdr:rowOff>
    </xdr:from>
    <xdr:to>
      <xdr:col>50</xdr:col>
      <xdr:colOff>1</xdr:colOff>
      <xdr:row>444</xdr:row>
      <xdr:rowOff>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22ADF72-DC92-4335-AFEB-BF419E6BE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0</xdr:colOff>
      <xdr:row>449</xdr:row>
      <xdr:rowOff>0</xdr:rowOff>
    </xdr:from>
    <xdr:to>
      <xdr:col>50</xdr:col>
      <xdr:colOff>1</xdr:colOff>
      <xdr:row>481</xdr:row>
      <xdr:rowOff>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D2944E-DC06-49D7-BB50-6EF4C1914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449</xdr:row>
      <xdr:rowOff>0</xdr:rowOff>
    </xdr:from>
    <xdr:to>
      <xdr:col>25</xdr:col>
      <xdr:colOff>0</xdr:colOff>
      <xdr:row>481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66B6B3A-91B0-47B3-9A72-ABBF3B189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412</xdr:row>
      <xdr:rowOff>0</xdr:rowOff>
    </xdr:from>
    <xdr:to>
      <xdr:col>25</xdr:col>
      <xdr:colOff>0</xdr:colOff>
      <xdr:row>444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6B92A755-FA4A-4187-837B-9BCFBB350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486</xdr:row>
      <xdr:rowOff>0</xdr:rowOff>
    </xdr:from>
    <xdr:to>
      <xdr:col>25</xdr:col>
      <xdr:colOff>0</xdr:colOff>
      <xdr:row>518</xdr:row>
      <xdr:rowOff>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3D5326F3-0B90-479B-B8FE-3117E3E83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0</xdr:colOff>
      <xdr:row>486</xdr:row>
      <xdr:rowOff>0</xdr:rowOff>
    </xdr:from>
    <xdr:to>
      <xdr:col>50</xdr:col>
      <xdr:colOff>1</xdr:colOff>
      <xdr:row>518</xdr:row>
      <xdr:rowOff>1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23314BE6-9067-4B27-BE90-64B606C12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523</xdr:row>
      <xdr:rowOff>0</xdr:rowOff>
    </xdr:from>
    <xdr:to>
      <xdr:col>25</xdr:col>
      <xdr:colOff>0</xdr:colOff>
      <xdr:row>555</xdr:row>
      <xdr:rowOff>-1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60797563-4579-4B19-87B4-C761CA6F5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26</xdr:col>
      <xdr:colOff>0</xdr:colOff>
      <xdr:row>523</xdr:row>
      <xdr:rowOff>0</xdr:rowOff>
    </xdr:from>
    <xdr:to>
      <xdr:col>50</xdr:col>
      <xdr:colOff>1</xdr:colOff>
      <xdr:row>555</xdr:row>
      <xdr:rowOff>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B1410CDC-AC34-4D4F-8FB2-CAA4401DC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0</xdr:colOff>
      <xdr:row>10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81CDCC2-7D88-47D6-A6F4-935AC7259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C286AE7-6E4E-4B9C-9CC7-160DC5C80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C6C276B-7353-4BA5-A700-DC8A81A3A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9B07-8DA8-4CAA-8FDF-7839973B133F}">
  <dimension ref="A1:U65"/>
  <sheetViews>
    <sheetView topLeftCell="F35" zoomScale="175" zoomScaleNormal="175" workbookViewId="0">
      <selection activeCell="G51" sqref="G51"/>
    </sheetView>
  </sheetViews>
  <sheetFormatPr defaultColWidth="0" defaultRowHeight="15" x14ac:dyDescent="0.25"/>
  <cols>
    <col min="1" max="5" width="9.140625" hidden="1" customWidth="1"/>
    <col min="6" max="6" width="13.85546875" style="2" bestFit="1" customWidth="1"/>
    <col min="7" max="21" width="9.140625" customWidth="1"/>
    <col min="22" max="16384" width="9.140625" hidden="1"/>
  </cols>
  <sheetData>
    <row r="1" spans="1:21" hidden="1" x14ac:dyDescent="0.25">
      <c r="F1" s="7" t="s">
        <v>0</v>
      </c>
      <c r="G1" s="9">
        <f>AVERAGE(G14:G34)</f>
        <v>0.5714285714285714</v>
      </c>
      <c r="H1" s="9">
        <f t="shared" ref="H1:J1" si="0">AVERAGE(H14:H34)</f>
        <v>12.857142857142858</v>
      </c>
      <c r="I1" s="9">
        <f t="shared" si="0"/>
        <v>0.38095238095238093</v>
      </c>
      <c r="J1" s="9">
        <f t="shared" si="0"/>
        <v>12.857142857142858</v>
      </c>
      <c r="K1" s="8"/>
      <c r="L1" s="8"/>
      <c r="M1" s="9">
        <f>AVERAGE(M14:M34)</f>
        <v>9.3809523809523814</v>
      </c>
      <c r="N1" s="9">
        <f>AVERAGE(N14:N34)</f>
        <v>10.619047619047619</v>
      </c>
      <c r="O1" s="9">
        <f>AVERAGE(O14:O34)</f>
        <v>1.2380952380952381</v>
      </c>
      <c r="P1" s="9">
        <f>AVERAGE(P14:P34)</f>
        <v>10.619047619047619</v>
      </c>
      <c r="Q1" s="8"/>
      <c r="R1" s="8"/>
      <c r="S1" s="8"/>
      <c r="T1" s="8"/>
      <c r="U1" s="8"/>
    </row>
    <row r="2" spans="1:21" hidden="1" x14ac:dyDescent="0.25">
      <c r="F2" s="7" t="s">
        <v>1</v>
      </c>
      <c r="G2" s="9">
        <f>_xlfn.STDEV.S(G14:G34)</f>
        <v>0.74642002729217893</v>
      </c>
      <c r="H2" s="9">
        <f t="shared" ref="H2:J2" si="1">_xlfn.STDEV.S(H14:H34)</f>
        <v>3.8116363190329978</v>
      </c>
      <c r="I2" s="9">
        <f t="shared" si="1"/>
        <v>0.58959227235357115</v>
      </c>
      <c r="J2" s="9">
        <f t="shared" si="1"/>
        <v>3.8116363190329978</v>
      </c>
      <c r="K2" s="8"/>
      <c r="L2" s="8"/>
      <c r="M2" s="9">
        <f>_xlfn.STDEV.S(M14:M34)</f>
        <v>18.421390258273643</v>
      </c>
      <c r="N2" s="9">
        <f>_xlfn.STDEV.S(N14:N34)</f>
        <v>20.91285774464167</v>
      </c>
      <c r="O2" s="9">
        <f>_xlfn.STDEV.S(O14:O34)</f>
        <v>3.3749779540726172</v>
      </c>
      <c r="P2" s="9">
        <f>_xlfn.STDEV.S(P14:P34)</f>
        <v>20.91285774464167</v>
      </c>
      <c r="Q2" s="8"/>
      <c r="R2" s="8"/>
      <c r="S2" s="8"/>
      <c r="T2" s="8"/>
      <c r="U2" s="8"/>
    </row>
    <row r="3" spans="1:21" hidden="1" x14ac:dyDescent="0.25">
      <c r="F3" s="7" t="s">
        <v>2</v>
      </c>
      <c r="G3" s="9">
        <f>MAX(G14:G34)</f>
        <v>2</v>
      </c>
      <c r="H3" s="9">
        <f t="shared" ref="H3:J3" si="2">MAX(H14:H34)</f>
        <v>20</v>
      </c>
      <c r="I3" s="9">
        <f t="shared" si="2"/>
        <v>2</v>
      </c>
      <c r="J3" s="9">
        <f t="shared" si="2"/>
        <v>20</v>
      </c>
      <c r="K3" s="8"/>
      <c r="L3" s="8"/>
      <c r="M3" s="9">
        <f>MAX(M14:M34)</f>
        <v>55</v>
      </c>
      <c r="N3" s="9">
        <f>MAX(N14:N34)</f>
        <v>65</v>
      </c>
      <c r="O3" s="9">
        <f>MAX(O14:O34)</f>
        <v>12</v>
      </c>
      <c r="P3" s="9">
        <f>MAX(P14:P34)</f>
        <v>65</v>
      </c>
      <c r="Q3" s="8"/>
      <c r="R3" s="8"/>
      <c r="S3" s="8"/>
      <c r="T3" s="8"/>
      <c r="U3" s="8"/>
    </row>
    <row r="4" spans="1:21" hidden="1" x14ac:dyDescent="0.25">
      <c r="F4" s="7" t="s">
        <v>3</v>
      </c>
      <c r="G4" s="9">
        <f>MIN(G14:G34)</f>
        <v>0</v>
      </c>
      <c r="H4" s="9">
        <f t="shared" ref="H4:J4" si="3">MIN(H14:H34)</f>
        <v>6</v>
      </c>
      <c r="I4" s="9">
        <f t="shared" si="3"/>
        <v>0</v>
      </c>
      <c r="J4" s="9">
        <f t="shared" si="3"/>
        <v>6</v>
      </c>
      <c r="K4" s="8"/>
      <c r="L4" s="8"/>
      <c r="M4" s="9">
        <f>MIN(M14:M34)</f>
        <v>0</v>
      </c>
      <c r="N4" s="9">
        <f>MIN(N14:N34)</f>
        <v>0</v>
      </c>
      <c r="O4" s="9">
        <f>MIN(O14:O34)</f>
        <v>0</v>
      </c>
      <c r="P4" s="9">
        <f>MIN(P14:P34)</f>
        <v>0</v>
      </c>
      <c r="Q4" s="8"/>
      <c r="R4" s="8"/>
      <c r="S4" s="8"/>
      <c r="T4" s="8"/>
      <c r="U4" s="8"/>
    </row>
    <row r="5" spans="1:21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</row>
    <row r="6" spans="1:21" x14ac:dyDescent="0.25">
      <c r="F6" s="4">
        <v>44562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x14ac:dyDescent="0.25">
      <c r="F7" s="4">
        <v>44593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x14ac:dyDescent="0.25">
      <c r="F8" s="4">
        <v>44621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x14ac:dyDescent="0.25">
      <c r="F9" s="4">
        <v>44652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x14ac:dyDescent="0.25">
      <c r="F10" s="4">
        <v>44682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25">
      <c r="F11" s="4">
        <v>44713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25">
      <c r="F12" s="4">
        <v>44743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25">
      <c r="F13" s="4">
        <v>44774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25">
      <c r="A14">
        <f>YEAR(F14)</f>
        <v>2022</v>
      </c>
      <c r="B14">
        <f>ROUNDUP(MONTH(F14)/2,0)</f>
        <v>5</v>
      </c>
      <c r="C14">
        <f>ROUNDUP(MONTH(F14)/3,0)</f>
        <v>3</v>
      </c>
      <c r="D14">
        <f>ROUNDUP(MONTH(F14)/4,0)</f>
        <v>3</v>
      </c>
      <c r="E14">
        <f>ROUNDUP(MONTH(F14)/6,0)</f>
        <v>2</v>
      </c>
      <c r="F14" s="4">
        <v>44805</v>
      </c>
      <c r="G14" s="5">
        <v>1</v>
      </c>
      <c r="H14" s="5">
        <v>16</v>
      </c>
      <c r="I14" s="5">
        <v>0</v>
      </c>
      <c r="J14" s="5">
        <v>16</v>
      </c>
      <c r="K14" s="5">
        <v>0</v>
      </c>
      <c r="L14" s="5">
        <v>0</v>
      </c>
      <c r="M14" s="5">
        <v>0</v>
      </c>
      <c r="N14" s="18">
        <v>0</v>
      </c>
      <c r="O14" s="5">
        <v>0</v>
      </c>
      <c r="P14" s="5">
        <v>0</v>
      </c>
      <c r="Q14" s="5">
        <v>0</v>
      </c>
      <c r="R14" s="5">
        <v>0</v>
      </c>
      <c r="S14" s="5">
        <v>6</v>
      </c>
      <c r="T14" s="5">
        <v>6</v>
      </c>
      <c r="U14" s="5">
        <v>6</v>
      </c>
    </row>
    <row r="15" spans="1:21" x14ac:dyDescent="0.25">
      <c r="A15">
        <f t="shared" ref="A15:A65" si="4">YEAR(F15)</f>
        <v>2022</v>
      </c>
      <c r="B15">
        <f t="shared" ref="B15:B65" si="5">ROUNDUP(MONTH(F15)/2,0)</f>
        <v>5</v>
      </c>
      <c r="C15">
        <f t="shared" ref="C15:C65" si="6">ROUNDUP(MONTH(F15)/3,0)</f>
        <v>4</v>
      </c>
      <c r="D15">
        <f t="shared" ref="D15:D65" si="7">ROUNDUP(MONTH(F15)/4,0)</f>
        <v>3</v>
      </c>
      <c r="E15">
        <f t="shared" ref="E15:E65" si="8">ROUNDUP(MONTH(F15)/6,0)</f>
        <v>2</v>
      </c>
      <c r="F15" s="4">
        <v>44835</v>
      </c>
      <c r="G15" s="5">
        <v>0</v>
      </c>
      <c r="H15" s="5">
        <v>13</v>
      </c>
      <c r="I15" s="5">
        <v>1</v>
      </c>
      <c r="J15" s="5">
        <v>13</v>
      </c>
      <c r="K15" s="5">
        <v>0</v>
      </c>
      <c r="L15" s="5">
        <v>0</v>
      </c>
      <c r="M15" s="5">
        <v>0</v>
      </c>
      <c r="N15" s="18">
        <v>0</v>
      </c>
      <c r="O15" s="5">
        <v>0</v>
      </c>
      <c r="P15" s="5">
        <v>0</v>
      </c>
      <c r="Q15" s="5">
        <v>1</v>
      </c>
      <c r="R15" s="5">
        <v>0</v>
      </c>
      <c r="S15" s="5">
        <v>4</v>
      </c>
      <c r="T15" s="5">
        <v>4</v>
      </c>
      <c r="U15" s="5">
        <v>4</v>
      </c>
    </row>
    <row r="16" spans="1:21" x14ac:dyDescent="0.25">
      <c r="A16">
        <f t="shared" si="4"/>
        <v>2022</v>
      </c>
      <c r="B16">
        <f t="shared" si="5"/>
        <v>6</v>
      </c>
      <c r="C16">
        <f t="shared" si="6"/>
        <v>4</v>
      </c>
      <c r="D16">
        <f t="shared" si="7"/>
        <v>3</v>
      </c>
      <c r="E16">
        <f t="shared" si="8"/>
        <v>2</v>
      </c>
      <c r="F16" s="4">
        <v>44866</v>
      </c>
      <c r="G16" s="5">
        <v>0</v>
      </c>
      <c r="H16" s="5">
        <v>9</v>
      </c>
      <c r="I16" s="5">
        <v>0</v>
      </c>
      <c r="J16" s="5">
        <v>9</v>
      </c>
      <c r="K16" s="5">
        <v>0</v>
      </c>
      <c r="L16" s="5">
        <v>0</v>
      </c>
      <c r="M16" s="5">
        <v>0</v>
      </c>
      <c r="N16" s="18">
        <v>0</v>
      </c>
      <c r="O16" s="5">
        <v>0</v>
      </c>
      <c r="P16" s="5">
        <v>0</v>
      </c>
      <c r="Q16" s="5">
        <v>0</v>
      </c>
      <c r="R16" s="5">
        <v>0</v>
      </c>
      <c r="S16" s="5">
        <v>8</v>
      </c>
      <c r="T16" s="5">
        <v>8</v>
      </c>
      <c r="U16" s="5">
        <v>8</v>
      </c>
    </row>
    <row r="17" spans="1:21" x14ac:dyDescent="0.25">
      <c r="A17">
        <f t="shared" si="4"/>
        <v>2022</v>
      </c>
      <c r="B17">
        <f t="shared" si="5"/>
        <v>6</v>
      </c>
      <c r="C17">
        <f t="shared" si="6"/>
        <v>4</v>
      </c>
      <c r="D17">
        <f t="shared" si="7"/>
        <v>3</v>
      </c>
      <c r="E17">
        <f t="shared" si="8"/>
        <v>2</v>
      </c>
      <c r="F17" s="4">
        <v>44896</v>
      </c>
      <c r="G17" s="5">
        <v>0</v>
      </c>
      <c r="H17" s="5">
        <v>7</v>
      </c>
      <c r="I17" s="5">
        <v>1</v>
      </c>
      <c r="J17" s="5">
        <v>7</v>
      </c>
      <c r="K17" s="5">
        <v>0</v>
      </c>
      <c r="L17" s="5">
        <v>0</v>
      </c>
      <c r="M17" s="5">
        <v>0</v>
      </c>
      <c r="N17" s="18">
        <v>0</v>
      </c>
      <c r="O17" s="5">
        <v>0</v>
      </c>
      <c r="P17" s="5">
        <v>0</v>
      </c>
      <c r="Q17" s="5">
        <v>0</v>
      </c>
      <c r="R17" s="5">
        <v>1</v>
      </c>
      <c r="S17" s="5">
        <v>2</v>
      </c>
      <c r="T17" s="5">
        <v>2</v>
      </c>
      <c r="U17" s="5">
        <v>2</v>
      </c>
    </row>
    <row r="18" spans="1:21" x14ac:dyDescent="0.25">
      <c r="A18">
        <f t="shared" si="4"/>
        <v>2023</v>
      </c>
      <c r="B18">
        <f t="shared" si="5"/>
        <v>1</v>
      </c>
      <c r="C18">
        <f t="shared" si="6"/>
        <v>1</v>
      </c>
      <c r="D18">
        <f t="shared" si="7"/>
        <v>1</v>
      </c>
      <c r="E18">
        <f t="shared" si="8"/>
        <v>1</v>
      </c>
      <c r="F18" s="4">
        <v>44927</v>
      </c>
      <c r="G18" s="5">
        <v>0</v>
      </c>
      <c r="H18" s="5">
        <v>6</v>
      </c>
      <c r="I18" s="5">
        <v>0</v>
      </c>
      <c r="J18" s="5">
        <v>6</v>
      </c>
      <c r="K18" s="5">
        <v>0</v>
      </c>
      <c r="L18" s="5">
        <v>0</v>
      </c>
      <c r="M18" s="5">
        <v>0</v>
      </c>
      <c r="N18" s="18">
        <v>0</v>
      </c>
      <c r="O18" s="5">
        <v>0</v>
      </c>
      <c r="P18" s="5">
        <v>0</v>
      </c>
      <c r="Q18" s="5">
        <v>0</v>
      </c>
      <c r="R18" s="5">
        <v>0</v>
      </c>
      <c r="S18" s="5">
        <v>2</v>
      </c>
      <c r="T18" s="5">
        <v>2</v>
      </c>
      <c r="U18" s="5">
        <v>2</v>
      </c>
    </row>
    <row r="19" spans="1:21" x14ac:dyDescent="0.25">
      <c r="A19">
        <f t="shared" si="4"/>
        <v>2023</v>
      </c>
      <c r="B19">
        <f t="shared" si="5"/>
        <v>1</v>
      </c>
      <c r="C19">
        <f t="shared" si="6"/>
        <v>1</v>
      </c>
      <c r="D19">
        <f t="shared" si="7"/>
        <v>1</v>
      </c>
      <c r="E19">
        <f t="shared" si="8"/>
        <v>1</v>
      </c>
      <c r="F19" s="4">
        <v>44958</v>
      </c>
      <c r="G19" s="5">
        <v>2</v>
      </c>
      <c r="H19" s="5">
        <v>14</v>
      </c>
      <c r="I19" s="5">
        <v>0</v>
      </c>
      <c r="J19" s="5">
        <v>14</v>
      </c>
      <c r="K19" s="5">
        <v>0</v>
      </c>
      <c r="L19" s="5">
        <v>0</v>
      </c>
      <c r="M19" s="5">
        <v>0</v>
      </c>
      <c r="N19" s="18">
        <v>0</v>
      </c>
      <c r="O19" s="5">
        <v>0</v>
      </c>
      <c r="P19" s="5">
        <v>0</v>
      </c>
      <c r="Q19" s="5">
        <v>0</v>
      </c>
      <c r="R19" s="5">
        <v>0</v>
      </c>
      <c r="S19" s="5">
        <v>2</v>
      </c>
      <c r="T19" s="5">
        <v>2</v>
      </c>
      <c r="U19" s="5">
        <v>2</v>
      </c>
    </row>
    <row r="20" spans="1:21" x14ac:dyDescent="0.25">
      <c r="A20">
        <f t="shared" si="4"/>
        <v>2023</v>
      </c>
      <c r="B20">
        <f t="shared" si="5"/>
        <v>2</v>
      </c>
      <c r="C20">
        <f t="shared" si="6"/>
        <v>1</v>
      </c>
      <c r="D20">
        <f t="shared" si="7"/>
        <v>1</v>
      </c>
      <c r="E20">
        <f t="shared" si="8"/>
        <v>1</v>
      </c>
      <c r="F20" s="4">
        <v>44986</v>
      </c>
      <c r="G20" s="5">
        <v>0</v>
      </c>
      <c r="H20" s="5">
        <v>11</v>
      </c>
      <c r="I20" s="5">
        <v>0</v>
      </c>
      <c r="J20" s="5">
        <v>11</v>
      </c>
      <c r="K20" s="5">
        <v>0</v>
      </c>
      <c r="L20" s="5">
        <v>0</v>
      </c>
      <c r="M20" s="5">
        <v>30</v>
      </c>
      <c r="N20" s="18">
        <v>42</v>
      </c>
      <c r="O20" s="5">
        <v>12</v>
      </c>
      <c r="P20" s="5">
        <v>42</v>
      </c>
      <c r="Q20" s="5">
        <v>0</v>
      </c>
      <c r="R20" s="5">
        <v>0</v>
      </c>
      <c r="S20" s="5">
        <v>8</v>
      </c>
      <c r="T20" s="5">
        <v>8</v>
      </c>
      <c r="U20" s="5">
        <v>8</v>
      </c>
    </row>
    <row r="21" spans="1:21" x14ac:dyDescent="0.25">
      <c r="A21">
        <f t="shared" si="4"/>
        <v>2023</v>
      </c>
      <c r="B21">
        <f t="shared" si="5"/>
        <v>2</v>
      </c>
      <c r="C21">
        <f t="shared" si="6"/>
        <v>2</v>
      </c>
      <c r="D21">
        <f t="shared" si="7"/>
        <v>1</v>
      </c>
      <c r="E21">
        <f t="shared" si="8"/>
        <v>1</v>
      </c>
      <c r="F21" s="4">
        <v>45017</v>
      </c>
      <c r="G21" s="5">
        <v>0</v>
      </c>
      <c r="H21" s="5">
        <v>12</v>
      </c>
      <c r="I21" s="5">
        <v>0</v>
      </c>
      <c r="J21" s="5">
        <v>12</v>
      </c>
      <c r="K21" s="5">
        <v>0</v>
      </c>
      <c r="L21" s="5">
        <v>0</v>
      </c>
      <c r="M21" s="5">
        <v>50</v>
      </c>
      <c r="N21" s="18">
        <v>54</v>
      </c>
      <c r="O21" s="5">
        <v>4</v>
      </c>
      <c r="P21" s="5">
        <v>54</v>
      </c>
      <c r="Q21" s="5">
        <v>1</v>
      </c>
      <c r="R21" s="5">
        <v>0</v>
      </c>
      <c r="S21" s="5">
        <v>4</v>
      </c>
      <c r="T21" s="5">
        <v>4</v>
      </c>
      <c r="U21" s="5">
        <v>4</v>
      </c>
    </row>
    <row r="22" spans="1:21" x14ac:dyDescent="0.25">
      <c r="A22">
        <f t="shared" si="4"/>
        <v>2023</v>
      </c>
      <c r="B22">
        <f t="shared" si="5"/>
        <v>3</v>
      </c>
      <c r="C22">
        <f t="shared" si="6"/>
        <v>2</v>
      </c>
      <c r="D22">
        <f t="shared" si="7"/>
        <v>2</v>
      </c>
      <c r="E22">
        <f t="shared" si="8"/>
        <v>1</v>
      </c>
      <c r="F22" s="4">
        <v>45047</v>
      </c>
      <c r="G22" s="5">
        <v>0</v>
      </c>
      <c r="H22" s="5">
        <v>15</v>
      </c>
      <c r="I22" s="5">
        <v>0</v>
      </c>
      <c r="J22" s="5">
        <v>15</v>
      </c>
      <c r="K22" s="5">
        <v>0</v>
      </c>
      <c r="L22" s="5">
        <v>0</v>
      </c>
      <c r="M22" s="5">
        <v>0</v>
      </c>
      <c r="N22" s="18">
        <v>0</v>
      </c>
      <c r="O22" s="5">
        <v>0</v>
      </c>
      <c r="P22" s="5">
        <v>0</v>
      </c>
      <c r="Q22" s="5">
        <v>0</v>
      </c>
      <c r="R22" s="5">
        <v>0</v>
      </c>
      <c r="S22" s="5">
        <v>4</v>
      </c>
      <c r="T22" s="5">
        <v>4</v>
      </c>
      <c r="U22" s="5">
        <v>4</v>
      </c>
    </row>
    <row r="23" spans="1:21" x14ac:dyDescent="0.25">
      <c r="A23">
        <f t="shared" si="4"/>
        <v>2023</v>
      </c>
      <c r="B23">
        <f t="shared" si="5"/>
        <v>3</v>
      </c>
      <c r="C23">
        <f t="shared" si="6"/>
        <v>2</v>
      </c>
      <c r="D23">
        <f t="shared" si="7"/>
        <v>2</v>
      </c>
      <c r="E23">
        <f t="shared" si="8"/>
        <v>1</v>
      </c>
      <c r="F23" s="4">
        <v>45078</v>
      </c>
      <c r="G23" s="5">
        <v>1</v>
      </c>
      <c r="H23" s="5">
        <v>9</v>
      </c>
      <c r="I23" s="5">
        <v>2</v>
      </c>
      <c r="J23" s="5">
        <v>9</v>
      </c>
      <c r="K23" s="5">
        <v>0</v>
      </c>
      <c r="L23" s="5">
        <v>0</v>
      </c>
      <c r="M23" s="5">
        <v>43</v>
      </c>
      <c r="N23" s="18">
        <v>43</v>
      </c>
      <c r="O23" s="5">
        <v>0</v>
      </c>
      <c r="P23" s="5">
        <v>43</v>
      </c>
      <c r="Q23" s="5">
        <v>0</v>
      </c>
      <c r="R23" s="5">
        <v>0</v>
      </c>
      <c r="S23" s="5">
        <v>7</v>
      </c>
      <c r="T23" s="5">
        <v>7</v>
      </c>
      <c r="U23" s="5">
        <v>7</v>
      </c>
    </row>
    <row r="24" spans="1:21" x14ac:dyDescent="0.25">
      <c r="A24">
        <f t="shared" si="4"/>
        <v>2023</v>
      </c>
      <c r="B24">
        <f t="shared" si="5"/>
        <v>4</v>
      </c>
      <c r="C24">
        <f t="shared" si="6"/>
        <v>3</v>
      </c>
      <c r="D24">
        <f t="shared" si="7"/>
        <v>2</v>
      </c>
      <c r="E24">
        <f t="shared" si="8"/>
        <v>2</v>
      </c>
      <c r="F24" s="4">
        <v>45108</v>
      </c>
      <c r="G24" s="5">
        <v>2</v>
      </c>
      <c r="H24" s="5">
        <v>16</v>
      </c>
      <c r="I24" s="5">
        <v>1</v>
      </c>
      <c r="J24" s="5">
        <v>16</v>
      </c>
      <c r="K24" s="5">
        <v>0</v>
      </c>
      <c r="L24" s="5">
        <v>0</v>
      </c>
      <c r="M24" s="5">
        <v>0</v>
      </c>
      <c r="N24" s="18">
        <v>0</v>
      </c>
      <c r="O24" s="5">
        <v>0</v>
      </c>
      <c r="P24" s="5">
        <v>0</v>
      </c>
      <c r="Q24" s="5">
        <v>0</v>
      </c>
      <c r="R24" s="5">
        <v>0</v>
      </c>
      <c r="S24" s="5">
        <v>5</v>
      </c>
      <c r="T24" s="5">
        <v>5</v>
      </c>
      <c r="U24" s="5">
        <v>5</v>
      </c>
    </row>
    <row r="25" spans="1:21" x14ac:dyDescent="0.25">
      <c r="A25">
        <f t="shared" si="4"/>
        <v>2023</v>
      </c>
      <c r="B25">
        <f t="shared" si="5"/>
        <v>4</v>
      </c>
      <c r="C25">
        <f t="shared" si="6"/>
        <v>3</v>
      </c>
      <c r="D25">
        <f t="shared" si="7"/>
        <v>2</v>
      </c>
      <c r="E25">
        <f t="shared" si="8"/>
        <v>2</v>
      </c>
      <c r="F25" s="4">
        <v>45139</v>
      </c>
      <c r="G25" s="5">
        <v>2</v>
      </c>
      <c r="H25" s="5">
        <v>14</v>
      </c>
      <c r="I25" s="5">
        <v>0</v>
      </c>
      <c r="J25" s="5">
        <v>14</v>
      </c>
      <c r="K25" s="5">
        <v>0</v>
      </c>
      <c r="L25" s="5">
        <v>0</v>
      </c>
      <c r="M25" s="5">
        <v>55</v>
      </c>
      <c r="N25" s="18">
        <v>65</v>
      </c>
      <c r="O25" s="5">
        <v>10</v>
      </c>
      <c r="P25" s="5">
        <v>65</v>
      </c>
      <c r="Q25" s="5">
        <v>0</v>
      </c>
      <c r="R25" s="5">
        <v>0</v>
      </c>
      <c r="S25" s="5">
        <v>6</v>
      </c>
      <c r="T25" s="5">
        <v>6</v>
      </c>
      <c r="U25" s="5">
        <v>6</v>
      </c>
    </row>
    <row r="26" spans="1:21" x14ac:dyDescent="0.25">
      <c r="A26">
        <f t="shared" si="4"/>
        <v>2023</v>
      </c>
      <c r="B26">
        <f t="shared" si="5"/>
        <v>5</v>
      </c>
      <c r="C26">
        <f t="shared" si="6"/>
        <v>3</v>
      </c>
      <c r="D26">
        <f t="shared" si="7"/>
        <v>3</v>
      </c>
      <c r="E26">
        <f t="shared" si="8"/>
        <v>2</v>
      </c>
      <c r="F26" s="4">
        <v>45170</v>
      </c>
      <c r="G26" s="5">
        <v>0</v>
      </c>
      <c r="H26" s="5">
        <v>13</v>
      </c>
      <c r="I26" s="5">
        <v>1</v>
      </c>
      <c r="J26" s="5">
        <v>13</v>
      </c>
      <c r="K26" s="5">
        <v>0</v>
      </c>
      <c r="L26" s="5">
        <v>0</v>
      </c>
      <c r="M26" s="5">
        <v>0</v>
      </c>
      <c r="N26" s="18">
        <v>0</v>
      </c>
      <c r="O26" s="5">
        <v>0</v>
      </c>
      <c r="P26" s="5">
        <v>0</v>
      </c>
      <c r="Q26" s="5">
        <v>0</v>
      </c>
      <c r="R26" s="5">
        <v>0</v>
      </c>
      <c r="S26" s="5">
        <v>5</v>
      </c>
      <c r="T26" s="5">
        <v>5</v>
      </c>
      <c r="U26" s="5">
        <v>5</v>
      </c>
    </row>
    <row r="27" spans="1:21" x14ac:dyDescent="0.25">
      <c r="A27">
        <f t="shared" si="4"/>
        <v>2023</v>
      </c>
      <c r="B27">
        <f t="shared" si="5"/>
        <v>5</v>
      </c>
      <c r="C27">
        <f t="shared" si="6"/>
        <v>4</v>
      </c>
      <c r="D27">
        <f t="shared" si="7"/>
        <v>3</v>
      </c>
      <c r="E27">
        <f t="shared" si="8"/>
        <v>2</v>
      </c>
      <c r="F27" s="4">
        <v>45200</v>
      </c>
      <c r="G27" s="5">
        <v>0</v>
      </c>
      <c r="H27" s="5">
        <v>18</v>
      </c>
      <c r="I27" s="5">
        <v>1</v>
      </c>
      <c r="J27" s="5">
        <v>18</v>
      </c>
      <c r="K27" s="5">
        <v>0</v>
      </c>
      <c r="L27" s="5">
        <v>0</v>
      </c>
      <c r="M27" s="5">
        <v>0</v>
      </c>
      <c r="N27" s="18">
        <v>0</v>
      </c>
      <c r="O27" s="5">
        <v>0</v>
      </c>
      <c r="P27" s="5">
        <v>0</v>
      </c>
      <c r="Q27" s="5">
        <v>2</v>
      </c>
      <c r="R27" s="5">
        <v>0</v>
      </c>
      <c r="S27" s="5">
        <v>9</v>
      </c>
      <c r="T27" s="5">
        <v>6</v>
      </c>
      <c r="U27" s="5">
        <v>6</v>
      </c>
    </row>
    <row r="28" spans="1:21" x14ac:dyDescent="0.25">
      <c r="A28">
        <f t="shared" si="4"/>
        <v>2023</v>
      </c>
      <c r="B28">
        <f t="shared" si="5"/>
        <v>6</v>
      </c>
      <c r="C28">
        <f t="shared" si="6"/>
        <v>4</v>
      </c>
      <c r="D28">
        <f t="shared" si="7"/>
        <v>3</v>
      </c>
      <c r="E28">
        <f t="shared" si="8"/>
        <v>2</v>
      </c>
      <c r="F28" s="4">
        <v>45231</v>
      </c>
      <c r="G28" s="5">
        <v>0</v>
      </c>
      <c r="H28" s="5">
        <v>20</v>
      </c>
      <c r="I28" s="5">
        <v>0</v>
      </c>
      <c r="J28" s="5">
        <v>20</v>
      </c>
      <c r="K28" s="5">
        <v>0</v>
      </c>
      <c r="L28" s="5">
        <v>0</v>
      </c>
      <c r="M28" s="5">
        <v>0</v>
      </c>
      <c r="N28" s="18">
        <v>0</v>
      </c>
      <c r="O28" s="5">
        <v>0</v>
      </c>
      <c r="P28" s="5">
        <v>0</v>
      </c>
      <c r="Q28" s="5">
        <v>1</v>
      </c>
      <c r="R28" s="5">
        <v>0</v>
      </c>
      <c r="S28" s="5">
        <v>6</v>
      </c>
      <c r="T28" s="5">
        <v>6</v>
      </c>
      <c r="U28" s="5">
        <v>6</v>
      </c>
    </row>
    <row r="29" spans="1:21" x14ac:dyDescent="0.25">
      <c r="A29">
        <f t="shared" si="4"/>
        <v>2023</v>
      </c>
      <c r="B29">
        <f t="shared" si="5"/>
        <v>6</v>
      </c>
      <c r="C29">
        <f t="shared" si="6"/>
        <v>4</v>
      </c>
      <c r="D29">
        <f t="shared" si="7"/>
        <v>3</v>
      </c>
      <c r="E29">
        <f t="shared" si="8"/>
        <v>2</v>
      </c>
      <c r="F29" s="4">
        <v>45261</v>
      </c>
      <c r="G29" s="5">
        <v>0</v>
      </c>
      <c r="H29" s="5">
        <v>18</v>
      </c>
      <c r="I29" s="5">
        <v>0</v>
      </c>
      <c r="J29" s="5">
        <v>18</v>
      </c>
      <c r="K29" s="5">
        <v>0</v>
      </c>
      <c r="L29" s="5">
        <v>0</v>
      </c>
      <c r="M29" s="5">
        <v>0</v>
      </c>
      <c r="N29" s="18">
        <v>0</v>
      </c>
      <c r="O29" s="5">
        <v>0</v>
      </c>
      <c r="P29" s="5">
        <v>0</v>
      </c>
      <c r="Q29" s="5">
        <v>0</v>
      </c>
      <c r="R29" s="5">
        <v>0</v>
      </c>
      <c r="S29" s="5">
        <v>7</v>
      </c>
      <c r="T29" s="5">
        <v>7</v>
      </c>
      <c r="U29" s="5">
        <v>7</v>
      </c>
    </row>
    <row r="30" spans="1:21" x14ac:dyDescent="0.25">
      <c r="A30">
        <f t="shared" si="4"/>
        <v>2024</v>
      </c>
      <c r="B30">
        <f t="shared" si="5"/>
        <v>1</v>
      </c>
      <c r="C30">
        <f t="shared" si="6"/>
        <v>1</v>
      </c>
      <c r="D30">
        <f t="shared" si="7"/>
        <v>1</v>
      </c>
      <c r="E30">
        <f t="shared" si="8"/>
        <v>1</v>
      </c>
      <c r="F30" s="4">
        <v>45292</v>
      </c>
      <c r="G30" s="5">
        <v>1</v>
      </c>
      <c r="H30" s="5">
        <v>15</v>
      </c>
      <c r="I30" s="5">
        <v>0</v>
      </c>
      <c r="J30" s="5">
        <v>15</v>
      </c>
      <c r="K30" s="5">
        <v>0</v>
      </c>
      <c r="L30" s="5">
        <v>0</v>
      </c>
      <c r="M30" s="5">
        <v>0</v>
      </c>
      <c r="N30" s="18">
        <v>0</v>
      </c>
      <c r="O30" s="5">
        <v>0</v>
      </c>
      <c r="P30" s="5">
        <v>0</v>
      </c>
      <c r="Q30" s="5">
        <v>1</v>
      </c>
      <c r="R30" s="5">
        <v>0</v>
      </c>
      <c r="S30" s="5">
        <v>8</v>
      </c>
      <c r="T30" s="5">
        <v>8</v>
      </c>
      <c r="U30" s="5">
        <v>8</v>
      </c>
    </row>
    <row r="31" spans="1:21" x14ac:dyDescent="0.25">
      <c r="A31">
        <f t="shared" si="4"/>
        <v>2024</v>
      </c>
      <c r="B31">
        <f t="shared" si="5"/>
        <v>1</v>
      </c>
      <c r="C31">
        <f t="shared" si="6"/>
        <v>1</v>
      </c>
      <c r="D31">
        <f t="shared" si="7"/>
        <v>1</v>
      </c>
      <c r="E31">
        <f t="shared" si="8"/>
        <v>1</v>
      </c>
      <c r="F31" s="4">
        <v>45323</v>
      </c>
      <c r="G31" s="5">
        <v>1</v>
      </c>
      <c r="H31" s="5">
        <v>8</v>
      </c>
      <c r="I31" s="5">
        <v>0</v>
      </c>
      <c r="J31" s="5">
        <v>8</v>
      </c>
      <c r="K31" s="5">
        <v>0</v>
      </c>
      <c r="L31" s="5">
        <v>0</v>
      </c>
      <c r="M31" s="5">
        <v>0</v>
      </c>
      <c r="N31" s="18">
        <v>0</v>
      </c>
      <c r="O31" s="5">
        <v>0</v>
      </c>
      <c r="P31" s="5">
        <v>0</v>
      </c>
      <c r="Q31" s="5">
        <v>0</v>
      </c>
      <c r="R31" s="5">
        <v>0</v>
      </c>
      <c r="S31" s="5">
        <v>2</v>
      </c>
      <c r="T31" s="5">
        <v>2</v>
      </c>
      <c r="U31" s="5">
        <v>2</v>
      </c>
    </row>
    <row r="32" spans="1:21" x14ac:dyDescent="0.25">
      <c r="A32">
        <f t="shared" si="4"/>
        <v>2024</v>
      </c>
      <c r="B32">
        <f t="shared" si="5"/>
        <v>2</v>
      </c>
      <c r="C32">
        <f t="shared" si="6"/>
        <v>1</v>
      </c>
      <c r="D32">
        <f t="shared" si="7"/>
        <v>1</v>
      </c>
      <c r="E32">
        <f t="shared" si="8"/>
        <v>1</v>
      </c>
      <c r="F32" s="4">
        <v>45352</v>
      </c>
      <c r="G32" s="5">
        <v>1</v>
      </c>
      <c r="H32" s="5">
        <v>10</v>
      </c>
      <c r="I32" s="5">
        <v>0</v>
      </c>
      <c r="J32" s="5">
        <v>10</v>
      </c>
      <c r="K32" s="5">
        <v>0</v>
      </c>
      <c r="L32" s="5">
        <v>0</v>
      </c>
      <c r="M32" s="5">
        <v>0</v>
      </c>
      <c r="N32" s="18">
        <v>0</v>
      </c>
      <c r="O32" s="5">
        <v>0</v>
      </c>
      <c r="P32" s="5">
        <v>0</v>
      </c>
      <c r="Q32" s="5">
        <v>0</v>
      </c>
      <c r="R32" s="5">
        <v>0</v>
      </c>
      <c r="S32" s="5">
        <v>4</v>
      </c>
      <c r="T32" s="5">
        <v>4</v>
      </c>
      <c r="U32" s="5">
        <v>4</v>
      </c>
    </row>
    <row r="33" spans="1:21" x14ac:dyDescent="0.25">
      <c r="A33">
        <f t="shared" si="4"/>
        <v>2024</v>
      </c>
      <c r="B33">
        <f t="shared" si="5"/>
        <v>2</v>
      </c>
      <c r="C33">
        <f t="shared" si="6"/>
        <v>2</v>
      </c>
      <c r="D33">
        <f t="shared" si="7"/>
        <v>1</v>
      </c>
      <c r="E33">
        <f t="shared" si="8"/>
        <v>1</v>
      </c>
      <c r="F33" s="4">
        <v>45383</v>
      </c>
      <c r="G33" s="5">
        <v>1</v>
      </c>
      <c r="H33" s="5">
        <v>11</v>
      </c>
      <c r="I33" s="5">
        <v>0</v>
      </c>
      <c r="J33" s="5">
        <v>11</v>
      </c>
      <c r="K33" s="5">
        <v>0</v>
      </c>
      <c r="L33" s="5">
        <v>0</v>
      </c>
      <c r="M33" s="5">
        <v>0</v>
      </c>
      <c r="N33" s="18">
        <v>0</v>
      </c>
      <c r="O33" s="5">
        <v>0</v>
      </c>
      <c r="P33" s="5">
        <v>0</v>
      </c>
      <c r="Q33" s="5">
        <v>0</v>
      </c>
      <c r="R33" s="5">
        <v>0</v>
      </c>
      <c r="S33" s="5">
        <v>3</v>
      </c>
      <c r="T33" s="5">
        <v>3</v>
      </c>
      <c r="U33" s="5">
        <v>3</v>
      </c>
    </row>
    <row r="34" spans="1:21" x14ac:dyDescent="0.25">
      <c r="A34">
        <f t="shared" si="4"/>
        <v>2024</v>
      </c>
      <c r="B34">
        <f t="shared" si="5"/>
        <v>3</v>
      </c>
      <c r="C34">
        <f t="shared" si="6"/>
        <v>2</v>
      </c>
      <c r="D34">
        <f t="shared" si="7"/>
        <v>2</v>
      </c>
      <c r="E34">
        <f t="shared" si="8"/>
        <v>1</v>
      </c>
      <c r="F34" s="4">
        <v>45413</v>
      </c>
      <c r="G34" s="5">
        <v>0</v>
      </c>
      <c r="H34" s="5">
        <v>15</v>
      </c>
      <c r="I34" s="5">
        <v>1</v>
      </c>
      <c r="J34" s="5">
        <v>15</v>
      </c>
      <c r="K34" s="5">
        <v>0</v>
      </c>
      <c r="L34" s="5">
        <v>0</v>
      </c>
      <c r="M34" s="5">
        <v>19</v>
      </c>
      <c r="N34" s="18">
        <v>19</v>
      </c>
      <c r="O34" s="5">
        <v>0</v>
      </c>
      <c r="P34" s="5">
        <v>19</v>
      </c>
      <c r="Q34" s="5">
        <v>1</v>
      </c>
      <c r="R34" s="5">
        <v>0</v>
      </c>
      <c r="S34" s="5">
        <v>6</v>
      </c>
      <c r="T34" s="5">
        <v>6</v>
      </c>
      <c r="U34" s="5">
        <v>6</v>
      </c>
    </row>
    <row r="35" spans="1:21" x14ac:dyDescent="0.25">
      <c r="A35">
        <f t="shared" si="4"/>
        <v>2024</v>
      </c>
      <c r="B35">
        <f t="shared" si="5"/>
        <v>3</v>
      </c>
      <c r="C35">
        <f t="shared" si="6"/>
        <v>2</v>
      </c>
      <c r="D35">
        <f t="shared" si="7"/>
        <v>2</v>
      </c>
      <c r="E35">
        <f t="shared" si="8"/>
        <v>1</v>
      </c>
      <c r="F35" s="4">
        <v>45444</v>
      </c>
      <c r="G35" s="5">
        <v>2</v>
      </c>
      <c r="H35" s="5">
        <v>25</v>
      </c>
      <c r="I35" s="5">
        <v>0</v>
      </c>
      <c r="J35" s="5">
        <v>25</v>
      </c>
      <c r="K35" s="5">
        <v>0</v>
      </c>
      <c r="L35" s="5">
        <v>0</v>
      </c>
      <c r="M35" s="5">
        <v>105</v>
      </c>
      <c r="N35" s="5">
        <v>106</v>
      </c>
      <c r="O35" s="5">
        <v>1</v>
      </c>
      <c r="P35" s="5">
        <v>106</v>
      </c>
      <c r="Q35" s="5">
        <v>2</v>
      </c>
      <c r="R35" s="5">
        <v>0</v>
      </c>
      <c r="S35" s="5">
        <v>3</v>
      </c>
      <c r="T35" s="5">
        <v>3</v>
      </c>
      <c r="U35" s="5">
        <v>3</v>
      </c>
    </row>
    <row r="36" spans="1:21" x14ac:dyDescent="0.25">
      <c r="A36">
        <f t="shared" si="4"/>
        <v>2024</v>
      </c>
      <c r="B36">
        <f t="shared" si="5"/>
        <v>4</v>
      </c>
      <c r="C36">
        <f t="shared" si="6"/>
        <v>3</v>
      </c>
      <c r="D36">
        <f t="shared" si="7"/>
        <v>2</v>
      </c>
      <c r="E36">
        <f t="shared" si="8"/>
        <v>2</v>
      </c>
      <c r="F36" s="4">
        <v>45474</v>
      </c>
      <c r="G36" s="5">
        <v>2</v>
      </c>
      <c r="H36" s="5">
        <v>25</v>
      </c>
      <c r="I36" s="5">
        <v>0</v>
      </c>
      <c r="J36" s="5">
        <v>25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3</v>
      </c>
      <c r="T36" s="5">
        <v>3</v>
      </c>
      <c r="U36" s="5">
        <v>3</v>
      </c>
    </row>
    <row r="37" spans="1:21" x14ac:dyDescent="0.25">
      <c r="A37">
        <f t="shared" si="4"/>
        <v>2024</v>
      </c>
      <c r="B37">
        <f t="shared" si="5"/>
        <v>4</v>
      </c>
      <c r="C37">
        <f t="shared" si="6"/>
        <v>3</v>
      </c>
      <c r="D37">
        <f t="shared" si="7"/>
        <v>2</v>
      </c>
      <c r="E37">
        <f t="shared" si="8"/>
        <v>2</v>
      </c>
      <c r="F37" s="4">
        <v>45505</v>
      </c>
      <c r="G37" s="5">
        <v>2</v>
      </c>
      <c r="H37" s="5">
        <v>27</v>
      </c>
      <c r="I37" s="5">
        <v>1</v>
      </c>
      <c r="J37" s="5">
        <v>27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3</v>
      </c>
      <c r="T37" s="5">
        <v>3</v>
      </c>
      <c r="U37" s="5">
        <v>3</v>
      </c>
    </row>
    <row r="38" spans="1:21" x14ac:dyDescent="0.25">
      <c r="A38">
        <f t="shared" si="4"/>
        <v>2024</v>
      </c>
      <c r="B38">
        <f t="shared" si="5"/>
        <v>5</v>
      </c>
      <c r="C38">
        <f t="shared" si="6"/>
        <v>3</v>
      </c>
      <c r="D38">
        <f t="shared" si="7"/>
        <v>3</v>
      </c>
      <c r="E38">
        <f t="shared" si="8"/>
        <v>2</v>
      </c>
      <c r="F38" s="4">
        <v>45536</v>
      </c>
      <c r="G38" s="5">
        <v>3</v>
      </c>
      <c r="H38" s="5">
        <v>26</v>
      </c>
      <c r="I38" s="5">
        <v>1</v>
      </c>
      <c r="J38" s="5">
        <v>26</v>
      </c>
      <c r="K38" s="5">
        <v>0</v>
      </c>
      <c r="L38" s="5">
        <v>0</v>
      </c>
      <c r="M38" s="5">
        <v>63</v>
      </c>
      <c r="N38" s="5">
        <v>63</v>
      </c>
      <c r="O38" s="5">
        <v>0</v>
      </c>
      <c r="P38" s="5">
        <v>63</v>
      </c>
      <c r="Q38" s="5">
        <v>0</v>
      </c>
      <c r="R38" s="5">
        <v>0</v>
      </c>
      <c r="S38" s="5">
        <v>3</v>
      </c>
      <c r="T38" s="5">
        <v>3</v>
      </c>
      <c r="U38" s="5">
        <v>3</v>
      </c>
    </row>
    <row r="39" spans="1:21" x14ac:dyDescent="0.25">
      <c r="A39">
        <f t="shared" si="4"/>
        <v>2024</v>
      </c>
      <c r="B39">
        <f t="shared" si="5"/>
        <v>5</v>
      </c>
      <c r="C39">
        <f t="shared" si="6"/>
        <v>4</v>
      </c>
      <c r="D39">
        <f t="shared" si="7"/>
        <v>3</v>
      </c>
      <c r="E39">
        <f t="shared" si="8"/>
        <v>2</v>
      </c>
      <c r="F39" s="4">
        <v>45566</v>
      </c>
      <c r="G39" s="5">
        <v>1</v>
      </c>
      <c r="H39" s="5">
        <v>19</v>
      </c>
      <c r="I39" s="5">
        <v>0</v>
      </c>
      <c r="J39" s="5">
        <v>19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1</v>
      </c>
      <c r="U39" s="5">
        <v>1</v>
      </c>
    </row>
    <row r="40" spans="1:21" x14ac:dyDescent="0.25">
      <c r="A40">
        <f t="shared" si="4"/>
        <v>2024</v>
      </c>
      <c r="B40">
        <f t="shared" si="5"/>
        <v>6</v>
      </c>
      <c r="C40">
        <f t="shared" si="6"/>
        <v>4</v>
      </c>
      <c r="D40">
        <f t="shared" si="7"/>
        <v>3</v>
      </c>
      <c r="E40">
        <f t="shared" si="8"/>
        <v>2</v>
      </c>
      <c r="F40" s="4">
        <v>45597</v>
      </c>
      <c r="G40" s="5">
        <v>1</v>
      </c>
      <c r="H40" s="5">
        <v>15</v>
      </c>
      <c r="I40" s="5">
        <v>0</v>
      </c>
      <c r="J40" s="5">
        <v>15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1</v>
      </c>
      <c r="T40" s="5">
        <v>1</v>
      </c>
      <c r="U40" s="5">
        <v>1</v>
      </c>
    </row>
    <row r="41" spans="1:21" x14ac:dyDescent="0.25">
      <c r="A41">
        <f t="shared" si="4"/>
        <v>2024</v>
      </c>
      <c r="B41">
        <f t="shared" si="5"/>
        <v>6</v>
      </c>
      <c r="C41">
        <f t="shared" si="6"/>
        <v>4</v>
      </c>
      <c r="D41">
        <f t="shared" si="7"/>
        <v>3</v>
      </c>
      <c r="E41">
        <f t="shared" si="8"/>
        <v>2</v>
      </c>
      <c r="F41" s="4">
        <v>45627</v>
      </c>
      <c r="G41" s="5">
        <v>0</v>
      </c>
      <c r="H41" s="5">
        <v>3</v>
      </c>
      <c r="I41" s="5">
        <v>0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</row>
    <row r="42" spans="1:21" x14ac:dyDescent="0.25">
      <c r="A42">
        <f t="shared" si="4"/>
        <v>2025</v>
      </c>
      <c r="B42">
        <f t="shared" si="5"/>
        <v>1</v>
      </c>
      <c r="C42">
        <f t="shared" si="6"/>
        <v>1</v>
      </c>
      <c r="D42">
        <f t="shared" si="7"/>
        <v>1</v>
      </c>
      <c r="E42">
        <f t="shared" si="8"/>
        <v>1</v>
      </c>
      <c r="F42" s="4">
        <v>45658</v>
      </c>
      <c r="G42" s="5">
        <v>3</v>
      </c>
      <c r="H42" s="5">
        <v>31</v>
      </c>
      <c r="I42" s="5">
        <v>1</v>
      </c>
      <c r="J42" s="5">
        <v>31</v>
      </c>
      <c r="K42" s="5">
        <v>10</v>
      </c>
      <c r="L42" s="5">
        <v>10</v>
      </c>
      <c r="M42" s="5">
        <v>0</v>
      </c>
      <c r="N42" s="5">
        <v>0</v>
      </c>
      <c r="O42" s="5">
        <v>0</v>
      </c>
      <c r="P42" s="5">
        <v>0</v>
      </c>
      <c r="Q42" s="5">
        <v>4</v>
      </c>
      <c r="R42" s="5">
        <v>0</v>
      </c>
      <c r="S42" s="5">
        <v>9</v>
      </c>
      <c r="T42" s="5">
        <v>9</v>
      </c>
      <c r="U42" s="5">
        <v>9</v>
      </c>
    </row>
    <row r="43" spans="1:21" x14ac:dyDescent="0.25">
      <c r="A43">
        <f t="shared" si="4"/>
        <v>2025</v>
      </c>
      <c r="B43">
        <f t="shared" si="5"/>
        <v>1</v>
      </c>
      <c r="C43">
        <f t="shared" si="6"/>
        <v>1</v>
      </c>
      <c r="D43">
        <f t="shared" si="7"/>
        <v>1</v>
      </c>
      <c r="E43">
        <f t="shared" si="8"/>
        <v>1</v>
      </c>
      <c r="F43" s="4">
        <v>45689</v>
      </c>
      <c r="G43" s="5">
        <v>1</v>
      </c>
      <c r="H43" s="5">
        <v>16</v>
      </c>
      <c r="I43" s="5">
        <v>0</v>
      </c>
      <c r="J43" s="5">
        <v>16</v>
      </c>
      <c r="K43" s="5">
        <v>4</v>
      </c>
      <c r="L43" s="5">
        <v>4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4</v>
      </c>
      <c r="T43" s="5">
        <v>4</v>
      </c>
      <c r="U43" s="5">
        <v>4</v>
      </c>
    </row>
    <row r="44" spans="1:21" x14ac:dyDescent="0.25">
      <c r="A44">
        <f t="shared" si="4"/>
        <v>2025</v>
      </c>
      <c r="B44">
        <f t="shared" si="5"/>
        <v>2</v>
      </c>
      <c r="C44">
        <f t="shared" si="6"/>
        <v>1</v>
      </c>
      <c r="D44">
        <f t="shared" si="7"/>
        <v>1</v>
      </c>
      <c r="E44">
        <f t="shared" si="8"/>
        <v>1</v>
      </c>
      <c r="F44" s="4">
        <v>45717</v>
      </c>
      <c r="G44" s="5">
        <v>2</v>
      </c>
      <c r="H44" s="5">
        <v>17</v>
      </c>
      <c r="I44" s="5">
        <v>1</v>
      </c>
      <c r="J44" s="5">
        <v>17</v>
      </c>
      <c r="K44" s="5">
        <v>10</v>
      </c>
      <c r="L44" s="5">
        <v>10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2</v>
      </c>
      <c r="T44" s="5">
        <v>2</v>
      </c>
      <c r="U44" s="5">
        <v>2</v>
      </c>
    </row>
    <row r="45" spans="1:21" x14ac:dyDescent="0.25">
      <c r="A45">
        <f t="shared" si="4"/>
        <v>2025</v>
      </c>
      <c r="B45">
        <f t="shared" si="5"/>
        <v>2</v>
      </c>
      <c r="C45">
        <f t="shared" si="6"/>
        <v>2</v>
      </c>
      <c r="D45">
        <f t="shared" si="7"/>
        <v>1</v>
      </c>
      <c r="E45">
        <f t="shared" si="8"/>
        <v>1</v>
      </c>
      <c r="F45" s="4">
        <v>45748</v>
      </c>
      <c r="G45" s="5">
        <v>2</v>
      </c>
      <c r="H45" s="5">
        <v>17</v>
      </c>
      <c r="I45" s="5">
        <v>1</v>
      </c>
      <c r="J45" s="5">
        <v>17</v>
      </c>
      <c r="K45" s="5">
        <v>5</v>
      </c>
      <c r="L45" s="5">
        <v>5</v>
      </c>
      <c r="M45" s="5">
        <v>0</v>
      </c>
      <c r="N45" s="5">
        <v>0</v>
      </c>
      <c r="O45" s="5">
        <v>0</v>
      </c>
      <c r="P45" s="5">
        <v>0</v>
      </c>
      <c r="Q45" s="5">
        <v>2</v>
      </c>
      <c r="R45" s="5">
        <v>0</v>
      </c>
      <c r="S45" s="5">
        <v>3</v>
      </c>
      <c r="T45" s="5">
        <v>3</v>
      </c>
      <c r="U45" s="5">
        <v>3</v>
      </c>
    </row>
    <row r="46" spans="1:21" x14ac:dyDescent="0.25">
      <c r="A46">
        <f t="shared" si="4"/>
        <v>2025</v>
      </c>
      <c r="B46">
        <f t="shared" si="5"/>
        <v>3</v>
      </c>
      <c r="C46">
        <f t="shared" si="6"/>
        <v>2</v>
      </c>
      <c r="D46">
        <f t="shared" si="7"/>
        <v>2</v>
      </c>
      <c r="E46">
        <f t="shared" si="8"/>
        <v>1</v>
      </c>
      <c r="F46" s="4">
        <v>45778</v>
      </c>
      <c r="G46" s="5">
        <v>0</v>
      </c>
      <c r="H46" s="5">
        <v>11</v>
      </c>
      <c r="I46" s="5">
        <v>0</v>
      </c>
      <c r="J46" s="5">
        <v>11</v>
      </c>
      <c r="K46" s="5">
        <v>10</v>
      </c>
      <c r="L46" s="5">
        <v>10</v>
      </c>
      <c r="M46" s="5">
        <v>0</v>
      </c>
      <c r="N46" s="5">
        <v>0</v>
      </c>
      <c r="O46" s="5">
        <v>0</v>
      </c>
      <c r="P46" s="5">
        <v>0</v>
      </c>
      <c r="Q46" s="5">
        <v>2</v>
      </c>
      <c r="R46" s="5">
        <v>0</v>
      </c>
      <c r="S46" s="5">
        <v>3</v>
      </c>
      <c r="T46" s="5">
        <v>3</v>
      </c>
      <c r="U46" s="5">
        <v>3</v>
      </c>
    </row>
    <row r="47" spans="1:21" x14ac:dyDescent="0.25">
      <c r="A47">
        <f t="shared" si="4"/>
        <v>2025</v>
      </c>
      <c r="B47">
        <f t="shared" si="5"/>
        <v>3</v>
      </c>
      <c r="C47">
        <f t="shared" si="6"/>
        <v>2</v>
      </c>
      <c r="D47">
        <f t="shared" si="7"/>
        <v>2</v>
      </c>
      <c r="E47">
        <f t="shared" si="8"/>
        <v>1</v>
      </c>
      <c r="F47" s="4">
        <v>45809</v>
      </c>
      <c r="G47" s="5">
        <v>1</v>
      </c>
      <c r="H47" s="5">
        <v>6</v>
      </c>
      <c r="I47" s="5">
        <v>0</v>
      </c>
      <c r="J47" s="5">
        <v>6</v>
      </c>
      <c r="K47" s="5">
        <v>17</v>
      </c>
      <c r="L47" s="5">
        <v>17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1</v>
      </c>
      <c r="T47" s="5">
        <v>1</v>
      </c>
      <c r="U47" s="5">
        <v>1</v>
      </c>
    </row>
    <row r="48" spans="1:21" x14ac:dyDescent="0.25">
      <c r="A48">
        <f t="shared" si="4"/>
        <v>2025</v>
      </c>
      <c r="B48">
        <f t="shared" si="5"/>
        <v>4</v>
      </c>
      <c r="C48">
        <f t="shared" si="6"/>
        <v>3</v>
      </c>
      <c r="D48">
        <f t="shared" si="7"/>
        <v>2</v>
      </c>
      <c r="E48">
        <f t="shared" si="8"/>
        <v>2</v>
      </c>
      <c r="F48" s="4">
        <v>45839</v>
      </c>
      <c r="G48" s="5">
        <v>3</v>
      </c>
      <c r="H48" s="5">
        <v>15</v>
      </c>
      <c r="I48" s="5">
        <v>0</v>
      </c>
      <c r="J48" s="5">
        <v>15</v>
      </c>
      <c r="K48" s="5">
        <v>33</v>
      </c>
      <c r="L48" s="5">
        <v>33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  <c r="T48" s="5">
        <v>2</v>
      </c>
      <c r="U48" s="5">
        <v>2</v>
      </c>
    </row>
    <row r="49" spans="1:21" x14ac:dyDescent="0.25">
      <c r="A49">
        <f t="shared" si="4"/>
        <v>2025</v>
      </c>
      <c r="B49">
        <f t="shared" si="5"/>
        <v>4</v>
      </c>
      <c r="C49">
        <f t="shared" si="6"/>
        <v>3</v>
      </c>
      <c r="D49">
        <f t="shared" si="7"/>
        <v>2</v>
      </c>
      <c r="E49">
        <f t="shared" si="8"/>
        <v>2</v>
      </c>
      <c r="F49" s="4">
        <v>45870</v>
      </c>
      <c r="G49" s="5">
        <v>1</v>
      </c>
      <c r="H49" s="5">
        <v>14</v>
      </c>
      <c r="I49" s="5">
        <v>0</v>
      </c>
      <c r="J49" s="5">
        <v>14</v>
      </c>
      <c r="K49" s="5">
        <v>5</v>
      </c>
      <c r="L49" s="5">
        <v>5</v>
      </c>
      <c r="M49" s="5">
        <v>31</v>
      </c>
      <c r="N49" s="5">
        <v>31</v>
      </c>
      <c r="O49" s="5">
        <v>0</v>
      </c>
      <c r="P49" s="5">
        <v>31</v>
      </c>
      <c r="Q49" s="5">
        <v>2</v>
      </c>
      <c r="R49" s="5">
        <v>0</v>
      </c>
      <c r="S49" s="5">
        <v>0</v>
      </c>
      <c r="T49" s="5">
        <v>0</v>
      </c>
      <c r="U49" s="5">
        <v>0</v>
      </c>
    </row>
    <row r="50" spans="1:21" x14ac:dyDescent="0.25">
      <c r="A50">
        <f t="shared" si="4"/>
        <v>2025</v>
      </c>
      <c r="B50">
        <f t="shared" si="5"/>
        <v>5</v>
      </c>
      <c r="C50">
        <f t="shared" si="6"/>
        <v>3</v>
      </c>
      <c r="D50">
        <f t="shared" si="7"/>
        <v>3</v>
      </c>
      <c r="E50">
        <f t="shared" si="8"/>
        <v>2</v>
      </c>
      <c r="F50" s="4">
        <v>45901</v>
      </c>
      <c r="G50" s="5">
        <v>3</v>
      </c>
      <c r="H50" s="5">
        <v>21</v>
      </c>
      <c r="I50" s="5">
        <v>0</v>
      </c>
      <c r="J50" s="5">
        <v>21</v>
      </c>
      <c r="K50" s="5">
        <v>16</v>
      </c>
      <c r="L50" s="5">
        <v>16</v>
      </c>
      <c r="M50" s="5">
        <v>0</v>
      </c>
      <c r="N50" s="5">
        <v>0</v>
      </c>
      <c r="O50" s="5">
        <v>0</v>
      </c>
      <c r="P50" s="5">
        <v>0</v>
      </c>
      <c r="Q50" s="5">
        <v>1</v>
      </c>
      <c r="R50" s="5">
        <v>0</v>
      </c>
      <c r="S50" s="5">
        <v>0</v>
      </c>
      <c r="T50" s="5">
        <v>0</v>
      </c>
      <c r="U50" s="5">
        <v>0</v>
      </c>
    </row>
    <row r="51" spans="1:21" x14ac:dyDescent="0.25">
      <c r="A51">
        <f t="shared" si="4"/>
        <v>2025</v>
      </c>
      <c r="B51">
        <f t="shared" si="5"/>
        <v>5</v>
      </c>
      <c r="C51">
        <f t="shared" si="6"/>
        <v>4</v>
      </c>
      <c r="D51">
        <f t="shared" si="7"/>
        <v>3</v>
      </c>
      <c r="E51">
        <f t="shared" si="8"/>
        <v>2</v>
      </c>
      <c r="F51" s="4">
        <v>45931</v>
      </c>
      <c r="G51" s="5">
        <v>0</v>
      </c>
      <c r="H51" s="5">
        <v>14</v>
      </c>
      <c r="I51" s="5">
        <v>2</v>
      </c>
      <c r="J51" s="5">
        <v>14</v>
      </c>
      <c r="K51" s="5">
        <v>10</v>
      </c>
      <c r="L51" s="5">
        <v>9</v>
      </c>
      <c r="M51" s="5">
        <v>41</v>
      </c>
      <c r="N51" s="5">
        <v>47</v>
      </c>
      <c r="O51" s="5">
        <v>6</v>
      </c>
      <c r="P51" s="5">
        <v>47</v>
      </c>
      <c r="Q51" s="5">
        <v>2</v>
      </c>
      <c r="R51" s="5">
        <v>0</v>
      </c>
      <c r="S51" s="5">
        <v>0</v>
      </c>
      <c r="T51" s="5">
        <v>0</v>
      </c>
      <c r="U51" s="5">
        <v>0</v>
      </c>
    </row>
    <row r="52" spans="1:21" x14ac:dyDescent="0.25">
      <c r="A52">
        <f t="shared" si="4"/>
        <v>2025</v>
      </c>
      <c r="B52">
        <f t="shared" si="5"/>
        <v>6</v>
      </c>
      <c r="C52">
        <f t="shared" si="6"/>
        <v>4</v>
      </c>
      <c r="D52">
        <f t="shared" si="7"/>
        <v>3</v>
      </c>
      <c r="E52">
        <f t="shared" si="8"/>
        <v>2</v>
      </c>
      <c r="F52" s="4">
        <v>45962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x14ac:dyDescent="0.25">
      <c r="A53">
        <f t="shared" si="4"/>
        <v>2025</v>
      </c>
      <c r="B53">
        <f t="shared" si="5"/>
        <v>6</v>
      </c>
      <c r="C53">
        <f t="shared" si="6"/>
        <v>4</v>
      </c>
      <c r="D53">
        <f t="shared" si="7"/>
        <v>3</v>
      </c>
      <c r="E53">
        <f t="shared" si="8"/>
        <v>2</v>
      </c>
      <c r="F53" s="4">
        <v>45992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x14ac:dyDescent="0.25">
      <c r="A54">
        <f t="shared" si="4"/>
        <v>2026</v>
      </c>
      <c r="B54">
        <f t="shared" si="5"/>
        <v>1</v>
      </c>
      <c r="C54">
        <f t="shared" si="6"/>
        <v>1</v>
      </c>
      <c r="D54">
        <f t="shared" si="7"/>
        <v>1</v>
      </c>
      <c r="E54">
        <f t="shared" si="8"/>
        <v>1</v>
      </c>
      <c r="F54" s="4">
        <v>46023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x14ac:dyDescent="0.25">
      <c r="A55">
        <f t="shared" si="4"/>
        <v>2026</v>
      </c>
      <c r="B55">
        <f t="shared" si="5"/>
        <v>1</v>
      </c>
      <c r="C55">
        <f t="shared" si="6"/>
        <v>1</v>
      </c>
      <c r="D55">
        <f t="shared" si="7"/>
        <v>1</v>
      </c>
      <c r="E55">
        <f t="shared" si="8"/>
        <v>1</v>
      </c>
      <c r="F55" s="4">
        <v>46054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x14ac:dyDescent="0.25">
      <c r="A56">
        <f t="shared" si="4"/>
        <v>2026</v>
      </c>
      <c r="B56">
        <f t="shared" si="5"/>
        <v>2</v>
      </c>
      <c r="C56">
        <f t="shared" si="6"/>
        <v>1</v>
      </c>
      <c r="D56">
        <f t="shared" si="7"/>
        <v>1</v>
      </c>
      <c r="E56">
        <f t="shared" si="8"/>
        <v>1</v>
      </c>
      <c r="F56" s="4">
        <v>46082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x14ac:dyDescent="0.25">
      <c r="A57">
        <f t="shared" si="4"/>
        <v>2026</v>
      </c>
      <c r="B57">
        <f t="shared" si="5"/>
        <v>2</v>
      </c>
      <c r="C57">
        <f t="shared" si="6"/>
        <v>2</v>
      </c>
      <c r="D57">
        <f t="shared" si="7"/>
        <v>1</v>
      </c>
      <c r="E57">
        <f t="shared" si="8"/>
        <v>1</v>
      </c>
      <c r="F57" s="4">
        <v>46113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x14ac:dyDescent="0.25">
      <c r="A58">
        <f t="shared" si="4"/>
        <v>2026</v>
      </c>
      <c r="B58">
        <f t="shared" si="5"/>
        <v>3</v>
      </c>
      <c r="C58">
        <f t="shared" si="6"/>
        <v>2</v>
      </c>
      <c r="D58">
        <f t="shared" si="7"/>
        <v>2</v>
      </c>
      <c r="E58">
        <f t="shared" si="8"/>
        <v>1</v>
      </c>
      <c r="F58" s="4">
        <v>46143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x14ac:dyDescent="0.25">
      <c r="A59">
        <f t="shared" si="4"/>
        <v>2026</v>
      </c>
      <c r="B59">
        <f t="shared" si="5"/>
        <v>3</v>
      </c>
      <c r="C59">
        <f t="shared" si="6"/>
        <v>2</v>
      </c>
      <c r="D59">
        <f t="shared" si="7"/>
        <v>2</v>
      </c>
      <c r="E59">
        <f t="shared" si="8"/>
        <v>1</v>
      </c>
      <c r="F59" s="4">
        <v>46174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x14ac:dyDescent="0.25">
      <c r="A60">
        <f t="shared" si="4"/>
        <v>2026</v>
      </c>
      <c r="B60">
        <f t="shared" si="5"/>
        <v>4</v>
      </c>
      <c r="C60">
        <f t="shared" si="6"/>
        <v>3</v>
      </c>
      <c r="D60">
        <f t="shared" si="7"/>
        <v>2</v>
      </c>
      <c r="E60">
        <f t="shared" si="8"/>
        <v>2</v>
      </c>
      <c r="F60" s="4">
        <v>46204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x14ac:dyDescent="0.25">
      <c r="A61">
        <f t="shared" si="4"/>
        <v>2026</v>
      </c>
      <c r="B61">
        <f t="shared" si="5"/>
        <v>4</v>
      </c>
      <c r="C61">
        <f t="shared" si="6"/>
        <v>3</v>
      </c>
      <c r="D61">
        <f t="shared" si="7"/>
        <v>2</v>
      </c>
      <c r="E61">
        <f t="shared" si="8"/>
        <v>2</v>
      </c>
      <c r="F61" s="4">
        <v>46235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>
        <f t="shared" si="4"/>
        <v>2026</v>
      </c>
      <c r="B62">
        <f t="shared" si="5"/>
        <v>5</v>
      </c>
      <c r="C62">
        <f t="shared" si="6"/>
        <v>3</v>
      </c>
      <c r="D62">
        <f t="shared" si="7"/>
        <v>3</v>
      </c>
      <c r="E62">
        <f t="shared" si="8"/>
        <v>2</v>
      </c>
      <c r="F62" s="4">
        <v>46266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x14ac:dyDescent="0.25">
      <c r="A63">
        <f t="shared" si="4"/>
        <v>2026</v>
      </c>
      <c r="B63">
        <f t="shared" si="5"/>
        <v>5</v>
      </c>
      <c r="C63">
        <f t="shared" si="6"/>
        <v>4</v>
      </c>
      <c r="D63">
        <f t="shared" si="7"/>
        <v>3</v>
      </c>
      <c r="E63">
        <f t="shared" si="8"/>
        <v>2</v>
      </c>
      <c r="F63" s="4">
        <v>46296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x14ac:dyDescent="0.25">
      <c r="A64">
        <f t="shared" si="4"/>
        <v>2026</v>
      </c>
      <c r="B64">
        <f t="shared" si="5"/>
        <v>6</v>
      </c>
      <c r="C64">
        <f t="shared" si="6"/>
        <v>4</v>
      </c>
      <c r="D64">
        <f t="shared" si="7"/>
        <v>3</v>
      </c>
      <c r="E64">
        <f t="shared" si="8"/>
        <v>2</v>
      </c>
      <c r="F64" s="4">
        <v>46327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x14ac:dyDescent="0.25">
      <c r="A65">
        <f t="shared" si="4"/>
        <v>2026</v>
      </c>
      <c r="B65">
        <f t="shared" si="5"/>
        <v>6</v>
      </c>
      <c r="C65">
        <f t="shared" si="6"/>
        <v>4</v>
      </c>
      <c r="D65">
        <f t="shared" si="7"/>
        <v>3</v>
      </c>
      <c r="E65">
        <f t="shared" si="8"/>
        <v>2</v>
      </c>
      <c r="F65" s="4">
        <v>46357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</sheetData>
  <phoneticPr fontId="2" type="noConversion"/>
  <dataValidations count="16">
    <dataValidation allowBlank="1" showInputMessage="1" showErrorMessage="1" promptTitle="V01" prompt="Número de denúncias de assédio moral apuradas no período recebidas pelos diversos canais de denúncias da companhia." sqref="G5" xr:uid="{A22721F1-41BA-4F0C-83E6-C1A5CD26C813}"/>
    <dataValidation allowBlank="1" showInputMessage="1" showErrorMessage="1" promptTitle="Período" prompt="Mês de referencia de entrada do dado no sistema" sqref="F5" xr:uid="{949ADA48-F563-4EF6-8FA4-3A7899ECF844}"/>
    <dataValidation allowBlank="1" showInputMessage="1" showErrorMessage="1" promptTitle="V02" prompt="Número total de denúncias no período de referência recebidas nos diversos canais disponíveis na companhia." sqref="H5" xr:uid="{D2399114-DB65-469F-B007-A4BDBBDAA251}"/>
    <dataValidation allowBlank="1" showInputMessage="1" showErrorMessage="1" promptTitle="V03" prompt="Número de denúncias de assédio sexual apuradas no período recebidas pelos diversos canais de denúncias da companhia." sqref="I5" xr:uid="{07D934D3-05B0-49A5-9A97-58CD7852383A}"/>
    <dataValidation allowBlank="1" showInputMessage="1" showErrorMessage="1" promptTitle="V04" prompt="Número de denúncias apuradas e tratadas no âmbito da PRFI e CECC (Investigação Preliminar)" sqref="J5" xr:uid="{473A0D6E-DF8B-4DA4-9433-EFAEAFD9E6C8}"/>
    <dataValidation allowBlank="1" showInputMessage="1" showErrorMessage="1" promptTitle="V05" prompt="Quantidade de contratos vigentes que tiveram a documentação enviada à CGDF para análise e certificação" sqref="K5" xr:uid="{AA944B47-C8A1-4CD8-9FB5-AD95684BED1E}"/>
    <dataValidation allowBlank="1" showInputMessage="1" showErrorMessage="1" promptTitle="V06" prompt="Quantidade de contratos vigentes que se enquadram nas exigências da Lei nº 6.112/2018" sqref="L5" xr:uid="{D3DC1A6C-4B2F-47BB-8CAB-BB0FAC8EEED6}"/>
    <dataValidation allowBlank="1" showInputMessage="1" showErrorMessage="1" promptTitle="V07" prompt="Quantidade de empregados e membros dos órgãos estatutários treinados em Programa de Integridade da Caesb" sqref="M5" xr:uid="{EFD38E2B-A0C0-43E6-B64D-B98C694C2176}"/>
    <dataValidation allowBlank="1" showInputMessage="1" showErrorMessage="1" promptTitle="V08" prompt="Quantidade total de empregados e membros dos órgãos estatutários." sqref="N5" xr:uid="{A417C375-9C85-4E1B-9F33-5AFFB3C4E249}"/>
    <dataValidation allowBlank="1" showInputMessage="1" showErrorMessage="1" promptTitle="V09" prompt="Número de empregados que não compareceram ou não concluíram o treinamento em Compliance (Programa de Integridade)" sqref="O5" xr:uid="{308268B5-2D81-4B7D-A436-B85597745868}"/>
    <dataValidation allowBlank="1" showInputMessage="1" showErrorMessage="1" promptTitle="V10" prompt="Quantidade total de vagas ofertadas pela ECO para o Treinamento em Compliance" sqref="P5" xr:uid="{3D473128-7BD9-41C7-837A-127A9EBD3F83}"/>
    <dataValidation allowBlank="1" showInputMessage="1" showErrorMessage="1" promptTitle="V11" prompt="Número de denúncias de nepotismo recebidas no âmbito da PRFI através dos diversos canais de denúncias da Caesb" sqref="Q5" xr:uid="{E9917C8D-4F0D-4C13-81A5-413BCABA254B}"/>
    <dataValidation allowBlank="1" showInputMessage="1" showErrorMessage="1" promptTitle="V13" prompt="Número de denúncias consideradas procedentes (denúncias com indicativo de TAC, PAD, TCE, Mediação de Conflitos, Apuração Ética)" sqref="S5" xr:uid="{04211F29-F172-44F3-849B-25EAB914F0D3}"/>
    <dataValidation allowBlank="1" showInputMessage="1" showErrorMessage="1" promptTitle="V12" prompt="Número de denúncias de conflito de interesse recebidas no âmbito da PRFI através dos diversos canais de denúncias da Caesb" sqref="R5" xr:uid="{04970176-F764-4F73-8C06-428DCA351F99}"/>
    <dataValidation allowBlank="1" showInputMessage="1" showErrorMessage="1" promptTitle="V14" prompt="Número de denúncias procedentes enviadas para as Comissões de PAD, TCE, de Sindicância, e de Conduta e Integridade com aplicação de penalidade." sqref="T5" xr:uid="{FAC5A463-E8B4-478B-8FC7-9A29E160B13E}"/>
    <dataValidation allowBlank="1" showInputMessage="1" showErrorMessage="1" promptTitle="V15" prompt="Número de denúncias procedentes enviadas para as Comissões de PAD, TCE, de Sindicância, e de Conduta e Integridade durante o exercício." sqref="U5" xr:uid="{BBFEB05D-567E-4AEF-AFE3-41A45DE11BAF}"/>
  </dataValidations>
  <pageMargins left="0.511811024" right="0.511811024" top="0.78740157499999996" bottom="0.78740157499999996" header="0.31496062000000002" footer="0.31496062000000002"/>
  <ignoredErrors>
    <ignoredError sqref="G1:G4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670B-0FB1-4EEF-AB65-51699B2C4541}">
  <dimension ref="A1:Q96"/>
  <sheetViews>
    <sheetView tabSelected="1" zoomScale="161" zoomScaleNormal="161" workbookViewId="0">
      <selection activeCell="K3" sqref="K3"/>
    </sheetView>
  </sheetViews>
  <sheetFormatPr defaultColWidth="0" defaultRowHeight="15" x14ac:dyDescent="0.25"/>
  <cols>
    <col min="1" max="1" width="13.85546875" style="2" bestFit="1" customWidth="1"/>
    <col min="2" max="3" width="10.7109375" customWidth="1"/>
    <col min="4" max="17" width="9.140625" customWidth="1"/>
    <col min="18" max="16384" width="9.140625" hidden="1"/>
  </cols>
  <sheetData>
    <row r="1" spans="1:17" x14ac:dyDescent="0.25">
      <c r="A1" s="7" t="s">
        <v>0</v>
      </c>
      <c r="B1" s="9">
        <f>AVERAGE(B9:B1048576)</f>
        <v>3.9210526315789473</v>
      </c>
      <c r="C1" s="9">
        <f>AVERAGE(C9:C1048576)</f>
        <v>4.6052631578947366E-2</v>
      </c>
      <c r="I1" s="7" t="s">
        <v>25</v>
      </c>
      <c r="J1" s="16" t="str">
        <f>IF(LME="","",LME)</f>
        <v/>
      </c>
    </row>
    <row r="2" spans="1:17" x14ac:dyDescent="0.25">
      <c r="A2" s="7" t="s">
        <v>1</v>
      </c>
      <c r="B2" s="9">
        <f>_xlfn.STDEV.S(B9:B1048576)</f>
        <v>2.4646865811094516</v>
      </c>
      <c r="C2" s="9">
        <f>_xlfn.STDEV.S(C9:C1048576)</f>
        <v>0.34804115533036961</v>
      </c>
      <c r="I2" s="7" t="s">
        <v>26</v>
      </c>
      <c r="J2" s="16" t="str">
        <f>IF(VME="","",VME/3)</f>
        <v/>
      </c>
    </row>
    <row r="3" spans="1:17" x14ac:dyDescent="0.25">
      <c r="A3" s="7" t="s">
        <v>2</v>
      </c>
      <c r="B3" s="9">
        <f>MAX(B9:B1048576)</f>
        <v>9</v>
      </c>
      <c r="C3" s="9">
        <f>MAX(C9:C1048576)</f>
        <v>0.75</v>
      </c>
    </row>
    <row r="4" spans="1:17" x14ac:dyDescent="0.25">
      <c r="A4" s="7" t="s">
        <v>3</v>
      </c>
      <c r="B4" s="9">
        <f>MIN(B9:B1048576)</f>
        <v>0</v>
      </c>
      <c r="C4" s="9">
        <f>MIN(C9:C1048576)</f>
        <v>-0.75</v>
      </c>
    </row>
    <row r="5" spans="1:17" x14ac:dyDescent="0.25">
      <c r="A5" s="22" t="s">
        <v>27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>
        <v>44805</v>
      </c>
      <c r="B9" s="5">
        <f>IF('Catalogo de Variaveis'!G14="","",SUM('Catalogo de Variaveis'!G11:G14))</f>
        <v>1</v>
      </c>
      <c r="C9" s="15">
        <f>IFERROR(IF($B9="","",AVERAGE('Catalogo de Variaveis'!G14-'Catalogo de Variaveis'!G13,'Catalogo de Variaveis'!G13-'Catalogo de Variaveis'!G12,'Catalogo de Variaveis'!G12-'Catalogo de Variaveis'!G11,'Catalogo de Variaveis'!G11-'Catalogo de Variaveis'!G10)),0)</f>
        <v>0.25</v>
      </c>
      <c r="D9" s="13">
        <f t="shared" ref="D9:D59" si="0">IF($B9="","",IF(OR($J$1="",$J$2=""),$B$1-3*$B$2,$J$1-3*$J$2))</f>
        <v>-3.4730071117494075</v>
      </c>
      <c r="E9" s="10">
        <f t="shared" ref="E9:E29" si="1">IF($B9="","",IF(OR($J$1="",$J$2=""),$B$1-2*$B$2,$J$1-2*$J$2))</f>
        <v>-1.0083205306399559</v>
      </c>
      <c r="F9" s="10">
        <f t="shared" ref="F9:F29" si="2">IF($B9="","",IF(OR($J$1="",$J$2=""),$B$1-$B$2,$J$1-$J$2))</f>
        <v>1.4563660504694957</v>
      </c>
      <c r="G9" s="10">
        <f t="shared" ref="G9:G59" si="3">IF($B9="","",IF(OR($J$1="",$J$2=""),$B$1,$J$1))</f>
        <v>3.9210526315789473</v>
      </c>
      <c r="H9" s="10">
        <f t="shared" ref="H9:H29" si="4">IF($B9="","",IF(OR($J$1="",$J$2=""),$B$1+$B$2,$J$1+$J$2))</f>
        <v>6.3857392126883994</v>
      </c>
      <c r="I9" s="10">
        <f t="shared" ref="I9:I59" si="5">IF($B9="","",IF(OR($J$1="",$J$2=""),$B$1+2*$B$2,$J$1+2*$J$2))</f>
        <v>8.8504257937978501</v>
      </c>
      <c r="J9" s="14">
        <f t="shared" ref="J9:J29" si="6">IF($B9="","",IF(OR($J$1="",$J$2=""),$B$1+3*$B$2,$J$1+3*$J$2))</f>
        <v>11.315112374907303</v>
      </c>
      <c r="K9" s="13">
        <f t="shared" ref="K9:K72" si="7">IF($B9="","",$C$1-3*$C$2)</f>
        <v>-0.99807083441216138</v>
      </c>
      <c r="L9" s="10">
        <f t="shared" ref="L9:L72" si="8">IF($B9="","",$C$1-2*$C$2)</f>
        <v>-0.65002967908179188</v>
      </c>
      <c r="M9" s="10">
        <f t="shared" ref="M9:M72" si="9">IF($B9="","",$C$1-$C$2)</f>
        <v>-0.30198852375142227</v>
      </c>
      <c r="N9" s="10">
        <f t="shared" ref="N9:N72" si="10">IF($B9="","",$C$1)</f>
        <v>4.6052631578947366E-2</v>
      </c>
      <c r="O9" s="10">
        <f t="shared" ref="O9:O72" si="11">IF($B9="","",$C$1+1*$C$2)</f>
        <v>0.39409378690931696</v>
      </c>
      <c r="P9" s="10">
        <f t="shared" ref="P9:P72" si="12">IF($B9="","",$C$1+2*$C$2)</f>
        <v>0.74213494223968657</v>
      </c>
      <c r="Q9" s="14">
        <f t="shared" ref="Q9:Q72" si="13">IF($B9="","",$C$1+3*$C$2)</f>
        <v>1.0901760975700561</v>
      </c>
    </row>
    <row r="10" spans="1:17" x14ac:dyDescent="0.25">
      <c r="A10" s="4">
        <v>44835</v>
      </c>
      <c r="B10" s="5">
        <f>IF('Catalogo de Variaveis'!G15="","",SUM('Catalogo de Variaveis'!G12:G15))</f>
        <v>1</v>
      </c>
      <c r="C10" s="15">
        <f>IFERROR(IF($B10="","",AVERAGE('Catalogo de Variaveis'!G15-'Catalogo de Variaveis'!G14,'Catalogo de Variaveis'!G14-'Catalogo de Variaveis'!G13,'Catalogo de Variaveis'!G13-'Catalogo de Variaveis'!G12,'Catalogo de Variaveis'!G12-'Catalogo de Variaveis'!G11)),0)</f>
        <v>0</v>
      </c>
      <c r="D10" s="13">
        <f t="shared" si="0"/>
        <v>-3.4730071117494075</v>
      </c>
      <c r="E10" s="10">
        <f t="shared" si="1"/>
        <v>-1.0083205306399559</v>
      </c>
      <c r="F10" s="10">
        <f t="shared" si="2"/>
        <v>1.4563660504694957</v>
      </c>
      <c r="G10" s="10">
        <f t="shared" si="3"/>
        <v>3.9210526315789473</v>
      </c>
      <c r="H10" s="10">
        <f t="shared" si="4"/>
        <v>6.3857392126883994</v>
      </c>
      <c r="I10" s="10">
        <f t="shared" si="5"/>
        <v>8.8504257937978501</v>
      </c>
      <c r="J10" s="14">
        <f t="shared" si="6"/>
        <v>11.315112374907303</v>
      </c>
      <c r="K10" s="13">
        <f t="shared" si="7"/>
        <v>-0.99807083441216138</v>
      </c>
      <c r="L10" s="10">
        <f t="shared" si="8"/>
        <v>-0.65002967908179188</v>
      </c>
      <c r="M10" s="10">
        <f t="shared" si="9"/>
        <v>-0.30198852375142227</v>
      </c>
      <c r="N10" s="10">
        <f t="shared" si="10"/>
        <v>4.6052631578947366E-2</v>
      </c>
      <c r="O10" s="10">
        <f t="shared" si="11"/>
        <v>0.39409378690931696</v>
      </c>
      <c r="P10" s="10">
        <f t="shared" si="12"/>
        <v>0.74213494223968657</v>
      </c>
      <c r="Q10" s="14">
        <f t="shared" si="13"/>
        <v>1.0901760975700561</v>
      </c>
    </row>
    <row r="11" spans="1:17" x14ac:dyDescent="0.25">
      <c r="A11" s="4">
        <v>44866</v>
      </c>
      <c r="B11" s="5">
        <f>IF('Catalogo de Variaveis'!G16="","",SUM('Catalogo de Variaveis'!G13:G16))</f>
        <v>1</v>
      </c>
      <c r="C11" s="15">
        <f>IFERROR(IF($B11="","",AVERAGE('Catalogo de Variaveis'!G16-'Catalogo de Variaveis'!G15,'Catalogo de Variaveis'!G15-'Catalogo de Variaveis'!G14,'Catalogo de Variaveis'!G14-'Catalogo de Variaveis'!G13,'Catalogo de Variaveis'!G13-'Catalogo de Variaveis'!G12)),0)</f>
        <v>0</v>
      </c>
      <c r="D11" s="13">
        <f t="shared" si="0"/>
        <v>-3.4730071117494075</v>
      </c>
      <c r="E11" s="10">
        <f t="shared" si="1"/>
        <v>-1.0083205306399559</v>
      </c>
      <c r="F11" s="10">
        <f t="shared" si="2"/>
        <v>1.4563660504694957</v>
      </c>
      <c r="G11" s="10">
        <f t="shared" si="3"/>
        <v>3.9210526315789473</v>
      </c>
      <c r="H11" s="10">
        <f t="shared" si="4"/>
        <v>6.3857392126883994</v>
      </c>
      <c r="I11" s="10">
        <f t="shared" si="5"/>
        <v>8.8504257937978501</v>
      </c>
      <c r="J11" s="14">
        <f t="shared" si="6"/>
        <v>11.315112374907303</v>
      </c>
      <c r="K11" s="13">
        <f t="shared" si="7"/>
        <v>-0.99807083441216138</v>
      </c>
      <c r="L11" s="10">
        <f t="shared" si="8"/>
        <v>-0.65002967908179188</v>
      </c>
      <c r="M11" s="10">
        <f t="shared" si="9"/>
        <v>-0.30198852375142227</v>
      </c>
      <c r="N11" s="10">
        <f t="shared" si="10"/>
        <v>4.6052631578947366E-2</v>
      </c>
      <c r="O11" s="10">
        <f t="shared" si="11"/>
        <v>0.39409378690931696</v>
      </c>
      <c r="P11" s="10">
        <f t="shared" si="12"/>
        <v>0.74213494223968657</v>
      </c>
      <c r="Q11" s="14">
        <f t="shared" si="13"/>
        <v>1.0901760975700561</v>
      </c>
    </row>
    <row r="12" spans="1:17" x14ac:dyDescent="0.25">
      <c r="A12" s="4">
        <v>44896</v>
      </c>
      <c r="B12" s="5">
        <f>IF('Catalogo de Variaveis'!G17="","",SUM('Catalogo de Variaveis'!G14:G17))</f>
        <v>1</v>
      </c>
      <c r="C12" s="15">
        <f>IFERROR(IF($B12="","",AVERAGE('Catalogo de Variaveis'!G17-'Catalogo de Variaveis'!G16,'Catalogo de Variaveis'!G16-'Catalogo de Variaveis'!G15,'Catalogo de Variaveis'!G15-'Catalogo de Variaveis'!G14,'Catalogo de Variaveis'!G14-'Catalogo de Variaveis'!G13)),0)</f>
        <v>0</v>
      </c>
      <c r="D12" s="13">
        <f t="shared" si="0"/>
        <v>-3.4730071117494075</v>
      </c>
      <c r="E12" s="10">
        <f t="shared" si="1"/>
        <v>-1.0083205306399559</v>
      </c>
      <c r="F12" s="10">
        <f t="shared" si="2"/>
        <v>1.4563660504694957</v>
      </c>
      <c r="G12" s="10">
        <f t="shared" si="3"/>
        <v>3.9210526315789473</v>
      </c>
      <c r="H12" s="10">
        <f t="shared" si="4"/>
        <v>6.3857392126883994</v>
      </c>
      <c r="I12" s="10">
        <f t="shared" si="5"/>
        <v>8.8504257937978501</v>
      </c>
      <c r="J12" s="14">
        <f t="shared" si="6"/>
        <v>11.315112374907303</v>
      </c>
      <c r="K12" s="13">
        <f t="shared" si="7"/>
        <v>-0.99807083441216138</v>
      </c>
      <c r="L12" s="10">
        <f t="shared" si="8"/>
        <v>-0.65002967908179188</v>
      </c>
      <c r="M12" s="10">
        <f t="shared" si="9"/>
        <v>-0.30198852375142227</v>
      </c>
      <c r="N12" s="10">
        <f t="shared" si="10"/>
        <v>4.6052631578947366E-2</v>
      </c>
      <c r="O12" s="10">
        <f t="shared" si="11"/>
        <v>0.39409378690931696</v>
      </c>
      <c r="P12" s="10">
        <f t="shared" si="12"/>
        <v>0.74213494223968657</v>
      </c>
      <c r="Q12" s="14">
        <f t="shared" si="13"/>
        <v>1.0901760975700561</v>
      </c>
    </row>
    <row r="13" spans="1:17" x14ac:dyDescent="0.25">
      <c r="A13" s="4">
        <v>44927</v>
      </c>
      <c r="B13" s="5">
        <f>IF('Catalogo de Variaveis'!G18="","",SUM('Catalogo de Variaveis'!G15:G18))</f>
        <v>0</v>
      </c>
      <c r="C13" s="15">
        <f>IFERROR(IF($B13="","",AVERAGE('Catalogo de Variaveis'!G18-'Catalogo de Variaveis'!G17,'Catalogo de Variaveis'!G17-'Catalogo de Variaveis'!G16,'Catalogo de Variaveis'!G16-'Catalogo de Variaveis'!G15,'Catalogo de Variaveis'!G15-'Catalogo de Variaveis'!G14)),0)</f>
        <v>-0.25</v>
      </c>
      <c r="D13" s="13">
        <f t="shared" si="0"/>
        <v>-3.4730071117494075</v>
      </c>
      <c r="E13" s="10">
        <f t="shared" si="1"/>
        <v>-1.0083205306399559</v>
      </c>
      <c r="F13" s="10">
        <f t="shared" si="2"/>
        <v>1.4563660504694957</v>
      </c>
      <c r="G13" s="10">
        <f t="shared" si="3"/>
        <v>3.9210526315789473</v>
      </c>
      <c r="H13" s="10">
        <f t="shared" si="4"/>
        <v>6.3857392126883994</v>
      </c>
      <c r="I13" s="10">
        <f t="shared" si="5"/>
        <v>8.8504257937978501</v>
      </c>
      <c r="J13" s="14">
        <f t="shared" si="6"/>
        <v>11.315112374907303</v>
      </c>
      <c r="K13" s="13">
        <f t="shared" si="7"/>
        <v>-0.99807083441216138</v>
      </c>
      <c r="L13" s="10">
        <f t="shared" si="8"/>
        <v>-0.65002967908179188</v>
      </c>
      <c r="M13" s="10">
        <f t="shared" si="9"/>
        <v>-0.30198852375142227</v>
      </c>
      <c r="N13" s="10">
        <f t="shared" si="10"/>
        <v>4.6052631578947366E-2</v>
      </c>
      <c r="O13" s="10">
        <f t="shared" si="11"/>
        <v>0.39409378690931696</v>
      </c>
      <c r="P13" s="10">
        <f t="shared" si="12"/>
        <v>0.74213494223968657</v>
      </c>
      <c r="Q13" s="14">
        <f t="shared" si="13"/>
        <v>1.0901760975700561</v>
      </c>
    </row>
    <row r="14" spans="1:17" x14ac:dyDescent="0.25">
      <c r="A14" s="4">
        <v>44958</v>
      </c>
      <c r="B14" s="5">
        <f>IF('Catalogo de Variaveis'!G19="","",SUM('Catalogo de Variaveis'!G16:G19))</f>
        <v>2</v>
      </c>
      <c r="C14" s="15">
        <f>IFERROR(IF($B14="","",AVERAGE('Catalogo de Variaveis'!G19-'Catalogo de Variaveis'!G18,'Catalogo de Variaveis'!G18-'Catalogo de Variaveis'!G17,'Catalogo de Variaveis'!G17-'Catalogo de Variaveis'!G16,'Catalogo de Variaveis'!G16-'Catalogo de Variaveis'!G15)),0)</f>
        <v>0.5</v>
      </c>
      <c r="D14" s="13">
        <f t="shared" si="0"/>
        <v>-3.4730071117494075</v>
      </c>
      <c r="E14" s="10">
        <f t="shared" si="1"/>
        <v>-1.0083205306399559</v>
      </c>
      <c r="F14" s="10">
        <f t="shared" si="2"/>
        <v>1.4563660504694957</v>
      </c>
      <c r="G14" s="10">
        <f t="shared" si="3"/>
        <v>3.9210526315789473</v>
      </c>
      <c r="H14" s="10">
        <f t="shared" si="4"/>
        <v>6.3857392126883994</v>
      </c>
      <c r="I14" s="10">
        <f t="shared" si="5"/>
        <v>8.8504257937978501</v>
      </c>
      <c r="J14" s="14">
        <f t="shared" si="6"/>
        <v>11.315112374907303</v>
      </c>
      <c r="K14" s="13">
        <f t="shared" si="7"/>
        <v>-0.99807083441216138</v>
      </c>
      <c r="L14" s="10">
        <f t="shared" si="8"/>
        <v>-0.65002967908179188</v>
      </c>
      <c r="M14" s="10">
        <f t="shared" si="9"/>
        <v>-0.30198852375142227</v>
      </c>
      <c r="N14" s="10">
        <f t="shared" si="10"/>
        <v>4.6052631578947366E-2</v>
      </c>
      <c r="O14" s="10">
        <f t="shared" si="11"/>
        <v>0.39409378690931696</v>
      </c>
      <c r="P14" s="10">
        <f t="shared" si="12"/>
        <v>0.74213494223968657</v>
      </c>
      <c r="Q14" s="14">
        <f t="shared" si="13"/>
        <v>1.0901760975700561</v>
      </c>
    </row>
    <row r="15" spans="1:17" x14ac:dyDescent="0.25">
      <c r="A15" s="4">
        <v>44986</v>
      </c>
      <c r="B15" s="5">
        <f>IF('Catalogo de Variaveis'!G20="","",SUM('Catalogo de Variaveis'!G17:G20))</f>
        <v>2</v>
      </c>
      <c r="C15" s="15">
        <f>IFERROR(IF($B15="","",AVERAGE('Catalogo de Variaveis'!G20-'Catalogo de Variaveis'!G19,'Catalogo de Variaveis'!G19-'Catalogo de Variaveis'!G18,'Catalogo de Variaveis'!G18-'Catalogo de Variaveis'!G17,'Catalogo de Variaveis'!G17-'Catalogo de Variaveis'!G16)),0)</f>
        <v>0</v>
      </c>
      <c r="D15" s="13">
        <f t="shared" si="0"/>
        <v>-3.4730071117494075</v>
      </c>
      <c r="E15" s="10">
        <f t="shared" si="1"/>
        <v>-1.0083205306399559</v>
      </c>
      <c r="F15" s="10">
        <f t="shared" si="2"/>
        <v>1.4563660504694957</v>
      </c>
      <c r="G15" s="10">
        <f t="shared" si="3"/>
        <v>3.9210526315789473</v>
      </c>
      <c r="H15" s="10">
        <f t="shared" si="4"/>
        <v>6.3857392126883994</v>
      </c>
      <c r="I15" s="10">
        <f t="shared" si="5"/>
        <v>8.8504257937978501</v>
      </c>
      <c r="J15" s="14">
        <f t="shared" si="6"/>
        <v>11.315112374907303</v>
      </c>
      <c r="K15" s="13">
        <f t="shared" si="7"/>
        <v>-0.99807083441216138</v>
      </c>
      <c r="L15" s="10">
        <f t="shared" si="8"/>
        <v>-0.65002967908179188</v>
      </c>
      <c r="M15" s="10">
        <f t="shared" si="9"/>
        <v>-0.30198852375142227</v>
      </c>
      <c r="N15" s="10">
        <f t="shared" si="10"/>
        <v>4.6052631578947366E-2</v>
      </c>
      <c r="O15" s="10">
        <f t="shared" si="11"/>
        <v>0.39409378690931696</v>
      </c>
      <c r="P15" s="10">
        <f t="shared" si="12"/>
        <v>0.74213494223968657</v>
      </c>
      <c r="Q15" s="14">
        <f t="shared" si="13"/>
        <v>1.0901760975700561</v>
      </c>
    </row>
    <row r="16" spans="1:17" x14ac:dyDescent="0.25">
      <c r="A16" s="4">
        <v>45017</v>
      </c>
      <c r="B16" s="5">
        <f>IF('Catalogo de Variaveis'!G21="","",SUM('Catalogo de Variaveis'!G18:G21))</f>
        <v>2</v>
      </c>
      <c r="C16" s="15">
        <f>IFERROR(IF($B16="","",AVERAGE('Catalogo de Variaveis'!G21-'Catalogo de Variaveis'!G20,'Catalogo de Variaveis'!G20-'Catalogo de Variaveis'!G19,'Catalogo de Variaveis'!G19-'Catalogo de Variaveis'!G18,'Catalogo de Variaveis'!G18-'Catalogo de Variaveis'!G17)),0)</f>
        <v>0</v>
      </c>
      <c r="D16" s="13">
        <f t="shared" si="0"/>
        <v>-3.4730071117494075</v>
      </c>
      <c r="E16" s="10">
        <f t="shared" si="1"/>
        <v>-1.0083205306399559</v>
      </c>
      <c r="F16" s="10">
        <f t="shared" si="2"/>
        <v>1.4563660504694957</v>
      </c>
      <c r="G16" s="10">
        <f t="shared" si="3"/>
        <v>3.9210526315789473</v>
      </c>
      <c r="H16" s="10">
        <f t="shared" si="4"/>
        <v>6.3857392126883994</v>
      </c>
      <c r="I16" s="10">
        <f t="shared" si="5"/>
        <v>8.8504257937978501</v>
      </c>
      <c r="J16" s="14">
        <f t="shared" si="6"/>
        <v>11.315112374907303</v>
      </c>
      <c r="K16" s="13">
        <f t="shared" si="7"/>
        <v>-0.99807083441216138</v>
      </c>
      <c r="L16" s="10">
        <f t="shared" si="8"/>
        <v>-0.65002967908179188</v>
      </c>
      <c r="M16" s="10">
        <f t="shared" si="9"/>
        <v>-0.30198852375142227</v>
      </c>
      <c r="N16" s="10">
        <f t="shared" si="10"/>
        <v>4.6052631578947366E-2</v>
      </c>
      <c r="O16" s="10">
        <f t="shared" si="11"/>
        <v>0.39409378690931696</v>
      </c>
      <c r="P16" s="10">
        <f t="shared" si="12"/>
        <v>0.74213494223968657</v>
      </c>
      <c r="Q16" s="14">
        <f t="shared" si="13"/>
        <v>1.0901760975700561</v>
      </c>
    </row>
    <row r="17" spans="1:17" x14ac:dyDescent="0.25">
      <c r="A17" s="4">
        <v>45047</v>
      </c>
      <c r="B17" s="5">
        <f>IF('Catalogo de Variaveis'!G22="","",SUM('Catalogo de Variaveis'!G19:G22))</f>
        <v>2</v>
      </c>
      <c r="C17" s="15">
        <f>IFERROR(IF($B17="","",AVERAGE('Catalogo de Variaveis'!G22-'Catalogo de Variaveis'!G21,'Catalogo de Variaveis'!G21-'Catalogo de Variaveis'!G20,'Catalogo de Variaveis'!G20-'Catalogo de Variaveis'!G19,'Catalogo de Variaveis'!G19-'Catalogo de Variaveis'!G18)),0)</f>
        <v>0</v>
      </c>
      <c r="D17" s="13">
        <f t="shared" si="0"/>
        <v>-3.4730071117494075</v>
      </c>
      <c r="E17" s="10">
        <f t="shared" si="1"/>
        <v>-1.0083205306399559</v>
      </c>
      <c r="F17" s="10">
        <f t="shared" si="2"/>
        <v>1.4563660504694957</v>
      </c>
      <c r="G17" s="10">
        <f t="shared" si="3"/>
        <v>3.9210526315789473</v>
      </c>
      <c r="H17" s="10">
        <f t="shared" si="4"/>
        <v>6.3857392126883994</v>
      </c>
      <c r="I17" s="10">
        <f t="shared" si="5"/>
        <v>8.8504257937978501</v>
      </c>
      <c r="J17" s="14">
        <f t="shared" si="6"/>
        <v>11.315112374907303</v>
      </c>
      <c r="K17" s="13">
        <f t="shared" si="7"/>
        <v>-0.99807083441216138</v>
      </c>
      <c r="L17" s="10">
        <f t="shared" si="8"/>
        <v>-0.65002967908179188</v>
      </c>
      <c r="M17" s="10">
        <f t="shared" si="9"/>
        <v>-0.30198852375142227</v>
      </c>
      <c r="N17" s="10">
        <f t="shared" si="10"/>
        <v>4.6052631578947366E-2</v>
      </c>
      <c r="O17" s="10">
        <f t="shared" si="11"/>
        <v>0.39409378690931696</v>
      </c>
      <c r="P17" s="10">
        <f t="shared" si="12"/>
        <v>0.74213494223968657</v>
      </c>
      <c r="Q17" s="14">
        <f t="shared" si="13"/>
        <v>1.0901760975700561</v>
      </c>
    </row>
    <row r="18" spans="1:17" x14ac:dyDescent="0.25">
      <c r="A18" s="4">
        <v>45078</v>
      </c>
      <c r="B18" s="5">
        <f>IF('Catalogo de Variaveis'!G23="","",SUM('Catalogo de Variaveis'!G20:G23))</f>
        <v>1</v>
      </c>
      <c r="C18" s="15">
        <f>IFERROR(IF($B18="","",AVERAGE('Catalogo de Variaveis'!G23-'Catalogo de Variaveis'!G22,'Catalogo de Variaveis'!G22-'Catalogo de Variaveis'!G21,'Catalogo de Variaveis'!G21-'Catalogo de Variaveis'!G20,'Catalogo de Variaveis'!G20-'Catalogo de Variaveis'!G19)),0)</f>
        <v>-0.25</v>
      </c>
      <c r="D18" s="13">
        <f t="shared" si="0"/>
        <v>-3.4730071117494075</v>
      </c>
      <c r="E18" s="10">
        <f t="shared" si="1"/>
        <v>-1.0083205306399559</v>
      </c>
      <c r="F18" s="10">
        <f t="shared" si="2"/>
        <v>1.4563660504694957</v>
      </c>
      <c r="G18" s="10">
        <f t="shared" si="3"/>
        <v>3.9210526315789473</v>
      </c>
      <c r="H18" s="10">
        <f t="shared" si="4"/>
        <v>6.3857392126883994</v>
      </c>
      <c r="I18" s="10">
        <f t="shared" si="5"/>
        <v>8.8504257937978501</v>
      </c>
      <c r="J18" s="14">
        <f t="shared" si="6"/>
        <v>11.315112374907303</v>
      </c>
      <c r="K18" s="13">
        <f t="shared" si="7"/>
        <v>-0.99807083441216138</v>
      </c>
      <c r="L18" s="10">
        <f t="shared" si="8"/>
        <v>-0.65002967908179188</v>
      </c>
      <c r="M18" s="10">
        <f t="shared" si="9"/>
        <v>-0.30198852375142227</v>
      </c>
      <c r="N18" s="10">
        <f t="shared" si="10"/>
        <v>4.6052631578947366E-2</v>
      </c>
      <c r="O18" s="10">
        <f t="shared" si="11"/>
        <v>0.39409378690931696</v>
      </c>
      <c r="P18" s="10">
        <f t="shared" si="12"/>
        <v>0.74213494223968657</v>
      </c>
      <c r="Q18" s="14">
        <f t="shared" si="13"/>
        <v>1.0901760975700561</v>
      </c>
    </row>
    <row r="19" spans="1:17" x14ac:dyDescent="0.25">
      <c r="A19" s="4">
        <v>45108</v>
      </c>
      <c r="B19" s="5">
        <f>IF('Catalogo de Variaveis'!G24="","",SUM('Catalogo de Variaveis'!G21:G24))</f>
        <v>3</v>
      </c>
      <c r="C19" s="15">
        <f>IFERROR(IF($B19="","",AVERAGE('Catalogo de Variaveis'!G24-'Catalogo de Variaveis'!G23,'Catalogo de Variaveis'!G23-'Catalogo de Variaveis'!G22,'Catalogo de Variaveis'!G22-'Catalogo de Variaveis'!G21,'Catalogo de Variaveis'!G21-'Catalogo de Variaveis'!G20)),0)</f>
        <v>0.5</v>
      </c>
      <c r="D19" s="13">
        <f t="shared" si="0"/>
        <v>-3.4730071117494075</v>
      </c>
      <c r="E19" s="10">
        <f t="shared" si="1"/>
        <v>-1.0083205306399559</v>
      </c>
      <c r="F19" s="10">
        <f t="shared" si="2"/>
        <v>1.4563660504694957</v>
      </c>
      <c r="G19" s="10">
        <f t="shared" si="3"/>
        <v>3.9210526315789473</v>
      </c>
      <c r="H19" s="10">
        <f t="shared" si="4"/>
        <v>6.3857392126883994</v>
      </c>
      <c r="I19" s="10">
        <f t="shared" si="5"/>
        <v>8.8504257937978501</v>
      </c>
      <c r="J19" s="14">
        <f t="shared" si="6"/>
        <v>11.315112374907303</v>
      </c>
      <c r="K19" s="13">
        <f t="shared" si="7"/>
        <v>-0.99807083441216138</v>
      </c>
      <c r="L19" s="10">
        <f t="shared" si="8"/>
        <v>-0.65002967908179188</v>
      </c>
      <c r="M19" s="10">
        <f t="shared" si="9"/>
        <v>-0.30198852375142227</v>
      </c>
      <c r="N19" s="10">
        <f t="shared" si="10"/>
        <v>4.6052631578947366E-2</v>
      </c>
      <c r="O19" s="10">
        <f t="shared" si="11"/>
        <v>0.39409378690931696</v>
      </c>
      <c r="P19" s="10">
        <f t="shared" si="12"/>
        <v>0.74213494223968657</v>
      </c>
      <c r="Q19" s="14">
        <f t="shared" si="13"/>
        <v>1.0901760975700561</v>
      </c>
    </row>
    <row r="20" spans="1:17" x14ac:dyDescent="0.25">
      <c r="A20" s="4">
        <v>45139</v>
      </c>
      <c r="B20" s="5">
        <f>IF('Catalogo de Variaveis'!G25="","",SUM('Catalogo de Variaveis'!G22:G25))</f>
        <v>5</v>
      </c>
      <c r="C20" s="15">
        <f>IFERROR(IF($B20="","",AVERAGE('Catalogo de Variaveis'!G25-'Catalogo de Variaveis'!G24,'Catalogo de Variaveis'!G24-'Catalogo de Variaveis'!G23,'Catalogo de Variaveis'!G23-'Catalogo de Variaveis'!G22,'Catalogo de Variaveis'!G22-'Catalogo de Variaveis'!G21)),0)</f>
        <v>0.5</v>
      </c>
      <c r="D20" s="13">
        <f t="shared" si="0"/>
        <v>-3.4730071117494075</v>
      </c>
      <c r="E20" s="10">
        <f t="shared" si="1"/>
        <v>-1.0083205306399559</v>
      </c>
      <c r="F20" s="10">
        <f t="shared" si="2"/>
        <v>1.4563660504694957</v>
      </c>
      <c r="G20" s="10">
        <f t="shared" si="3"/>
        <v>3.9210526315789473</v>
      </c>
      <c r="H20" s="10">
        <f t="shared" si="4"/>
        <v>6.3857392126883994</v>
      </c>
      <c r="I20" s="10">
        <f t="shared" si="5"/>
        <v>8.8504257937978501</v>
      </c>
      <c r="J20" s="14">
        <f t="shared" si="6"/>
        <v>11.315112374907303</v>
      </c>
      <c r="K20" s="13">
        <f t="shared" si="7"/>
        <v>-0.99807083441216138</v>
      </c>
      <c r="L20" s="10">
        <f t="shared" si="8"/>
        <v>-0.65002967908179188</v>
      </c>
      <c r="M20" s="10">
        <f t="shared" si="9"/>
        <v>-0.30198852375142227</v>
      </c>
      <c r="N20" s="10">
        <f t="shared" si="10"/>
        <v>4.6052631578947366E-2</v>
      </c>
      <c r="O20" s="10">
        <f t="shared" si="11"/>
        <v>0.39409378690931696</v>
      </c>
      <c r="P20" s="10">
        <f t="shared" si="12"/>
        <v>0.74213494223968657</v>
      </c>
      <c r="Q20" s="14">
        <f t="shared" si="13"/>
        <v>1.0901760975700561</v>
      </c>
    </row>
    <row r="21" spans="1:17" x14ac:dyDescent="0.25">
      <c r="A21" s="4">
        <v>45170</v>
      </c>
      <c r="B21" s="5">
        <f>IF('Catalogo de Variaveis'!G26="","",SUM('Catalogo de Variaveis'!G23:G26))</f>
        <v>5</v>
      </c>
      <c r="C21" s="15">
        <f>IFERROR(IF($B21="","",AVERAGE('Catalogo de Variaveis'!G26-'Catalogo de Variaveis'!G25,'Catalogo de Variaveis'!G25-'Catalogo de Variaveis'!G24,'Catalogo de Variaveis'!G24-'Catalogo de Variaveis'!G23,'Catalogo de Variaveis'!G23-'Catalogo de Variaveis'!G22)),0)</f>
        <v>0</v>
      </c>
      <c r="D21" s="13">
        <f t="shared" si="0"/>
        <v>-3.4730071117494075</v>
      </c>
      <c r="E21" s="10">
        <f t="shared" si="1"/>
        <v>-1.0083205306399559</v>
      </c>
      <c r="F21" s="10">
        <f t="shared" si="2"/>
        <v>1.4563660504694957</v>
      </c>
      <c r="G21" s="10">
        <f t="shared" si="3"/>
        <v>3.9210526315789473</v>
      </c>
      <c r="H21" s="10">
        <f t="shared" si="4"/>
        <v>6.3857392126883994</v>
      </c>
      <c r="I21" s="10">
        <f t="shared" si="5"/>
        <v>8.8504257937978501</v>
      </c>
      <c r="J21" s="14">
        <f t="shared" si="6"/>
        <v>11.315112374907303</v>
      </c>
      <c r="K21" s="13">
        <f t="shared" si="7"/>
        <v>-0.99807083441216138</v>
      </c>
      <c r="L21" s="10">
        <f t="shared" si="8"/>
        <v>-0.65002967908179188</v>
      </c>
      <c r="M21" s="10">
        <f t="shared" si="9"/>
        <v>-0.30198852375142227</v>
      </c>
      <c r="N21" s="10">
        <f t="shared" si="10"/>
        <v>4.6052631578947366E-2</v>
      </c>
      <c r="O21" s="10">
        <f t="shared" si="11"/>
        <v>0.39409378690931696</v>
      </c>
      <c r="P21" s="10">
        <f t="shared" si="12"/>
        <v>0.74213494223968657</v>
      </c>
      <c r="Q21" s="14">
        <f t="shared" si="13"/>
        <v>1.0901760975700561</v>
      </c>
    </row>
    <row r="22" spans="1:17" x14ac:dyDescent="0.25">
      <c r="A22" s="4">
        <v>45200</v>
      </c>
      <c r="B22" s="5">
        <f>IF('Catalogo de Variaveis'!G27="","",SUM('Catalogo de Variaveis'!G24:G27))</f>
        <v>4</v>
      </c>
      <c r="C22" s="15">
        <f>IFERROR(IF($B22="","",AVERAGE('Catalogo de Variaveis'!G27-'Catalogo de Variaveis'!G26,'Catalogo de Variaveis'!G26-'Catalogo de Variaveis'!G25,'Catalogo de Variaveis'!G25-'Catalogo de Variaveis'!G24,'Catalogo de Variaveis'!G24-'Catalogo de Variaveis'!G23)),0)</f>
        <v>-0.25</v>
      </c>
      <c r="D22" s="13">
        <f t="shared" si="0"/>
        <v>-3.4730071117494075</v>
      </c>
      <c r="E22" s="10">
        <f t="shared" si="1"/>
        <v>-1.0083205306399559</v>
      </c>
      <c r="F22" s="10">
        <f t="shared" si="2"/>
        <v>1.4563660504694957</v>
      </c>
      <c r="G22" s="10">
        <f t="shared" si="3"/>
        <v>3.9210526315789473</v>
      </c>
      <c r="H22" s="10">
        <f t="shared" si="4"/>
        <v>6.3857392126883994</v>
      </c>
      <c r="I22" s="10">
        <f t="shared" si="5"/>
        <v>8.8504257937978501</v>
      </c>
      <c r="J22" s="14">
        <f t="shared" si="6"/>
        <v>11.315112374907303</v>
      </c>
      <c r="K22" s="13">
        <f t="shared" si="7"/>
        <v>-0.99807083441216138</v>
      </c>
      <c r="L22" s="10">
        <f t="shared" si="8"/>
        <v>-0.65002967908179188</v>
      </c>
      <c r="M22" s="10">
        <f t="shared" si="9"/>
        <v>-0.30198852375142227</v>
      </c>
      <c r="N22" s="10">
        <f t="shared" si="10"/>
        <v>4.6052631578947366E-2</v>
      </c>
      <c r="O22" s="10">
        <f t="shared" si="11"/>
        <v>0.39409378690931696</v>
      </c>
      <c r="P22" s="10">
        <f t="shared" si="12"/>
        <v>0.74213494223968657</v>
      </c>
      <c r="Q22" s="14">
        <f t="shared" si="13"/>
        <v>1.0901760975700561</v>
      </c>
    </row>
    <row r="23" spans="1:17" x14ac:dyDescent="0.25">
      <c r="A23" s="4">
        <v>45231</v>
      </c>
      <c r="B23" s="5">
        <f>IF('Catalogo de Variaveis'!G28="","",SUM('Catalogo de Variaveis'!G25:G28))</f>
        <v>2</v>
      </c>
      <c r="C23" s="15">
        <f>IFERROR(IF($B23="","",AVERAGE('Catalogo de Variaveis'!G28-'Catalogo de Variaveis'!G27,'Catalogo de Variaveis'!G27-'Catalogo de Variaveis'!G26,'Catalogo de Variaveis'!G26-'Catalogo de Variaveis'!G25,'Catalogo de Variaveis'!G25-'Catalogo de Variaveis'!G24)),0)</f>
        <v>-0.5</v>
      </c>
      <c r="D23" s="13">
        <f t="shared" si="0"/>
        <v>-3.4730071117494075</v>
      </c>
      <c r="E23" s="10">
        <f t="shared" si="1"/>
        <v>-1.0083205306399559</v>
      </c>
      <c r="F23" s="10">
        <f t="shared" si="2"/>
        <v>1.4563660504694957</v>
      </c>
      <c r="G23" s="10">
        <f t="shared" si="3"/>
        <v>3.9210526315789473</v>
      </c>
      <c r="H23" s="10">
        <f t="shared" si="4"/>
        <v>6.3857392126883994</v>
      </c>
      <c r="I23" s="10">
        <f t="shared" si="5"/>
        <v>8.8504257937978501</v>
      </c>
      <c r="J23" s="14">
        <f t="shared" si="6"/>
        <v>11.315112374907303</v>
      </c>
      <c r="K23" s="13">
        <f t="shared" si="7"/>
        <v>-0.99807083441216138</v>
      </c>
      <c r="L23" s="10">
        <f t="shared" si="8"/>
        <v>-0.65002967908179188</v>
      </c>
      <c r="M23" s="10">
        <f t="shared" si="9"/>
        <v>-0.30198852375142227</v>
      </c>
      <c r="N23" s="10">
        <f t="shared" si="10"/>
        <v>4.6052631578947366E-2</v>
      </c>
      <c r="O23" s="10">
        <f t="shared" si="11"/>
        <v>0.39409378690931696</v>
      </c>
      <c r="P23" s="10">
        <f t="shared" si="12"/>
        <v>0.74213494223968657</v>
      </c>
      <c r="Q23" s="14">
        <f t="shared" si="13"/>
        <v>1.0901760975700561</v>
      </c>
    </row>
    <row r="24" spans="1:17" x14ac:dyDescent="0.25">
      <c r="A24" s="4">
        <v>45261</v>
      </c>
      <c r="B24" s="5">
        <f>IF('Catalogo de Variaveis'!G29="","",SUM('Catalogo de Variaveis'!G26:G29))</f>
        <v>0</v>
      </c>
      <c r="C24" s="15">
        <f>IFERROR(IF($B24="","",AVERAGE('Catalogo de Variaveis'!G29-'Catalogo de Variaveis'!G28,'Catalogo de Variaveis'!G28-'Catalogo de Variaveis'!G27,'Catalogo de Variaveis'!G27-'Catalogo de Variaveis'!G26,'Catalogo de Variaveis'!G26-'Catalogo de Variaveis'!G25)),0)</f>
        <v>-0.5</v>
      </c>
      <c r="D24" s="13">
        <f t="shared" si="0"/>
        <v>-3.4730071117494075</v>
      </c>
      <c r="E24" s="10">
        <f t="shared" si="1"/>
        <v>-1.0083205306399559</v>
      </c>
      <c r="F24" s="10">
        <f t="shared" si="2"/>
        <v>1.4563660504694957</v>
      </c>
      <c r="G24" s="10">
        <f t="shared" si="3"/>
        <v>3.9210526315789473</v>
      </c>
      <c r="H24" s="10">
        <f t="shared" si="4"/>
        <v>6.3857392126883994</v>
      </c>
      <c r="I24" s="10">
        <f t="shared" si="5"/>
        <v>8.8504257937978501</v>
      </c>
      <c r="J24" s="14">
        <f t="shared" si="6"/>
        <v>11.315112374907303</v>
      </c>
      <c r="K24" s="13">
        <f t="shared" si="7"/>
        <v>-0.99807083441216138</v>
      </c>
      <c r="L24" s="10">
        <f t="shared" si="8"/>
        <v>-0.65002967908179188</v>
      </c>
      <c r="M24" s="10">
        <f t="shared" si="9"/>
        <v>-0.30198852375142227</v>
      </c>
      <c r="N24" s="10">
        <f t="shared" si="10"/>
        <v>4.6052631578947366E-2</v>
      </c>
      <c r="O24" s="10">
        <f t="shared" si="11"/>
        <v>0.39409378690931696</v>
      </c>
      <c r="P24" s="10">
        <f t="shared" si="12"/>
        <v>0.74213494223968657</v>
      </c>
      <c r="Q24" s="14">
        <f t="shared" si="13"/>
        <v>1.0901760975700561</v>
      </c>
    </row>
    <row r="25" spans="1:17" x14ac:dyDescent="0.25">
      <c r="A25" s="4">
        <v>45292</v>
      </c>
      <c r="B25" s="5">
        <f>IF('Catalogo de Variaveis'!G30="","",SUM('Catalogo de Variaveis'!G27:G30))</f>
        <v>1</v>
      </c>
      <c r="C25" s="15">
        <f>IFERROR(IF($B25="","",AVERAGE('Catalogo de Variaveis'!G30-'Catalogo de Variaveis'!G29,'Catalogo de Variaveis'!G29-'Catalogo de Variaveis'!G28,'Catalogo de Variaveis'!G28-'Catalogo de Variaveis'!G27,'Catalogo de Variaveis'!G27-'Catalogo de Variaveis'!G26)),0)</f>
        <v>0.25</v>
      </c>
      <c r="D25" s="13">
        <f t="shared" si="0"/>
        <v>-3.4730071117494075</v>
      </c>
      <c r="E25" s="10">
        <f t="shared" si="1"/>
        <v>-1.0083205306399559</v>
      </c>
      <c r="F25" s="10">
        <f t="shared" si="2"/>
        <v>1.4563660504694957</v>
      </c>
      <c r="G25" s="10">
        <f t="shared" si="3"/>
        <v>3.9210526315789473</v>
      </c>
      <c r="H25" s="10">
        <f t="shared" si="4"/>
        <v>6.3857392126883994</v>
      </c>
      <c r="I25" s="10">
        <f t="shared" si="5"/>
        <v>8.8504257937978501</v>
      </c>
      <c r="J25" s="14">
        <f t="shared" si="6"/>
        <v>11.315112374907303</v>
      </c>
      <c r="K25" s="13">
        <f t="shared" si="7"/>
        <v>-0.99807083441216138</v>
      </c>
      <c r="L25" s="10">
        <f t="shared" si="8"/>
        <v>-0.65002967908179188</v>
      </c>
      <c r="M25" s="10">
        <f t="shared" si="9"/>
        <v>-0.30198852375142227</v>
      </c>
      <c r="N25" s="10">
        <f t="shared" si="10"/>
        <v>4.6052631578947366E-2</v>
      </c>
      <c r="O25" s="10">
        <f t="shared" si="11"/>
        <v>0.39409378690931696</v>
      </c>
      <c r="P25" s="10">
        <f t="shared" si="12"/>
        <v>0.74213494223968657</v>
      </c>
      <c r="Q25" s="14">
        <f t="shared" si="13"/>
        <v>1.0901760975700561</v>
      </c>
    </row>
    <row r="26" spans="1:17" x14ac:dyDescent="0.25">
      <c r="A26" s="4">
        <v>45323</v>
      </c>
      <c r="B26" s="5">
        <f>IF('Catalogo de Variaveis'!G31="","",SUM('Catalogo de Variaveis'!G28:G31))</f>
        <v>2</v>
      </c>
      <c r="C26" s="15">
        <f>IFERROR(IF($B26="","",AVERAGE('Catalogo de Variaveis'!G31-'Catalogo de Variaveis'!G30,'Catalogo de Variaveis'!G30-'Catalogo de Variaveis'!G29,'Catalogo de Variaveis'!G29-'Catalogo de Variaveis'!G28,'Catalogo de Variaveis'!G28-'Catalogo de Variaveis'!G27)),0)</f>
        <v>0.25</v>
      </c>
      <c r="D26" s="13">
        <f t="shared" si="0"/>
        <v>-3.4730071117494075</v>
      </c>
      <c r="E26" s="10">
        <f t="shared" si="1"/>
        <v>-1.0083205306399559</v>
      </c>
      <c r="F26" s="10">
        <f t="shared" si="2"/>
        <v>1.4563660504694957</v>
      </c>
      <c r="G26" s="10">
        <f t="shared" si="3"/>
        <v>3.9210526315789473</v>
      </c>
      <c r="H26" s="10">
        <f t="shared" si="4"/>
        <v>6.3857392126883994</v>
      </c>
      <c r="I26" s="10">
        <f t="shared" si="5"/>
        <v>8.8504257937978501</v>
      </c>
      <c r="J26" s="14">
        <f t="shared" si="6"/>
        <v>11.315112374907303</v>
      </c>
      <c r="K26" s="13">
        <f t="shared" si="7"/>
        <v>-0.99807083441216138</v>
      </c>
      <c r="L26" s="10">
        <f t="shared" si="8"/>
        <v>-0.65002967908179188</v>
      </c>
      <c r="M26" s="10">
        <f t="shared" si="9"/>
        <v>-0.30198852375142227</v>
      </c>
      <c r="N26" s="10">
        <f t="shared" si="10"/>
        <v>4.6052631578947366E-2</v>
      </c>
      <c r="O26" s="10">
        <f t="shared" si="11"/>
        <v>0.39409378690931696</v>
      </c>
      <c r="P26" s="10">
        <f t="shared" si="12"/>
        <v>0.74213494223968657</v>
      </c>
      <c r="Q26" s="14">
        <f t="shared" si="13"/>
        <v>1.0901760975700561</v>
      </c>
    </row>
    <row r="27" spans="1:17" x14ac:dyDescent="0.25">
      <c r="A27" s="4">
        <v>45352</v>
      </c>
      <c r="B27" s="5">
        <f>IF('Catalogo de Variaveis'!G32="","",SUM('Catalogo de Variaveis'!G29:G32))</f>
        <v>3</v>
      </c>
      <c r="C27" s="15">
        <f>IFERROR(IF($B27="","",AVERAGE('Catalogo de Variaveis'!G32-'Catalogo de Variaveis'!G31,'Catalogo de Variaveis'!G31-'Catalogo de Variaveis'!G30,'Catalogo de Variaveis'!G30-'Catalogo de Variaveis'!G29,'Catalogo de Variaveis'!G29-'Catalogo de Variaveis'!G28)),0)</f>
        <v>0.25</v>
      </c>
      <c r="D27" s="13">
        <f t="shared" si="0"/>
        <v>-3.4730071117494075</v>
      </c>
      <c r="E27" s="10">
        <f t="shared" si="1"/>
        <v>-1.0083205306399559</v>
      </c>
      <c r="F27" s="10">
        <f t="shared" si="2"/>
        <v>1.4563660504694957</v>
      </c>
      <c r="G27" s="10">
        <f t="shared" si="3"/>
        <v>3.9210526315789473</v>
      </c>
      <c r="H27" s="10">
        <f t="shared" si="4"/>
        <v>6.3857392126883994</v>
      </c>
      <c r="I27" s="10">
        <f t="shared" si="5"/>
        <v>8.8504257937978501</v>
      </c>
      <c r="J27" s="14">
        <f t="shared" si="6"/>
        <v>11.315112374907303</v>
      </c>
      <c r="K27" s="13">
        <f t="shared" si="7"/>
        <v>-0.99807083441216138</v>
      </c>
      <c r="L27" s="10">
        <f t="shared" si="8"/>
        <v>-0.65002967908179188</v>
      </c>
      <c r="M27" s="10">
        <f t="shared" si="9"/>
        <v>-0.30198852375142227</v>
      </c>
      <c r="N27" s="10">
        <f t="shared" si="10"/>
        <v>4.6052631578947366E-2</v>
      </c>
      <c r="O27" s="10">
        <f t="shared" si="11"/>
        <v>0.39409378690931696</v>
      </c>
      <c r="P27" s="10">
        <f t="shared" si="12"/>
        <v>0.74213494223968657</v>
      </c>
      <c r="Q27" s="14">
        <f t="shared" si="13"/>
        <v>1.0901760975700561</v>
      </c>
    </row>
    <row r="28" spans="1:17" x14ac:dyDescent="0.25">
      <c r="A28" s="4">
        <v>45383</v>
      </c>
      <c r="B28" s="5">
        <f>IF('Catalogo de Variaveis'!G33="","",SUM('Catalogo de Variaveis'!G30:G33))</f>
        <v>4</v>
      </c>
      <c r="C28" s="15">
        <f>IFERROR(IF($B28="","",AVERAGE('Catalogo de Variaveis'!G33-'Catalogo de Variaveis'!G32,'Catalogo de Variaveis'!G32-'Catalogo de Variaveis'!G31,'Catalogo de Variaveis'!G31-'Catalogo de Variaveis'!G30,'Catalogo de Variaveis'!G30-'Catalogo de Variaveis'!G29)),0)</f>
        <v>0.25</v>
      </c>
      <c r="D28" s="13">
        <f t="shared" si="0"/>
        <v>-3.4730071117494075</v>
      </c>
      <c r="E28" s="10">
        <f t="shared" si="1"/>
        <v>-1.0083205306399559</v>
      </c>
      <c r="F28" s="10">
        <f t="shared" si="2"/>
        <v>1.4563660504694957</v>
      </c>
      <c r="G28" s="10">
        <f t="shared" si="3"/>
        <v>3.9210526315789473</v>
      </c>
      <c r="H28" s="10">
        <f t="shared" si="4"/>
        <v>6.3857392126883994</v>
      </c>
      <c r="I28" s="10">
        <f t="shared" si="5"/>
        <v>8.8504257937978501</v>
      </c>
      <c r="J28" s="14">
        <f t="shared" si="6"/>
        <v>11.315112374907303</v>
      </c>
      <c r="K28" s="13">
        <f t="shared" si="7"/>
        <v>-0.99807083441216138</v>
      </c>
      <c r="L28" s="10">
        <f t="shared" si="8"/>
        <v>-0.65002967908179188</v>
      </c>
      <c r="M28" s="10">
        <f t="shared" si="9"/>
        <v>-0.30198852375142227</v>
      </c>
      <c r="N28" s="10">
        <f t="shared" si="10"/>
        <v>4.6052631578947366E-2</v>
      </c>
      <c r="O28" s="10">
        <f t="shared" si="11"/>
        <v>0.39409378690931696</v>
      </c>
      <c r="P28" s="10">
        <f t="shared" si="12"/>
        <v>0.74213494223968657</v>
      </c>
      <c r="Q28" s="14">
        <f t="shared" si="13"/>
        <v>1.0901760975700561</v>
      </c>
    </row>
    <row r="29" spans="1:17" x14ac:dyDescent="0.25">
      <c r="A29" s="4">
        <v>45413</v>
      </c>
      <c r="B29" s="5">
        <f>IF('Catalogo de Variaveis'!G34="","",SUM('Catalogo de Variaveis'!G31:G34))</f>
        <v>3</v>
      </c>
      <c r="C29" s="15">
        <f>IFERROR(IF($B29="","",AVERAGE('Catalogo de Variaveis'!G34-'Catalogo de Variaveis'!G33,'Catalogo de Variaveis'!G33-'Catalogo de Variaveis'!G32,'Catalogo de Variaveis'!G32-'Catalogo de Variaveis'!G31,'Catalogo de Variaveis'!G31-'Catalogo de Variaveis'!G30)),0)</f>
        <v>-0.25</v>
      </c>
      <c r="D29" s="13">
        <f t="shared" si="0"/>
        <v>-3.4730071117494075</v>
      </c>
      <c r="E29" s="10">
        <f t="shared" si="1"/>
        <v>-1.0083205306399559</v>
      </c>
      <c r="F29" s="10">
        <f t="shared" si="2"/>
        <v>1.4563660504694957</v>
      </c>
      <c r="G29" s="10">
        <f t="shared" si="3"/>
        <v>3.9210526315789473</v>
      </c>
      <c r="H29" s="10">
        <f t="shared" si="4"/>
        <v>6.3857392126883994</v>
      </c>
      <c r="I29" s="10">
        <f t="shared" si="5"/>
        <v>8.8504257937978501</v>
      </c>
      <c r="J29" s="14">
        <f t="shared" si="6"/>
        <v>11.315112374907303</v>
      </c>
      <c r="K29" s="13">
        <f t="shared" si="7"/>
        <v>-0.99807083441216138</v>
      </c>
      <c r="L29" s="10">
        <f t="shared" si="8"/>
        <v>-0.65002967908179188</v>
      </c>
      <c r="M29" s="10">
        <f t="shared" si="9"/>
        <v>-0.30198852375142227</v>
      </c>
      <c r="N29" s="10">
        <f t="shared" si="10"/>
        <v>4.6052631578947366E-2</v>
      </c>
      <c r="O29" s="10">
        <f t="shared" si="11"/>
        <v>0.39409378690931696</v>
      </c>
      <c r="P29" s="10">
        <f t="shared" si="12"/>
        <v>0.74213494223968657</v>
      </c>
      <c r="Q29" s="14">
        <f t="shared" si="13"/>
        <v>1.0901760975700561</v>
      </c>
    </row>
    <row r="30" spans="1:17" x14ac:dyDescent="0.25">
      <c r="A30" s="4">
        <v>45444</v>
      </c>
      <c r="B30" s="5">
        <f>IF('Catalogo de Variaveis'!G35="","",SUM('Catalogo de Variaveis'!G32:G35))</f>
        <v>4</v>
      </c>
      <c r="C30" s="15">
        <f>IFERROR(IF($B30="","",AVERAGE('Catalogo de Variaveis'!G35-'Catalogo de Variaveis'!G34,'Catalogo de Variaveis'!G34-'Catalogo de Variaveis'!G33,'Catalogo de Variaveis'!G33-'Catalogo de Variaveis'!G32,'Catalogo de Variaveis'!G32-'Catalogo de Variaveis'!G31)),0)</f>
        <v>0.25</v>
      </c>
      <c r="D30" s="13">
        <f>IF($B30="","",IF(OR($J$1="",$J$2=""),$B$1-3*$B$2,$J$1-3*$J$2))</f>
        <v>-3.4730071117494075</v>
      </c>
      <c r="E30" s="10">
        <f>IF($B30="","",IF(OR($J$1="",$J$2=""),$B$1-2*$B$2,$J$1-2*$J$2))</f>
        <v>-1.0083205306399559</v>
      </c>
      <c r="F30" s="10">
        <f>IF($B30="","",IF(OR($J$1="",$J$2=""),$B$1-$B$2,$J$1-$J$2))</f>
        <v>1.4563660504694957</v>
      </c>
      <c r="G30" s="10">
        <f>IF($B30="","",IF(OR($J$1="",$J$2=""),$B$1,$J$1))</f>
        <v>3.9210526315789473</v>
      </c>
      <c r="H30" s="10">
        <f>IF($B30="","",IF(OR($J$1="",$J$2=""),$B$1+$B$2,$J$1+$J$2))</f>
        <v>6.3857392126883994</v>
      </c>
      <c r="I30" s="10">
        <f>IF($B30="","",IF(OR($J$1="",$J$2=""),$B$1+2*$B$2,$J$1+2*$J$2))</f>
        <v>8.8504257937978501</v>
      </c>
      <c r="J30" s="14">
        <f>IF($B30="","",IF(OR($J$1="",$J$2=""),$B$1+3*$B$2,$J$1+3*$J$2))</f>
        <v>11.315112374907303</v>
      </c>
      <c r="K30" s="13">
        <f t="shared" si="7"/>
        <v>-0.99807083441216138</v>
      </c>
      <c r="L30" s="10">
        <f t="shared" si="8"/>
        <v>-0.65002967908179188</v>
      </c>
      <c r="M30" s="10">
        <f t="shared" si="9"/>
        <v>-0.30198852375142227</v>
      </c>
      <c r="N30" s="10">
        <f t="shared" si="10"/>
        <v>4.6052631578947366E-2</v>
      </c>
      <c r="O30" s="10">
        <f t="shared" si="11"/>
        <v>0.39409378690931696</v>
      </c>
      <c r="P30" s="10">
        <f t="shared" si="12"/>
        <v>0.74213494223968657</v>
      </c>
      <c r="Q30" s="14">
        <f t="shared" si="13"/>
        <v>1.0901760975700561</v>
      </c>
    </row>
    <row r="31" spans="1:17" x14ac:dyDescent="0.25">
      <c r="A31" s="4">
        <v>45474</v>
      </c>
      <c r="B31" s="5">
        <f>IF('Catalogo de Variaveis'!G36="","",SUM('Catalogo de Variaveis'!G33:G36))</f>
        <v>5</v>
      </c>
      <c r="C31" s="15">
        <f>IFERROR(IF($B31="","",AVERAGE('Catalogo de Variaveis'!G36-'Catalogo de Variaveis'!G35,'Catalogo de Variaveis'!G35-'Catalogo de Variaveis'!G34,'Catalogo de Variaveis'!G34-'Catalogo de Variaveis'!G33,'Catalogo de Variaveis'!G33-'Catalogo de Variaveis'!G32)),0)</f>
        <v>0.25</v>
      </c>
      <c r="D31" s="13">
        <f t="shared" si="0"/>
        <v>-3.4730071117494075</v>
      </c>
      <c r="E31" s="10">
        <f t="shared" ref="E31:E94" si="14">IF($B31="","",IF(OR($J$1="",$J$2=""),$B$1-2*$B$2,$J$1-2*$J$2))</f>
        <v>-1.0083205306399559</v>
      </c>
      <c r="F31" s="10">
        <f t="shared" ref="F31:F94" si="15">IF($B31="","",IF(OR($J$1="",$J$2=""),$B$1-$B$2,$J$1-$J$2))</f>
        <v>1.4563660504694957</v>
      </c>
      <c r="G31" s="10">
        <f t="shared" si="3"/>
        <v>3.9210526315789473</v>
      </c>
      <c r="H31" s="10">
        <f t="shared" ref="H31:H94" si="16">IF($B31="","",IF(OR($J$1="",$J$2=""),$B$1+$B$2,$J$1+$J$2))</f>
        <v>6.3857392126883994</v>
      </c>
      <c r="I31" s="10">
        <f t="shared" si="5"/>
        <v>8.8504257937978501</v>
      </c>
      <c r="J31" s="14">
        <f t="shared" ref="J31:J94" si="17">IF($B31="","",IF(OR($J$1="",$J$2=""),$B$1+3*$B$2,$J$1+3*$J$2))</f>
        <v>11.315112374907303</v>
      </c>
      <c r="K31" s="13">
        <f t="shared" si="7"/>
        <v>-0.99807083441216138</v>
      </c>
      <c r="L31" s="10">
        <f t="shared" si="8"/>
        <v>-0.65002967908179188</v>
      </c>
      <c r="M31" s="10">
        <f t="shared" si="9"/>
        <v>-0.30198852375142227</v>
      </c>
      <c r="N31" s="10">
        <f t="shared" si="10"/>
        <v>4.6052631578947366E-2</v>
      </c>
      <c r="O31" s="10">
        <f t="shared" si="11"/>
        <v>0.39409378690931696</v>
      </c>
      <c r="P31" s="10">
        <f t="shared" si="12"/>
        <v>0.74213494223968657</v>
      </c>
      <c r="Q31" s="14">
        <f t="shared" si="13"/>
        <v>1.0901760975700561</v>
      </c>
    </row>
    <row r="32" spans="1:17" x14ac:dyDescent="0.25">
      <c r="A32" s="4">
        <v>45505</v>
      </c>
      <c r="B32" s="5">
        <f>IF('Catalogo de Variaveis'!G37="","",SUM('Catalogo de Variaveis'!G34:G37))</f>
        <v>6</v>
      </c>
      <c r="C32" s="15">
        <f>IFERROR(IF($B32="","",AVERAGE('Catalogo de Variaveis'!G37-'Catalogo de Variaveis'!G36,'Catalogo de Variaveis'!G36-'Catalogo de Variaveis'!G35,'Catalogo de Variaveis'!G35-'Catalogo de Variaveis'!G34,'Catalogo de Variaveis'!G34-'Catalogo de Variaveis'!G33)),0)</f>
        <v>0.25</v>
      </c>
      <c r="D32" s="13">
        <f t="shared" si="0"/>
        <v>-3.4730071117494075</v>
      </c>
      <c r="E32" s="10">
        <f t="shared" si="14"/>
        <v>-1.0083205306399559</v>
      </c>
      <c r="F32" s="10">
        <f t="shared" si="15"/>
        <v>1.4563660504694957</v>
      </c>
      <c r="G32" s="10">
        <f t="shared" si="3"/>
        <v>3.9210526315789473</v>
      </c>
      <c r="H32" s="10">
        <f t="shared" si="16"/>
        <v>6.3857392126883994</v>
      </c>
      <c r="I32" s="10">
        <f t="shared" si="5"/>
        <v>8.8504257937978501</v>
      </c>
      <c r="J32" s="14">
        <f t="shared" si="17"/>
        <v>11.315112374907303</v>
      </c>
      <c r="K32" s="13">
        <f t="shared" si="7"/>
        <v>-0.99807083441216138</v>
      </c>
      <c r="L32" s="10">
        <f t="shared" si="8"/>
        <v>-0.65002967908179188</v>
      </c>
      <c r="M32" s="10">
        <f t="shared" si="9"/>
        <v>-0.30198852375142227</v>
      </c>
      <c r="N32" s="10">
        <f t="shared" si="10"/>
        <v>4.6052631578947366E-2</v>
      </c>
      <c r="O32" s="10">
        <f t="shared" si="11"/>
        <v>0.39409378690931696</v>
      </c>
      <c r="P32" s="10">
        <f t="shared" si="12"/>
        <v>0.74213494223968657</v>
      </c>
      <c r="Q32" s="14">
        <f t="shared" si="13"/>
        <v>1.0901760975700561</v>
      </c>
    </row>
    <row r="33" spans="1:17" x14ac:dyDescent="0.25">
      <c r="A33" s="4">
        <v>45536</v>
      </c>
      <c r="B33" s="5">
        <f>IF('Catalogo de Variaveis'!G38="","",SUM('Catalogo de Variaveis'!G35:G38))</f>
        <v>9</v>
      </c>
      <c r="C33" s="15">
        <f>IFERROR(IF($B33="","",AVERAGE('Catalogo de Variaveis'!G38-'Catalogo de Variaveis'!G37,'Catalogo de Variaveis'!G37-'Catalogo de Variaveis'!G36,'Catalogo de Variaveis'!G36-'Catalogo de Variaveis'!G35,'Catalogo de Variaveis'!G35-'Catalogo de Variaveis'!G34)),0)</f>
        <v>0.75</v>
      </c>
      <c r="D33" s="13">
        <f t="shared" si="0"/>
        <v>-3.4730071117494075</v>
      </c>
      <c r="E33" s="10">
        <f t="shared" si="14"/>
        <v>-1.0083205306399559</v>
      </c>
      <c r="F33" s="10">
        <f t="shared" si="15"/>
        <v>1.4563660504694957</v>
      </c>
      <c r="G33" s="10">
        <f t="shared" si="3"/>
        <v>3.9210526315789473</v>
      </c>
      <c r="H33" s="10">
        <f t="shared" si="16"/>
        <v>6.3857392126883994</v>
      </c>
      <c r="I33" s="10">
        <f t="shared" si="5"/>
        <v>8.8504257937978501</v>
      </c>
      <c r="J33" s="14">
        <f t="shared" si="17"/>
        <v>11.315112374907303</v>
      </c>
      <c r="K33" s="13">
        <f t="shared" si="7"/>
        <v>-0.99807083441216138</v>
      </c>
      <c r="L33" s="10">
        <f t="shared" si="8"/>
        <v>-0.65002967908179188</v>
      </c>
      <c r="M33" s="10">
        <f t="shared" si="9"/>
        <v>-0.30198852375142227</v>
      </c>
      <c r="N33" s="10">
        <f t="shared" si="10"/>
        <v>4.6052631578947366E-2</v>
      </c>
      <c r="O33" s="10">
        <f t="shared" si="11"/>
        <v>0.39409378690931696</v>
      </c>
      <c r="P33" s="10">
        <f t="shared" si="12"/>
        <v>0.74213494223968657</v>
      </c>
      <c r="Q33" s="14">
        <f t="shared" si="13"/>
        <v>1.0901760975700561</v>
      </c>
    </row>
    <row r="34" spans="1:17" x14ac:dyDescent="0.25">
      <c r="A34" s="4">
        <v>45566</v>
      </c>
      <c r="B34" s="5">
        <f>IF('Catalogo de Variaveis'!G39="","",SUM('Catalogo de Variaveis'!G36:G39))</f>
        <v>8</v>
      </c>
      <c r="C34" s="15">
        <f>IFERROR(IF($B34="","",AVERAGE('Catalogo de Variaveis'!G39-'Catalogo de Variaveis'!G38,'Catalogo de Variaveis'!G38-'Catalogo de Variaveis'!G37,'Catalogo de Variaveis'!G37-'Catalogo de Variaveis'!G36,'Catalogo de Variaveis'!G36-'Catalogo de Variaveis'!G35)),0)</f>
        <v>-0.25</v>
      </c>
      <c r="D34" s="13">
        <f t="shared" si="0"/>
        <v>-3.4730071117494075</v>
      </c>
      <c r="E34" s="10">
        <f t="shared" si="14"/>
        <v>-1.0083205306399559</v>
      </c>
      <c r="F34" s="10">
        <f t="shared" si="15"/>
        <v>1.4563660504694957</v>
      </c>
      <c r="G34" s="10">
        <f t="shared" si="3"/>
        <v>3.9210526315789473</v>
      </c>
      <c r="H34" s="10">
        <f t="shared" si="16"/>
        <v>6.3857392126883994</v>
      </c>
      <c r="I34" s="10">
        <f t="shared" si="5"/>
        <v>8.8504257937978501</v>
      </c>
      <c r="J34" s="14">
        <f t="shared" si="17"/>
        <v>11.315112374907303</v>
      </c>
      <c r="K34" s="13">
        <f t="shared" si="7"/>
        <v>-0.99807083441216138</v>
      </c>
      <c r="L34" s="10">
        <f t="shared" si="8"/>
        <v>-0.65002967908179188</v>
      </c>
      <c r="M34" s="10">
        <f t="shared" si="9"/>
        <v>-0.30198852375142227</v>
      </c>
      <c r="N34" s="10">
        <f t="shared" si="10"/>
        <v>4.6052631578947366E-2</v>
      </c>
      <c r="O34" s="10">
        <f t="shared" si="11"/>
        <v>0.39409378690931696</v>
      </c>
      <c r="P34" s="10">
        <f t="shared" si="12"/>
        <v>0.74213494223968657</v>
      </c>
      <c r="Q34" s="14">
        <f t="shared" si="13"/>
        <v>1.0901760975700561</v>
      </c>
    </row>
    <row r="35" spans="1:17" x14ac:dyDescent="0.25">
      <c r="A35" s="4">
        <v>45597</v>
      </c>
      <c r="B35" s="5">
        <f>IF('Catalogo de Variaveis'!G40="","",SUM('Catalogo de Variaveis'!G37:G40))</f>
        <v>7</v>
      </c>
      <c r="C35" s="15">
        <f>IFERROR(IF($B35="","",AVERAGE('Catalogo de Variaveis'!G40-'Catalogo de Variaveis'!G39,'Catalogo de Variaveis'!G39-'Catalogo de Variaveis'!G38,'Catalogo de Variaveis'!G38-'Catalogo de Variaveis'!G37,'Catalogo de Variaveis'!G37-'Catalogo de Variaveis'!G36)),0)</f>
        <v>-0.25</v>
      </c>
      <c r="D35" s="13">
        <f t="shared" si="0"/>
        <v>-3.4730071117494075</v>
      </c>
      <c r="E35" s="10">
        <f t="shared" si="14"/>
        <v>-1.0083205306399559</v>
      </c>
      <c r="F35" s="10">
        <f t="shared" si="15"/>
        <v>1.4563660504694957</v>
      </c>
      <c r="G35" s="10">
        <f t="shared" si="3"/>
        <v>3.9210526315789473</v>
      </c>
      <c r="H35" s="10">
        <f t="shared" si="16"/>
        <v>6.3857392126883994</v>
      </c>
      <c r="I35" s="10">
        <f t="shared" si="5"/>
        <v>8.8504257937978501</v>
      </c>
      <c r="J35" s="14">
        <f t="shared" si="17"/>
        <v>11.315112374907303</v>
      </c>
      <c r="K35" s="13">
        <f t="shared" si="7"/>
        <v>-0.99807083441216138</v>
      </c>
      <c r="L35" s="10">
        <f t="shared" si="8"/>
        <v>-0.65002967908179188</v>
      </c>
      <c r="M35" s="10">
        <f t="shared" si="9"/>
        <v>-0.30198852375142227</v>
      </c>
      <c r="N35" s="10">
        <f t="shared" si="10"/>
        <v>4.6052631578947366E-2</v>
      </c>
      <c r="O35" s="10">
        <f t="shared" si="11"/>
        <v>0.39409378690931696</v>
      </c>
      <c r="P35" s="10">
        <f t="shared" si="12"/>
        <v>0.74213494223968657</v>
      </c>
      <c r="Q35" s="14">
        <f t="shared" si="13"/>
        <v>1.0901760975700561</v>
      </c>
    </row>
    <row r="36" spans="1:17" x14ac:dyDescent="0.25">
      <c r="A36" s="4">
        <v>45627</v>
      </c>
      <c r="B36" s="5">
        <f>IF('Catalogo de Variaveis'!G41="","",SUM('Catalogo de Variaveis'!G38:G41))</f>
        <v>5</v>
      </c>
      <c r="C36" s="15">
        <f>IFERROR(IF($B36="","",AVERAGE('Catalogo de Variaveis'!G41-'Catalogo de Variaveis'!G40,'Catalogo de Variaveis'!G40-'Catalogo de Variaveis'!G39,'Catalogo de Variaveis'!G39-'Catalogo de Variaveis'!G38,'Catalogo de Variaveis'!G38-'Catalogo de Variaveis'!G37)),0)</f>
        <v>-0.5</v>
      </c>
      <c r="D36" s="13">
        <f t="shared" si="0"/>
        <v>-3.4730071117494075</v>
      </c>
      <c r="E36" s="10">
        <f t="shared" si="14"/>
        <v>-1.0083205306399559</v>
      </c>
      <c r="F36" s="10">
        <f t="shared" si="15"/>
        <v>1.4563660504694957</v>
      </c>
      <c r="G36" s="10">
        <f t="shared" si="3"/>
        <v>3.9210526315789473</v>
      </c>
      <c r="H36" s="10">
        <f t="shared" si="16"/>
        <v>6.3857392126883994</v>
      </c>
      <c r="I36" s="10">
        <f t="shared" si="5"/>
        <v>8.8504257937978501</v>
      </c>
      <c r="J36" s="14">
        <f t="shared" si="17"/>
        <v>11.315112374907303</v>
      </c>
      <c r="K36" s="13">
        <f t="shared" si="7"/>
        <v>-0.99807083441216138</v>
      </c>
      <c r="L36" s="10">
        <f t="shared" si="8"/>
        <v>-0.65002967908179188</v>
      </c>
      <c r="M36" s="10">
        <f t="shared" si="9"/>
        <v>-0.30198852375142227</v>
      </c>
      <c r="N36" s="10">
        <f t="shared" si="10"/>
        <v>4.6052631578947366E-2</v>
      </c>
      <c r="O36" s="10">
        <f t="shared" si="11"/>
        <v>0.39409378690931696</v>
      </c>
      <c r="P36" s="10">
        <f t="shared" si="12"/>
        <v>0.74213494223968657</v>
      </c>
      <c r="Q36" s="14">
        <f t="shared" si="13"/>
        <v>1.0901760975700561</v>
      </c>
    </row>
    <row r="37" spans="1:17" x14ac:dyDescent="0.25">
      <c r="A37" s="4">
        <v>45658</v>
      </c>
      <c r="B37" s="5">
        <f>IF('Catalogo de Variaveis'!G42="","",SUM('Catalogo de Variaveis'!G39:G42))</f>
        <v>5</v>
      </c>
      <c r="C37" s="15">
        <f>IFERROR(IF($B37="","",AVERAGE('Catalogo de Variaveis'!G42-'Catalogo de Variaveis'!G41,'Catalogo de Variaveis'!G41-'Catalogo de Variaveis'!G40,'Catalogo de Variaveis'!G40-'Catalogo de Variaveis'!G39,'Catalogo de Variaveis'!G39-'Catalogo de Variaveis'!G38)),0)</f>
        <v>0</v>
      </c>
      <c r="D37" s="13">
        <f t="shared" si="0"/>
        <v>-3.4730071117494075</v>
      </c>
      <c r="E37" s="10">
        <f t="shared" si="14"/>
        <v>-1.0083205306399559</v>
      </c>
      <c r="F37" s="10">
        <f t="shared" si="15"/>
        <v>1.4563660504694957</v>
      </c>
      <c r="G37" s="10">
        <f t="shared" si="3"/>
        <v>3.9210526315789473</v>
      </c>
      <c r="H37" s="10">
        <f t="shared" si="16"/>
        <v>6.3857392126883994</v>
      </c>
      <c r="I37" s="10">
        <f t="shared" si="5"/>
        <v>8.8504257937978501</v>
      </c>
      <c r="J37" s="14">
        <f t="shared" si="17"/>
        <v>11.315112374907303</v>
      </c>
      <c r="K37" s="13">
        <f t="shared" si="7"/>
        <v>-0.99807083441216138</v>
      </c>
      <c r="L37" s="10">
        <f t="shared" si="8"/>
        <v>-0.65002967908179188</v>
      </c>
      <c r="M37" s="10">
        <f t="shared" si="9"/>
        <v>-0.30198852375142227</v>
      </c>
      <c r="N37" s="10">
        <f t="shared" si="10"/>
        <v>4.6052631578947366E-2</v>
      </c>
      <c r="O37" s="10">
        <f t="shared" si="11"/>
        <v>0.39409378690931696</v>
      </c>
      <c r="P37" s="10">
        <f t="shared" si="12"/>
        <v>0.74213494223968657</v>
      </c>
      <c r="Q37" s="14">
        <f t="shared" si="13"/>
        <v>1.0901760975700561</v>
      </c>
    </row>
    <row r="38" spans="1:17" x14ac:dyDescent="0.25">
      <c r="A38" s="4">
        <v>45689</v>
      </c>
      <c r="B38" s="5">
        <f>IF('Catalogo de Variaveis'!G43="","",SUM('Catalogo de Variaveis'!G40:G43))</f>
        <v>5</v>
      </c>
      <c r="C38" s="15">
        <f>IFERROR(IF($B38="","",AVERAGE('Catalogo de Variaveis'!G43-'Catalogo de Variaveis'!G42,'Catalogo de Variaveis'!G42-'Catalogo de Variaveis'!G41,'Catalogo de Variaveis'!G41-'Catalogo de Variaveis'!G40,'Catalogo de Variaveis'!G40-'Catalogo de Variaveis'!G39)),0)</f>
        <v>0</v>
      </c>
      <c r="D38" s="13">
        <f t="shared" si="0"/>
        <v>-3.4730071117494075</v>
      </c>
      <c r="E38" s="10">
        <f t="shared" si="14"/>
        <v>-1.0083205306399559</v>
      </c>
      <c r="F38" s="10">
        <f t="shared" si="15"/>
        <v>1.4563660504694957</v>
      </c>
      <c r="G38" s="10">
        <f t="shared" si="3"/>
        <v>3.9210526315789473</v>
      </c>
      <c r="H38" s="10">
        <f t="shared" si="16"/>
        <v>6.3857392126883994</v>
      </c>
      <c r="I38" s="10">
        <f t="shared" si="5"/>
        <v>8.8504257937978501</v>
      </c>
      <c r="J38" s="14">
        <f t="shared" si="17"/>
        <v>11.315112374907303</v>
      </c>
      <c r="K38" s="13">
        <f t="shared" si="7"/>
        <v>-0.99807083441216138</v>
      </c>
      <c r="L38" s="10">
        <f t="shared" si="8"/>
        <v>-0.65002967908179188</v>
      </c>
      <c r="M38" s="10">
        <f t="shared" si="9"/>
        <v>-0.30198852375142227</v>
      </c>
      <c r="N38" s="10">
        <f t="shared" si="10"/>
        <v>4.6052631578947366E-2</v>
      </c>
      <c r="O38" s="10">
        <f t="shared" si="11"/>
        <v>0.39409378690931696</v>
      </c>
      <c r="P38" s="10">
        <f t="shared" si="12"/>
        <v>0.74213494223968657</v>
      </c>
      <c r="Q38" s="14">
        <f t="shared" si="13"/>
        <v>1.0901760975700561</v>
      </c>
    </row>
    <row r="39" spans="1:17" x14ac:dyDescent="0.25">
      <c r="A39" s="4">
        <v>45717</v>
      </c>
      <c r="B39" s="5">
        <f>IF('Catalogo de Variaveis'!G44="","",SUM('Catalogo de Variaveis'!G41:G44))</f>
        <v>6</v>
      </c>
      <c r="C39" s="15">
        <f>IFERROR(IF($B39="","",AVERAGE('Catalogo de Variaveis'!G44-'Catalogo de Variaveis'!G43,'Catalogo de Variaveis'!G43-'Catalogo de Variaveis'!G42,'Catalogo de Variaveis'!G42-'Catalogo de Variaveis'!G41,'Catalogo de Variaveis'!G41-'Catalogo de Variaveis'!G40)),0)</f>
        <v>0.25</v>
      </c>
      <c r="D39" s="13">
        <f t="shared" si="0"/>
        <v>-3.4730071117494075</v>
      </c>
      <c r="E39" s="10">
        <f t="shared" si="14"/>
        <v>-1.0083205306399559</v>
      </c>
      <c r="F39" s="10">
        <f t="shared" si="15"/>
        <v>1.4563660504694957</v>
      </c>
      <c r="G39" s="10">
        <f t="shared" si="3"/>
        <v>3.9210526315789473</v>
      </c>
      <c r="H39" s="10">
        <f t="shared" si="16"/>
        <v>6.3857392126883994</v>
      </c>
      <c r="I39" s="10">
        <f t="shared" si="5"/>
        <v>8.8504257937978501</v>
      </c>
      <c r="J39" s="14">
        <f t="shared" si="17"/>
        <v>11.315112374907303</v>
      </c>
      <c r="K39" s="13">
        <f t="shared" si="7"/>
        <v>-0.99807083441216138</v>
      </c>
      <c r="L39" s="10">
        <f t="shared" si="8"/>
        <v>-0.65002967908179188</v>
      </c>
      <c r="M39" s="10">
        <f t="shared" si="9"/>
        <v>-0.30198852375142227</v>
      </c>
      <c r="N39" s="10">
        <f t="shared" si="10"/>
        <v>4.6052631578947366E-2</v>
      </c>
      <c r="O39" s="10">
        <f t="shared" si="11"/>
        <v>0.39409378690931696</v>
      </c>
      <c r="P39" s="10">
        <f t="shared" si="12"/>
        <v>0.74213494223968657</v>
      </c>
      <c r="Q39" s="14">
        <f t="shared" si="13"/>
        <v>1.0901760975700561</v>
      </c>
    </row>
    <row r="40" spans="1:17" x14ac:dyDescent="0.25">
      <c r="A40" s="4">
        <v>45748</v>
      </c>
      <c r="B40" s="5">
        <f>IF('Catalogo de Variaveis'!G45="","",SUM('Catalogo de Variaveis'!G42:G45))</f>
        <v>8</v>
      </c>
      <c r="C40" s="15">
        <f>IFERROR(IF($B40="","",AVERAGE('Catalogo de Variaveis'!G45-'Catalogo de Variaveis'!G44,'Catalogo de Variaveis'!G44-'Catalogo de Variaveis'!G43,'Catalogo de Variaveis'!G43-'Catalogo de Variaveis'!G42,'Catalogo de Variaveis'!G42-'Catalogo de Variaveis'!G41)),0)</f>
        <v>0.5</v>
      </c>
      <c r="D40" s="13">
        <f t="shared" si="0"/>
        <v>-3.4730071117494075</v>
      </c>
      <c r="E40" s="10">
        <f t="shared" si="14"/>
        <v>-1.0083205306399559</v>
      </c>
      <c r="F40" s="10">
        <f t="shared" si="15"/>
        <v>1.4563660504694957</v>
      </c>
      <c r="G40" s="10">
        <f t="shared" si="3"/>
        <v>3.9210526315789473</v>
      </c>
      <c r="H40" s="10">
        <f t="shared" si="16"/>
        <v>6.3857392126883994</v>
      </c>
      <c r="I40" s="10">
        <f t="shared" si="5"/>
        <v>8.8504257937978501</v>
      </c>
      <c r="J40" s="14">
        <f t="shared" si="17"/>
        <v>11.315112374907303</v>
      </c>
      <c r="K40" s="13">
        <f t="shared" si="7"/>
        <v>-0.99807083441216138</v>
      </c>
      <c r="L40" s="10">
        <f t="shared" si="8"/>
        <v>-0.65002967908179188</v>
      </c>
      <c r="M40" s="10">
        <f t="shared" si="9"/>
        <v>-0.30198852375142227</v>
      </c>
      <c r="N40" s="10">
        <f t="shared" si="10"/>
        <v>4.6052631578947366E-2</v>
      </c>
      <c r="O40" s="10">
        <f t="shared" si="11"/>
        <v>0.39409378690931696</v>
      </c>
      <c r="P40" s="10">
        <f t="shared" si="12"/>
        <v>0.74213494223968657</v>
      </c>
      <c r="Q40" s="14">
        <f t="shared" si="13"/>
        <v>1.0901760975700561</v>
      </c>
    </row>
    <row r="41" spans="1:17" x14ac:dyDescent="0.25">
      <c r="A41" s="4">
        <v>45778</v>
      </c>
      <c r="B41" s="5">
        <f>IF('Catalogo de Variaveis'!G46="","",SUM('Catalogo de Variaveis'!G43:G46))</f>
        <v>5</v>
      </c>
      <c r="C41" s="15">
        <f>IFERROR(IF($B41="","",AVERAGE('Catalogo de Variaveis'!G46-'Catalogo de Variaveis'!G45,'Catalogo de Variaveis'!G45-'Catalogo de Variaveis'!G44,'Catalogo de Variaveis'!G44-'Catalogo de Variaveis'!G43,'Catalogo de Variaveis'!G43-'Catalogo de Variaveis'!G42)),0)</f>
        <v>-0.75</v>
      </c>
      <c r="D41" s="13">
        <f t="shared" si="0"/>
        <v>-3.4730071117494075</v>
      </c>
      <c r="E41" s="10">
        <f t="shared" si="14"/>
        <v>-1.0083205306399559</v>
      </c>
      <c r="F41" s="10">
        <f t="shared" si="15"/>
        <v>1.4563660504694957</v>
      </c>
      <c r="G41" s="10">
        <f t="shared" si="3"/>
        <v>3.9210526315789473</v>
      </c>
      <c r="H41" s="10">
        <f t="shared" si="16"/>
        <v>6.3857392126883994</v>
      </c>
      <c r="I41" s="10">
        <f t="shared" si="5"/>
        <v>8.8504257937978501</v>
      </c>
      <c r="J41" s="14">
        <f t="shared" si="17"/>
        <v>11.315112374907303</v>
      </c>
      <c r="K41" s="13">
        <f t="shared" si="7"/>
        <v>-0.99807083441216138</v>
      </c>
      <c r="L41" s="10">
        <f t="shared" si="8"/>
        <v>-0.65002967908179188</v>
      </c>
      <c r="M41" s="10">
        <f t="shared" si="9"/>
        <v>-0.30198852375142227</v>
      </c>
      <c r="N41" s="10">
        <f t="shared" si="10"/>
        <v>4.6052631578947366E-2</v>
      </c>
      <c r="O41" s="10">
        <f t="shared" si="11"/>
        <v>0.39409378690931696</v>
      </c>
      <c r="P41" s="10">
        <f t="shared" si="12"/>
        <v>0.74213494223968657</v>
      </c>
      <c r="Q41" s="14">
        <f t="shared" si="13"/>
        <v>1.0901760975700561</v>
      </c>
    </row>
    <row r="42" spans="1:17" x14ac:dyDescent="0.25">
      <c r="A42" s="4">
        <v>45809</v>
      </c>
      <c r="B42" s="5">
        <f>IF('Catalogo de Variaveis'!G47="","",SUM('Catalogo de Variaveis'!G44:G47))</f>
        <v>5</v>
      </c>
      <c r="C42" s="15">
        <f>IFERROR(IF($B42="","",AVERAGE('Catalogo de Variaveis'!G47-'Catalogo de Variaveis'!G46,'Catalogo de Variaveis'!G46-'Catalogo de Variaveis'!G45,'Catalogo de Variaveis'!G45-'Catalogo de Variaveis'!G44,'Catalogo de Variaveis'!G44-'Catalogo de Variaveis'!G43)),0)</f>
        <v>0</v>
      </c>
      <c r="D42" s="13">
        <f t="shared" si="0"/>
        <v>-3.4730071117494075</v>
      </c>
      <c r="E42" s="10">
        <f t="shared" si="14"/>
        <v>-1.0083205306399559</v>
      </c>
      <c r="F42" s="10">
        <f t="shared" si="15"/>
        <v>1.4563660504694957</v>
      </c>
      <c r="G42" s="10">
        <f t="shared" si="3"/>
        <v>3.9210526315789473</v>
      </c>
      <c r="H42" s="10">
        <f t="shared" si="16"/>
        <v>6.3857392126883994</v>
      </c>
      <c r="I42" s="10">
        <f t="shared" si="5"/>
        <v>8.8504257937978501</v>
      </c>
      <c r="J42" s="14">
        <f t="shared" si="17"/>
        <v>11.315112374907303</v>
      </c>
      <c r="K42" s="13">
        <f t="shared" si="7"/>
        <v>-0.99807083441216138</v>
      </c>
      <c r="L42" s="10">
        <f t="shared" si="8"/>
        <v>-0.65002967908179188</v>
      </c>
      <c r="M42" s="10">
        <f t="shared" si="9"/>
        <v>-0.30198852375142227</v>
      </c>
      <c r="N42" s="10">
        <f t="shared" si="10"/>
        <v>4.6052631578947366E-2</v>
      </c>
      <c r="O42" s="10">
        <f t="shared" si="11"/>
        <v>0.39409378690931696</v>
      </c>
      <c r="P42" s="10">
        <f t="shared" si="12"/>
        <v>0.74213494223968657</v>
      </c>
      <c r="Q42" s="14">
        <f t="shared" si="13"/>
        <v>1.0901760975700561</v>
      </c>
    </row>
    <row r="43" spans="1:17" x14ac:dyDescent="0.25">
      <c r="A43" s="4">
        <v>45839</v>
      </c>
      <c r="B43" s="5">
        <f>IF('Catalogo de Variaveis'!G48="","",SUM('Catalogo de Variaveis'!G45:G48))</f>
        <v>6</v>
      </c>
      <c r="C43" s="15">
        <f>IFERROR(IF($B43="","",AVERAGE('Catalogo de Variaveis'!G48-'Catalogo de Variaveis'!G47,'Catalogo de Variaveis'!G47-'Catalogo de Variaveis'!G46,'Catalogo de Variaveis'!G46-'Catalogo de Variaveis'!G45,'Catalogo de Variaveis'!G45-'Catalogo de Variaveis'!G44)),0)</f>
        <v>0.25</v>
      </c>
      <c r="D43" s="13">
        <f t="shared" si="0"/>
        <v>-3.4730071117494075</v>
      </c>
      <c r="E43" s="10">
        <f t="shared" si="14"/>
        <v>-1.0083205306399559</v>
      </c>
      <c r="F43" s="10">
        <f t="shared" si="15"/>
        <v>1.4563660504694957</v>
      </c>
      <c r="G43" s="10">
        <f t="shared" si="3"/>
        <v>3.9210526315789473</v>
      </c>
      <c r="H43" s="10">
        <f t="shared" si="16"/>
        <v>6.3857392126883994</v>
      </c>
      <c r="I43" s="10">
        <f t="shared" si="5"/>
        <v>8.8504257937978501</v>
      </c>
      <c r="J43" s="14">
        <f t="shared" si="17"/>
        <v>11.315112374907303</v>
      </c>
      <c r="K43" s="13">
        <f t="shared" si="7"/>
        <v>-0.99807083441216138</v>
      </c>
      <c r="L43" s="10">
        <f t="shared" si="8"/>
        <v>-0.65002967908179188</v>
      </c>
      <c r="M43" s="10">
        <f t="shared" si="9"/>
        <v>-0.30198852375142227</v>
      </c>
      <c r="N43" s="10">
        <f t="shared" si="10"/>
        <v>4.6052631578947366E-2</v>
      </c>
      <c r="O43" s="10">
        <f t="shared" si="11"/>
        <v>0.39409378690931696</v>
      </c>
      <c r="P43" s="10">
        <f t="shared" si="12"/>
        <v>0.74213494223968657</v>
      </c>
      <c r="Q43" s="14">
        <f t="shared" si="13"/>
        <v>1.0901760975700561</v>
      </c>
    </row>
    <row r="44" spans="1:17" x14ac:dyDescent="0.25">
      <c r="A44" s="4">
        <v>45870</v>
      </c>
      <c r="B44" s="5">
        <f>IF('Catalogo de Variaveis'!G49="","",SUM('Catalogo de Variaveis'!G46:G49))</f>
        <v>5</v>
      </c>
      <c r="C44" s="15">
        <f>IFERROR(IF($B44="","",AVERAGE('Catalogo de Variaveis'!G49-'Catalogo de Variaveis'!G48,'Catalogo de Variaveis'!G48-'Catalogo de Variaveis'!G47,'Catalogo de Variaveis'!G47-'Catalogo de Variaveis'!G46,'Catalogo de Variaveis'!G46-'Catalogo de Variaveis'!G45)),0)</f>
        <v>-0.25</v>
      </c>
      <c r="D44" s="13">
        <f t="shared" si="0"/>
        <v>-3.4730071117494075</v>
      </c>
      <c r="E44" s="10">
        <f t="shared" si="14"/>
        <v>-1.0083205306399559</v>
      </c>
      <c r="F44" s="10">
        <f t="shared" si="15"/>
        <v>1.4563660504694957</v>
      </c>
      <c r="G44" s="10">
        <f t="shared" si="3"/>
        <v>3.9210526315789473</v>
      </c>
      <c r="H44" s="10">
        <f t="shared" si="16"/>
        <v>6.3857392126883994</v>
      </c>
      <c r="I44" s="10">
        <f t="shared" si="5"/>
        <v>8.8504257937978501</v>
      </c>
      <c r="J44" s="14">
        <f t="shared" si="17"/>
        <v>11.315112374907303</v>
      </c>
      <c r="K44" s="13">
        <f t="shared" si="7"/>
        <v>-0.99807083441216138</v>
      </c>
      <c r="L44" s="10">
        <f t="shared" si="8"/>
        <v>-0.65002967908179188</v>
      </c>
      <c r="M44" s="10">
        <f t="shared" si="9"/>
        <v>-0.30198852375142227</v>
      </c>
      <c r="N44" s="10">
        <f t="shared" si="10"/>
        <v>4.6052631578947366E-2</v>
      </c>
      <c r="O44" s="10">
        <f t="shared" si="11"/>
        <v>0.39409378690931696</v>
      </c>
      <c r="P44" s="10">
        <f t="shared" si="12"/>
        <v>0.74213494223968657</v>
      </c>
      <c r="Q44" s="14">
        <f t="shared" si="13"/>
        <v>1.0901760975700561</v>
      </c>
    </row>
    <row r="45" spans="1:17" x14ac:dyDescent="0.25">
      <c r="A45" s="4">
        <v>45901</v>
      </c>
      <c r="B45" s="5">
        <f>IF('Catalogo de Variaveis'!G50="","",SUM('Catalogo de Variaveis'!G47:G50))</f>
        <v>8</v>
      </c>
      <c r="C45" s="15">
        <f>IFERROR(IF($B45="","",AVERAGE('Catalogo de Variaveis'!G50-'Catalogo de Variaveis'!G49,'Catalogo de Variaveis'!G49-'Catalogo de Variaveis'!G48,'Catalogo de Variaveis'!G48-'Catalogo de Variaveis'!G47,'Catalogo de Variaveis'!G47-'Catalogo de Variaveis'!G46)),0)</f>
        <v>0.75</v>
      </c>
      <c r="D45" s="13">
        <f t="shared" si="0"/>
        <v>-3.4730071117494075</v>
      </c>
      <c r="E45" s="10">
        <f t="shared" si="14"/>
        <v>-1.0083205306399559</v>
      </c>
      <c r="F45" s="10">
        <f t="shared" si="15"/>
        <v>1.4563660504694957</v>
      </c>
      <c r="G45" s="10">
        <f t="shared" si="3"/>
        <v>3.9210526315789473</v>
      </c>
      <c r="H45" s="10">
        <f t="shared" si="16"/>
        <v>6.3857392126883994</v>
      </c>
      <c r="I45" s="10">
        <f t="shared" si="5"/>
        <v>8.8504257937978501</v>
      </c>
      <c r="J45" s="14">
        <f t="shared" si="17"/>
        <v>11.315112374907303</v>
      </c>
      <c r="K45" s="13">
        <f t="shared" si="7"/>
        <v>-0.99807083441216138</v>
      </c>
      <c r="L45" s="10">
        <f t="shared" si="8"/>
        <v>-0.65002967908179188</v>
      </c>
      <c r="M45" s="10">
        <f t="shared" si="9"/>
        <v>-0.30198852375142227</v>
      </c>
      <c r="N45" s="10">
        <f t="shared" si="10"/>
        <v>4.6052631578947366E-2</v>
      </c>
      <c r="O45" s="10">
        <f t="shared" si="11"/>
        <v>0.39409378690931696</v>
      </c>
      <c r="P45" s="10">
        <f t="shared" si="12"/>
        <v>0.74213494223968657</v>
      </c>
      <c r="Q45" s="14">
        <f t="shared" si="13"/>
        <v>1.0901760975700561</v>
      </c>
    </row>
    <row r="46" spans="1:17" x14ac:dyDescent="0.25">
      <c r="A46" s="4">
        <v>45931</v>
      </c>
      <c r="B46" s="5">
        <f>IF('Catalogo de Variaveis'!G51="","",SUM('Catalogo de Variaveis'!G48:G51))</f>
        <v>7</v>
      </c>
      <c r="C46" s="15">
        <f>IFERROR(IF($B46="","",AVERAGE('Catalogo de Variaveis'!G51-'Catalogo de Variaveis'!G50,'Catalogo de Variaveis'!G50-'Catalogo de Variaveis'!G49,'Catalogo de Variaveis'!G49-'Catalogo de Variaveis'!G48,'Catalogo de Variaveis'!G48-'Catalogo de Variaveis'!G47)),0)</f>
        <v>-0.25</v>
      </c>
      <c r="D46" s="13">
        <f t="shared" si="0"/>
        <v>-3.4730071117494075</v>
      </c>
      <c r="E46" s="10">
        <f t="shared" si="14"/>
        <v>-1.0083205306399559</v>
      </c>
      <c r="F46" s="10">
        <f t="shared" si="15"/>
        <v>1.4563660504694957</v>
      </c>
      <c r="G46" s="10">
        <f t="shared" si="3"/>
        <v>3.9210526315789473</v>
      </c>
      <c r="H46" s="10">
        <f t="shared" si="16"/>
        <v>6.3857392126883994</v>
      </c>
      <c r="I46" s="10">
        <f t="shared" si="5"/>
        <v>8.8504257937978501</v>
      </c>
      <c r="J46" s="14">
        <f t="shared" si="17"/>
        <v>11.315112374907303</v>
      </c>
      <c r="K46" s="13">
        <f t="shared" si="7"/>
        <v>-0.99807083441216138</v>
      </c>
      <c r="L46" s="10">
        <f t="shared" si="8"/>
        <v>-0.65002967908179188</v>
      </c>
      <c r="M46" s="10">
        <f t="shared" si="9"/>
        <v>-0.30198852375142227</v>
      </c>
      <c r="N46" s="10">
        <f t="shared" si="10"/>
        <v>4.6052631578947366E-2</v>
      </c>
      <c r="O46" s="10">
        <f t="shared" si="11"/>
        <v>0.39409378690931696</v>
      </c>
      <c r="P46" s="10">
        <f t="shared" si="12"/>
        <v>0.74213494223968657</v>
      </c>
      <c r="Q46" s="14">
        <f t="shared" si="13"/>
        <v>1.0901760975700561</v>
      </c>
    </row>
    <row r="47" spans="1:17" x14ac:dyDescent="0.25">
      <c r="A47" s="4">
        <v>45962</v>
      </c>
      <c r="B47" s="5" t="str">
        <f>IF('Catalogo de Variaveis'!G52="","",SUM('Catalogo de Variaveis'!G49:G52))</f>
        <v/>
      </c>
      <c r="C47" s="15" t="str">
        <f>IFERROR(IF($B47="","",AVERAGE('Catalogo de Variaveis'!G52-'Catalogo de Variaveis'!G51,'Catalogo de Variaveis'!G51-'Catalogo de Variaveis'!G50,'Catalogo de Variaveis'!G50-'Catalogo de Variaveis'!G49,'Catalogo de Variaveis'!G49-'Catalogo de Variaveis'!G48)),0)</f>
        <v/>
      </c>
      <c r="D47" s="13" t="str">
        <f t="shared" si="0"/>
        <v/>
      </c>
      <c r="E47" s="10" t="str">
        <f t="shared" si="14"/>
        <v/>
      </c>
      <c r="F47" s="10" t="str">
        <f t="shared" si="15"/>
        <v/>
      </c>
      <c r="G47" s="10" t="str">
        <f t="shared" si="3"/>
        <v/>
      </c>
      <c r="H47" s="10" t="str">
        <f t="shared" si="16"/>
        <v/>
      </c>
      <c r="I47" s="10" t="str">
        <f t="shared" si="5"/>
        <v/>
      </c>
      <c r="J47" s="14" t="str">
        <f t="shared" si="17"/>
        <v/>
      </c>
      <c r="K47" s="13" t="str">
        <f t="shared" si="7"/>
        <v/>
      </c>
      <c r="L47" s="10" t="str">
        <f t="shared" si="8"/>
        <v/>
      </c>
      <c r="M47" s="10" t="str">
        <f t="shared" si="9"/>
        <v/>
      </c>
      <c r="N47" s="10" t="str">
        <f t="shared" si="10"/>
        <v/>
      </c>
      <c r="O47" s="10" t="str">
        <f t="shared" si="11"/>
        <v/>
      </c>
      <c r="P47" s="10" t="str">
        <f t="shared" si="12"/>
        <v/>
      </c>
      <c r="Q47" s="14" t="str">
        <f t="shared" si="13"/>
        <v/>
      </c>
    </row>
    <row r="48" spans="1:17" x14ac:dyDescent="0.25">
      <c r="A48" s="4">
        <v>45992</v>
      </c>
      <c r="B48" s="5" t="str">
        <f>IF('Catalogo de Variaveis'!G53="","",SUM('Catalogo de Variaveis'!G50:G53))</f>
        <v/>
      </c>
      <c r="C48" s="15" t="str">
        <f>IFERROR(IF($B48="","",AVERAGE('Catalogo de Variaveis'!G53-'Catalogo de Variaveis'!G52,'Catalogo de Variaveis'!G52-'Catalogo de Variaveis'!G51,'Catalogo de Variaveis'!G51-'Catalogo de Variaveis'!G50,'Catalogo de Variaveis'!G50-'Catalogo de Variaveis'!G49)),0)</f>
        <v/>
      </c>
      <c r="D48" s="13" t="str">
        <f t="shared" si="0"/>
        <v/>
      </c>
      <c r="E48" s="10" t="str">
        <f t="shared" si="14"/>
        <v/>
      </c>
      <c r="F48" s="10" t="str">
        <f t="shared" si="15"/>
        <v/>
      </c>
      <c r="G48" s="10" t="str">
        <f t="shared" si="3"/>
        <v/>
      </c>
      <c r="H48" s="10" t="str">
        <f t="shared" si="16"/>
        <v/>
      </c>
      <c r="I48" s="10" t="str">
        <f t="shared" si="5"/>
        <v/>
      </c>
      <c r="J48" s="14" t="str">
        <f t="shared" si="17"/>
        <v/>
      </c>
      <c r="K48" s="13" t="str">
        <f t="shared" si="7"/>
        <v/>
      </c>
      <c r="L48" s="10" t="str">
        <f t="shared" si="8"/>
        <v/>
      </c>
      <c r="M48" s="10" t="str">
        <f t="shared" si="9"/>
        <v/>
      </c>
      <c r="N48" s="10" t="str">
        <f t="shared" si="10"/>
        <v/>
      </c>
      <c r="O48" s="10" t="str">
        <f t="shared" si="11"/>
        <v/>
      </c>
      <c r="P48" s="10" t="str">
        <f t="shared" si="12"/>
        <v/>
      </c>
      <c r="Q48" s="14" t="str">
        <f t="shared" si="13"/>
        <v/>
      </c>
    </row>
    <row r="49" spans="1:17" x14ac:dyDescent="0.25">
      <c r="A49" s="4">
        <v>46023</v>
      </c>
      <c r="B49" s="5" t="str">
        <f>IF('Catalogo de Variaveis'!G54="","",SUM('Catalogo de Variaveis'!G51:G54))</f>
        <v/>
      </c>
      <c r="C49" s="15" t="str">
        <f>IFERROR(IF($B49="","",AVERAGE('Catalogo de Variaveis'!G54-'Catalogo de Variaveis'!G53,'Catalogo de Variaveis'!G53-'Catalogo de Variaveis'!G52,'Catalogo de Variaveis'!G52-'Catalogo de Variaveis'!G51,'Catalogo de Variaveis'!G51-'Catalogo de Variaveis'!G50)),0)</f>
        <v/>
      </c>
      <c r="D49" s="13" t="str">
        <f t="shared" si="0"/>
        <v/>
      </c>
      <c r="E49" s="10" t="str">
        <f t="shared" si="14"/>
        <v/>
      </c>
      <c r="F49" s="10" t="str">
        <f t="shared" si="15"/>
        <v/>
      </c>
      <c r="G49" s="10" t="str">
        <f t="shared" si="3"/>
        <v/>
      </c>
      <c r="H49" s="10" t="str">
        <f t="shared" si="16"/>
        <v/>
      </c>
      <c r="I49" s="10" t="str">
        <f t="shared" si="5"/>
        <v/>
      </c>
      <c r="J49" s="14" t="str">
        <f t="shared" si="17"/>
        <v/>
      </c>
      <c r="K49" s="13" t="str">
        <f t="shared" si="7"/>
        <v/>
      </c>
      <c r="L49" s="10" t="str">
        <f t="shared" si="8"/>
        <v/>
      </c>
      <c r="M49" s="10" t="str">
        <f t="shared" si="9"/>
        <v/>
      </c>
      <c r="N49" s="10" t="str">
        <f t="shared" si="10"/>
        <v/>
      </c>
      <c r="O49" s="10" t="str">
        <f t="shared" si="11"/>
        <v/>
      </c>
      <c r="P49" s="10" t="str">
        <f t="shared" si="12"/>
        <v/>
      </c>
      <c r="Q49" s="14" t="str">
        <f t="shared" si="13"/>
        <v/>
      </c>
    </row>
    <row r="50" spans="1:17" x14ac:dyDescent="0.25">
      <c r="A50" s="4">
        <v>46054</v>
      </c>
      <c r="B50" s="5" t="str">
        <f>IF('Catalogo de Variaveis'!G55="","",SUM('Catalogo de Variaveis'!G52:G55))</f>
        <v/>
      </c>
      <c r="C50" s="15" t="str">
        <f>IFERROR(IF($B50="","",AVERAGE('Catalogo de Variaveis'!G55-'Catalogo de Variaveis'!G54,'Catalogo de Variaveis'!G54-'Catalogo de Variaveis'!G53,'Catalogo de Variaveis'!G53-'Catalogo de Variaveis'!G52,'Catalogo de Variaveis'!G52-'Catalogo de Variaveis'!G51)),0)</f>
        <v/>
      </c>
      <c r="D50" s="13" t="str">
        <f t="shared" si="0"/>
        <v/>
      </c>
      <c r="E50" s="10" t="str">
        <f t="shared" si="14"/>
        <v/>
      </c>
      <c r="F50" s="10" t="str">
        <f t="shared" si="15"/>
        <v/>
      </c>
      <c r="G50" s="10" t="str">
        <f t="shared" si="3"/>
        <v/>
      </c>
      <c r="H50" s="10" t="str">
        <f t="shared" si="16"/>
        <v/>
      </c>
      <c r="I50" s="10" t="str">
        <f t="shared" si="5"/>
        <v/>
      </c>
      <c r="J50" s="14" t="str">
        <f t="shared" si="17"/>
        <v/>
      </c>
      <c r="K50" s="13" t="str">
        <f t="shared" si="7"/>
        <v/>
      </c>
      <c r="L50" s="10" t="str">
        <f t="shared" si="8"/>
        <v/>
      </c>
      <c r="M50" s="10" t="str">
        <f t="shared" si="9"/>
        <v/>
      </c>
      <c r="N50" s="10" t="str">
        <f t="shared" si="10"/>
        <v/>
      </c>
      <c r="O50" s="10" t="str">
        <f t="shared" si="11"/>
        <v/>
      </c>
      <c r="P50" s="10" t="str">
        <f t="shared" si="12"/>
        <v/>
      </c>
      <c r="Q50" s="14" t="str">
        <f t="shared" si="13"/>
        <v/>
      </c>
    </row>
    <row r="51" spans="1:17" x14ac:dyDescent="0.25">
      <c r="A51" s="4">
        <v>46082</v>
      </c>
      <c r="B51" s="5" t="str">
        <f>IF('Catalogo de Variaveis'!G56="","",SUM('Catalogo de Variaveis'!G53:G56))</f>
        <v/>
      </c>
      <c r="C51" s="15" t="str">
        <f>IFERROR(IF($B51="","",AVERAGE('Catalogo de Variaveis'!G56-'Catalogo de Variaveis'!G55,'Catalogo de Variaveis'!G55-'Catalogo de Variaveis'!G54,'Catalogo de Variaveis'!G54-'Catalogo de Variaveis'!G53,'Catalogo de Variaveis'!G53-'Catalogo de Variaveis'!G52)),0)</f>
        <v/>
      </c>
      <c r="D51" s="13" t="str">
        <f t="shared" si="0"/>
        <v/>
      </c>
      <c r="E51" s="10" t="str">
        <f t="shared" si="14"/>
        <v/>
      </c>
      <c r="F51" s="10" t="str">
        <f t="shared" si="15"/>
        <v/>
      </c>
      <c r="G51" s="10" t="str">
        <f t="shared" si="3"/>
        <v/>
      </c>
      <c r="H51" s="10" t="str">
        <f t="shared" si="16"/>
        <v/>
      </c>
      <c r="I51" s="10" t="str">
        <f t="shared" si="5"/>
        <v/>
      </c>
      <c r="J51" s="14" t="str">
        <f t="shared" si="17"/>
        <v/>
      </c>
      <c r="K51" s="13" t="str">
        <f t="shared" si="7"/>
        <v/>
      </c>
      <c r="L51" s="10" t="str">
        <f t="shared" si="8"/>
        <v/>
      </c>
      <c r="M51" s="10" t="str">
        <f t="shared" si="9"/>
        <v/>
      </c>
      <c r="N51" s="10" t="str">
        <f t="shared" si="10"/>
        <v/>
      </c>
      <c r="O51" s="10" t="str">
        <f t="shared" si="11"/>
        <v/>
      </c>
      <c r="P51" s="10" t="str">
        <f t="shared" si="12"/>
        <v/>
      </c>
      <c r="Q51" s="14" t="str">
        <f t="shared" si="13"/>
        <v/>
      </c>
    </row>
    <row r="52" spans="1:17" x14ac:dyDescent="0.25">
      <c r="A52" s="4">
        <v>46113</v>
      </c>
      <c r="B52" s="5" t="str">
        <f>IF('Catalogo de Variaveis'!G57="","",SUM('Catalogo de Variaveis'!G54:G57))</f>
        <v/>
      </c>
      <c r="C52" s="15" t="str">
        <f>IFERROR(IF($B52="","",AVERAGE('Catalogo de Variaveis'!G57-'Catalogo de Variaveis'!G56,'Catalogo de Variaveis'!G56-'Catalogo de Variaveis'!G55,'Catalogo de Variaveis'!G55-'Catalogo de Variaveis'!G54,'Catalogo de Variaveis'!G54-'Catalogo de Variaveis'!G53)),0)</f>
        <v/>
      </c>
      <c r="D52" s="13" t="str">
        <f t="shared" si="0"/>
        <v/>
      </c>
      <c r="E52" s="10" t="str">
        <f t="shared" si="14"/>
        <v/>
      </c>
      <c r="F52" s="10" t="str">
        <f t="shared" si="15"/>
        <v/>
      </c>
      <c r="G52" s="10" t="str">
        <f t="shared" si="3"/>
        <v/>
      </c>
      <c r="H52" s="10" t="str">
        <f t="shared" si="16"/>
        <v/>
      </c>
      <c r="I52" s="10" t="str">
        <f t="shared" si="5"/>
        <v/>
      </c>
      <c r="J52" s="14" t="str">
        <f t="shared" si="17"/>
        <v/>
      </c>
      <c r="K52" s="13" t="str">
        <f t="shared" si="7"/>
        <v/>
      </c>
      <c r="L52" s="10" t="str">
        <f t="shared" si="8"/>
        <v/>
      </c>
      <c r="M52" s="10" t="str">
        <f t="shared" si="9"/>
        <v/>
      </c>
      <c r="N52" s="10" t="str">
        <f t="shared" si="10"/>
        <v/>
      </c>
      <c r="O52" s="10" t="str">
        <f t="shared" si="11"/>
        <v/>
      </c>
      <c r="P52" s="10" t="str">
        <f t="shared" si="12"/>
        <v/>
      </c>
      <c r="Q52" s="14" t="str">
        <f t="shared" si="13"/>
        <v/>
      </c>
    </row>
    <row r="53" spans="1:17" x14ac:dyDescent="0.25">
      <c r="A53" s="4">
        <v>46143</v>
      </c>
      <c r="B53" s="5" t="str">
        <f>IF('Catalogo de Variaveis'!G58="","",SUM('Catalogo de Variaveis'!G55:G58))</f>
        <v/>
      </c>
      <c r="C53" s="15" t="str">
        <f>IFERROR(IF($B53="","",AVERAGE('Catalogo de Variaveis'!G58-'Catalogo de Variaveis'!G57,'Catalogo de Variaveis'!G57-'Catalogo de Variaveis'!G56,'Catalogo de Variaveis'!G56-'Catalogo de Variaveis'!G55,'Catalogo de Variaveis'!G55-'Catalogo de Variaveis'!G54)),0)</f>
        <v/>
      </c>
      <c r="D53" s="13" t="str">
        <f t="shared" si="0"/>
        <v/>
      </c>
      <c r="E53" s="10" t="str">
        <f t="shared" si="14"/>
        <v/>
      </c>
      <c r="F53" s="10" t="str">
        <f t="shared" si="15"/>
        <v/>
      </c>
      <c r="G53" s="10" t="str">
        <f t="shared" si="3"/>
        <v/>
      </c>
      <c r="H53" s="10" t="str">
        <f t="shared" si="16"/>
        <v/>
      </c>
      <c r="I53" s="10" t="str">
        <f t="shared" si="5"/>
        <v/>
      </c>
      <c r="J53" s="14" t="str">
        <f t="shared" si="17"/>
        <v/>
      </c>
      <c r="K53" s="13" t="str">
        <f t="shared" si="7"/>
        <v/>
      </c>
      <c r="L53" s="10" t="str">
        <f t="shared" si="8"/>
        <v/>
      </c>
      <c r="M53" s="10" t="str">
        <f t="shared" si="9"/>
        <v/>
      </c>
      <c r="N53" s="10" t="str">
        <f t="shared" si="10"/>
        <v/>
      </c>
      <c r="O53" s="10" t="str">
        <f t="shared" si="11"/>
        <v/>
      </c>
      <c r="P53" s="10" t="str">
        <f t="shared" si="12"/>
        <v/>
      </c>
      <c r="Q53" s="14" t="str">
        <f t="shared" si="13"/>
        <v/>
      </c>
    </row>
    <row r="54" spans="1:17" x14ac:dyDescent="0.25">
      <c r="A54" s="4">
        <v>46174</v>
      </c>
      <c r="B54" s="5" t="str">
        <f>IF('Catalogo de Variaveis'!G59="","",SUM('Catalogo de Variaveis'!G56:G59))</f>
        <v/>
      </c>
      <c r="C54" s="15" t="str">
        <f>IFERROR(IF($B54="","",AVERAGE('Catalogo de Variaveis'!G59-'Catalogo de Variaveis'!G58,'Catalogo de Variaveis'!G58-'Catalogo de Variaveis'!G57,'Catalogo de Variaveis'!G57-'Catalogo de Variaveis'!G56,'Catalogo de Variaveis'!G56-'Catalogo de Variaveis'!G55)),0)</f>
        <v/>
      </c>
      <c r="D54" s="13" t="str">
        <f t="shared" si="0"/>
        <v/>
      </c>
      <c r="E54" s="10" t="str">
        <f t="shared" si="14"/>
        <v/>
      </c>
      <c r="F54" s="10" t="str">
        <f t="shared" si="15"/>
        <v/>
      </c>
      <c r="G54" s="10" t="str">
        <f t="shared" si="3"/>
        <v/>
      </c>
      <c r="H54" s="10" t="str">
        <f t="shared" si="16"/>
        <v/>
      </c>
      <c r="I54" s="10" t="str">
        <f t="shared" si="5"/>
        <v/>
      </c>
      <c r="J54" s="14" t="str">
        <f t="shared" si="17"/>
        <v/>
      </c>
      <c r="K54" s="13" t="str">
        <f t="shared" si="7"/>
        <v/>
      </c>
      <c r="L54" s="10" t="str">
        <f t="shared" si="8"/>
        <v/>
      </c>
      <c r="M54" s="10" t="str">
        <f t="shared" si="9"/>
        <v/>
      </c>
      <c r="N54" s="10" t="str">
        <f t="shared" si="10"/>
        <v/>
      </c>
      <c r="O54" s="10" t="str">
        <f t="shared" si="11"/>
        <v/>
      </c>
      <c r="P54" s="10" t="str">
        <f t="shared" si="12"/>
        <v/>
      </c>
      <c r="Q54" s="14" t="str">
        <f t="shared" si="13"/>
        <v/>
      </c>
    </row>
    <row r="55" spans="1:17" x14ac:dyDescent="0.25">
      <c r="A55" s="4">
        <v>46204</v>
      </c>
      <c r="B55" s="5" t="str">
        <f>IF('Catalogo de Variaveis'!G60="","",SUM('Catalogo de Variaveis'!G57:G60))</f>
        <v/>
      </c>
      <c r="C55" s="15" t="str">
        <f>IFERROR(IF($B55="","",AVERAGE('Catalogo de Variaveis'!G60-'Catalogo de Variaveis'!G59,'Catalogo de Variaveis'!G59-'Catalogo de Variaveis'!G58,'Catalogo de Variaveis'!G58-'Catalogo de Variaveis'!G57,'Catalogo de Variaveis'!G57-'Catalogo de Variaveis'!G56)),0)</f>
        <v/>
      </c>
      <c r="D55" s="13" t="str">
        <f t="shared" si="0"/>
        <v/>
      </c>
      <c r="E55" s="10" t="str">
        <f t="shared" si="14"/>
        <v/>
      </c>
      <c r="F55" s="10" t="str">
        <f t="shared" si="15"/>
        <v/>
      </c>
      <c r="G55" s="10" t="str">
        <f t="shared" si="3"/>
        <v/>
      </c>
      <c r="H55" s="10" t="str">
        <f t="shared" si="16"/>
        <v/>
      </c>
      <c r="I55" s="10" t="str">
        <f t="shared" si="5"/>
        <v/>
      </c>
      <c r="J55" s="14" t="str">
        <f t="shared" si="17"/>
        <v/>
      </c>
      <c r="K55" s="13" t="str">
        <f t="shared" si="7"/>
        <v/>
      </c>
      <c r="L55" s="10" t="str">
        <f t="shared" si="8"/>
        <v/>
      </c>
      <c r="M55" s="10" t="str">
        <f t="shared" si="9"/>
        <v/>
      </c>
      <c r="N55" s="10" t="str">
        <f t="shared" si="10"/>
        <v/>
      </c>
      <c r="O55" s="10" t="str">
        <f t="shared" si="11"/>
        <v/>
      </c>
      <c r="P55" s="10" t="str">
        <f t="shared" si="12"/>
        <v/>
      </c>
      <c r="Q55" s="14" t="str">
        <f t="shared" si="13"/>
        <v/>
      </c>
    </row>
    <row r="56" spans="1:17" x14ac:dyDescent="0.25">
      <c r="A56" s="4">
        <v>46235</v>
      </c>
      <c r="B56" s="5" t="str">
        <f>IF('Catalogo de Variaveis'!G61="","",SUM('Catalogo de Variaveis'!G58:G61))</f>
        <v/>
      </c>
      <c r="C56" s="15" t="str">
        <f>IFERROR(IF($B56="","",AVERAGE('Catalogo de Variaveis'!G61-'Catalogo de Variaveis'!G60,'Catalogo de Variaveis'!G60-'Catalogo de Variaveis'!G59,'Catalogo de Variaveis'!G59-'Catalogo de Variaveis'!G58,'Catalogo de Variaveis'!G58-'Catalogo de Variaveis'!G57)),0)</f>
        <v/>
      </c>
      <c r="D56" s="13" t="str">
        <f t="shared" si="0"/>
        <v/>
      </c>
      <c r="E56" s="10" t="str">
        <f t="shared" si="14"/>
        <v/>
      </c>
      <c r="F56" s="10" t="str">
        <f t="shared" si="15"/>
        <v/>
      </c>
      <c r="G56" s="10" t="str">
        <f t="shared" si="3"/>
        <v/>
      </c>
      <c r="H56" s="10" t="str">
        <f t="shared" si="16"/>
        <v/>
      </c>
      <c r="I56" s="10" t="str">
        <f t="shared" si="5"/>
        <v/>
      </c>
      <c r="J56" s="14" t="str">
        <f t="shared" si="17"/>
        <v/>
      </c>
      <c r="K56" s="13" t="str">
        <f t="shared" si="7"/>
        <v/>
      </c>
      <c r="L56" s="10" t="str">
        <f t="shared" si="8"/>
        <v/>
      </c>
      <c r="M56" s="10" t="str">
        <f t="shared" si="9"/>
        <v/>
      </c>
      <c r="N56" s="10" t="str">
        <f t="shared" si="10"/>
        <v/>
      </c>
      <c r="O56" s="10" t="str">
        <f t="shared" si="11"/>
        <v/>
      </c>
      <c r="P56" s="10" t="str">
        <f t="shared" si="12"/>
        <v/>
      </c>
      <c r="Q56" s="14" t="str">
        <f t="shared" si="13"/>
        <v/>
      </c>
    </row>
    <row r="57" spans="1:17" x14ac:dyDescent="0.25">
      <c r="A57" s="4">
        <v>46266</v>
      </c>
      <c r="B57" s="5" t="str">
        <f>IF('Catalogo de Variaveis'!G62="","",SUM('Catalogo de Variaveis'!G59:G62))</f>
        <v/>
      </c>
      <c r="C57" s="15" t="str">
        <f>IFERROR(IF($B57="","",AVERAGE('Catalogo de Variaveis'!G62-'Catalogo de Variaveis'!G61,'Catalogo de Variaveis'!G61-'Catalogo de Variaveis'!G60,'Catalogo de Variaveis'!G60-'Catalogo de Variaveis'!G59,'Catalogo de Variaveis'!G59-'Catalogo de Variaveis'!G58)),0)</f>
        <v/>
      </c>
      <c r="D57" s="13" t="str">
        <f t="shared" si="0"/>
        <v/>
      </c>
      <c r="E57" s="10" t="str">
        <f t="shared" si="14"/>
        <v/>
      </c>
      <c r="F57" s="10" t="str">
        <f t="shared" si="15"/>
        <v/>
      </c>
      <c r="G57" s="10" t="str">
        <f t="shared" si="3"/>
        <v/>
      </c>
      <c r="H57" s="10" t="str">
        <f t="shared" si="16"/>
        <v/>
      </c>
      <c r="I57" s="10" t="str">
        <f t="shared" si="5"/>
        <v/>
      </c>
      <c r="J57" s="14" t="str">
        <f t="shared" si="17"/>
        <v/>
      </c>
      <c r="K57" s="13" t="str">
        <f t="shared" si="7"/>
        <v/>
      </c>
      <c r="L57" s="10" t="str">
        <f t="shared" si="8"/>
        <v/>
      </c>
      <c r="M57" s="10" t="str">
        <f t="shared" si="9"/>
        <v/>
      </c>
      <c r="N57" s="10" t="str">
        <f t="shared" si="10"/>
        <v/>
      </c>
      <c r="O57" s="10" t="str">
        <f t="shared" si="11"/>
        <v/>
      </c>
      <c r="P57" s="10" t="str">
        <f t="shared" si="12"/>
        <v/>
      </c>
      <c r="Q57" s="14" t="str">
        <f t="shared" si="13"/>
        <v/>
      </c>
    </row>
    <row r="58" spans="1:17" x14ac:dyDescent="0.25">
      <c r="A58" s="4">
        <v>46296</v>
      </c>
      <c r="B58" s="5" t="str">
        <f>IF('Catalogo de Variaveis'!G63="","",SUM('Catalogo de Variaveis'!G60:G63))</f>
        <v/>
      </c>
      <c r="C58" s="15" t="str">
        <f>IFERROR(IF($B58="","",AVERAGE('Catalogo de Variaveis'!G63-'Catalogo de Variaveis'!G62,'Catalogo de Variaveis'!G62-'Catalogo de Variaveis'!G61,'Catalogo de Variaveis'!G61-'Catalogo de Variaveis'!G60,'Catalogo de Variaveis'!G60-'Catalogo de Variaveis'!G59)),0)</f>
        <v/>
      </c>
      <c r="D58" s="13" t="str">
        <f t="shared" si="0"/>
        <v/>
      </c>
      <c r="E58" s="10" t="str">
        <f t="shared" si="14"/>
        <v/>
      </c>
      <c r="F58" s="10" t="str">
        <f t="shared" si="15"/>
        <v/>
      </c>
      <c r="G58" s="10" t="str">
        <f t="shared" si="3"/>
        <v/>
      </c>
      <c r="H58" s="10" t="str">
        <f t="shared" si="16"/>
        <v/>
      </c>
      <c r="I58" s="10" t="str">
        <f t="shared" si="5"/>
        <v/>
      </c>
      <c r="J58" s="14" t="str">
        <f t="shared" si="17"/>
        <v/>
      </c>
      <c r="K58" s="13" t="str">
        <f t="shared" si="7"/>
        <v/>
      </c>
      <c r="L58" s="10" t="str">
        <f t="shared" si="8"/>
        <v/>
      </c>
      <c r="M58" s="10" t="str">
        <f t="shared" si="9"/>
        <v/>
      </c>
      <c r="N58" s="10" t="str">
        <f t="shared" si="10"/>
        <v/>
      </c>
      <c r="O58" s="10" t="str">
        <f t="shared" si="11"/>
        <v/>
      </c>
      <c r="P58" s="10" t="str">
        <f t="shared" si="12"/>
        <v/>
      </c>
      <c r="Q58" s="14" t="str">
        <f t="shared" si="13"/>
        <v/>
      </c>
    </row>
    <row r="59" spans="1:17" x14ac:dyDescent="0.25">
      <c r="A59" s="4">
        <v>46327</v>
      </c>
      <c r="B59" s="5" t="str">
        <f>IF('Catalogo de Variaveis'!G64="","",SUM('Catalogo de Variaveis'!G61:G64))</f>
        <v/>
      </c>
      <c r="C59" s="15" t="str">
        <f>IFERROR(IF($B59="","",AVERAGE('Catalogo de Variaveis'!G64-'Catalogo de Variaveis'!G63,'Catalogo de Variaveis'!G63-'Catalogo de Variaveis'!G62,'Catalogo de Variaveis'!G62-'Catalogo de Variaveis'!G61,'Catalogo de Variaveis'!G61-'Catalogo de Variaveis'!G60)),0)</f>
        <v/>
      </c>
      <c r="D59" s="13" t="str">
        <f t="shared" si="0"/>
        <v/>
      </c>
      <c r="E59" s="10" t="str">
        <f t="shared" si="14"/>
        <v/>
      </c>
      <c r="F59" s="10" t="str">
        <f t="shared" si="15"/>
        <v/>
      </c>
      <c r="G59" s="10" t="str">
        <f t="shared" si="3"/>
        <v/>
      </c>
      <c r="H59" s="10" t="str">
        <f t="shared" si="16"/>
        <v/>
      </c>
      <c r="I59" s="10" t="str">
        <f t="shared" si="5"/>
        <v/>
      </c>
      <c r="J59" s="14" t="str">
        <f t="shared" si="17"/>
        <v/>
      </c>
      <c r="K59" s="13" t="str">
        <f t="shared" si="7"/>
        <v/>
      </c>
      <c r="L59" s="10" t="str">
        <f t="shared" si="8"/>
        <v/>
      </c>
      <c r="M59" s="10" t="str">
        <f t="shared" si="9"/>
        <v/>
      </c>
      <c r="N59" s="10" t="str">
        <f t="shared" si="10"/>
        <v/>
      </c>
      <c r="O59" s="10" t="str">
        <f t="shared" si="11"/>
        <v/>
      </c>
      <c r="P59" s="10" t="str">
        <f t="shared" si="12"/>
        <v/>
      </c>
      <c r="Q59" s="14" t="str">
        <f t="shared" si="13"/>
        <v/>
      </c>
    </row>
    <row r="60" spans="1:17" x14ac:dyDescent="0.25">
      <c r="A60" s="4">
        <v>46357</v>
      </c>
      <c r="B60" s="5" t="str">
        <f>IF('Catalogo de Variaveis'!G65="","",SUM('Catalogo de Variaveis'!G62:G65))</f>
        <v/>
      </c>
      <c r="C60" s="15" t="str">
        <f>IFERROR(IF($B60="","",AVERAGE('Catalogo de Variaveis'!G65-'Catalogo de Variaveis'!G64,'Catalogo de Variaveis'!G64-'Catalogo de Variaveis'!G63,'Catalogo de Variaveis'!G63-'Catalogo de Variaveis'!G62,'Catalogo de Variaveis'!G62-'Catalogo de Variaveis'!G61)),0)</f>
        <v/>
      </c>
      <c r="D60" s="13" t="str">
        <f>IF($B60="","",IF(OR($J$1="",$J$2=""),$B$1-3*$B$2,$J$1-3*$J$2))</f>
        <v/>
      </c>
      <c r="E60" s="10" t="str">
        <f t="shared" si="14"/>
        <v/>
      </c>
      <c r="F60" s="10" t="str">
        <f t="shared" si="15"/>
        <v/>
      </c>
      <c r="G60" s="10" t="str">
        <f>IF($B60="","",IF(OR($J$1="",$J$2=""),$B$1,$J$1))</f>
        <v/>
      </c>
      <c r="H60" s="10" t="str">
        <f t="shared" si="16"/>
        <v/>
      </c>
      <c r="I60" s="10" t="str">
        <f>IF($B60="","",IF(OR($J$1="",$J$2=""),$B$1+2*$B$2,$J$1+2*$J$2))</f>
        <v/>
      </c>
      <c r="J60" s="14" t="str">
        <f t="shared" si="17"/>
        <v/>
      </c>
      <c r="K60" s="13" t="str">
        <f t="shared" si="7"/>
        <v/>
      </c>
      <c r="L60" s="10" t="str">
        <f t="shared" si="8"/>
        <v/>
      </c>
      <c r="M60" s="10" t="str">
        <f t="shared" si="9"/>
        <v/>
      </c>
      <c r="N60" s="10" t="str">
        <f t="shared" si="10"/>
        <v/>
      </c>
      <c r="O60" s="10" t="str">
        <f t="shared" si="11"/>
        <v/>
      </c>
      <c r="P60" s="10" t="str">
        <f t="shared" si="12"/>
        <v/>
      </c>
      <c r="Q60" s="14" t="str">
        <f t="shared" si="13"/>
        <v/>
      </c>
    </row>
    <row r="61" spans="1:17" x14ac:dyDescent="0.25">
      <c r="A61" s="4">
        <v>46388</v>
      </c>
      <c r="B61" s="5" t="str">
        <f>IF('Catalogo de Variaveis'!G66="","",SUM('Catalogo de Variaveis'!G63:G66))</f>
        <v/>
      </c>
      <c r="C61" s="15" t="str">
        <f>IFERROR(IF($B61="","",AVERAGE('Catalogo de Variaveis'!G66-'Catalogo de Variaveis'!G65,'Catalogo de Variaveis'!G65-'Catalogo de Variaveis'!G64,'Catalogo de Variaveis'!G64-'Catalogo de Variaveis'!G63,'Catalogo de Variaveis'!G63-'Catalogo de Variaveis'!G62)),0)</f>
        <v/>
      </c>
      <c r="D61" s="13" t="str">
        <f t="shared" ref="D61:D96" si="18">IF($B61="","",IF(OR($J$1="",$J$2=""),$B$1-3*$B$2,$J$1-3*$J$2))</f>
        <v/>
      </c>
      <c r="E61" s="10" t="str">
        <f t="shared" si="14"/>
        <v/>
      </c>
      <c r="F61" s="10" t="str">
        <f t="shared" si="15"/>
        <v/>
      </c>
      <c r="G61" s="10" t="str">
        <f t="shared" ref="G61:G96" si="19">IF($B61="","",IF(OR($J$1="",$J$2=""),$B$1,$J$1))</f>
        <v/>
      </c>
      <c r="H61" s="10" t="str">
        <f t="shared" si="16"/>
        <v/>
      </c>
      <c r="I61" s="10" t="str">
        <f t="shared" ref="I61:I96" si="20">IF($B61="","",IF(OR($J$1="",$J$2=""),$B$1+2*$B$2,$J$1+2*$J$2))</f>
        <v/>
      </c>
      <c r="J61" s="14" t="str">
        <f t="shared" si="17"/>
        <v/>
      </c>
      <c r="K61" s="13" t="str">
        <f t="shared" si="7"/>
        <v/>
      </c>
      <c r="L61" s="10" t="str">
        <f t="shared" si="8"/>
        <v/>
      </c>
      <c r="M61" s="10" t="str">
        <f t="shared" si="9"/>
        <v/>
      </c>
      <c r="N61" s="10" t="str">
        <f t="shared" si="10"/>
        <v/>
      </c>
      <c r="O61" s="10" t="str">
        <f t="shared" si="11"/>
        <v/>
      </c>
      <c r="P61" s="10" t="str">
        <f t="shared" si="12"/>
        <v/>
      </c>
      <c r="Q61" s="14" t="str">
        <f t="shared" si="13"/>
        <v/>
      </c>
    </row>
    <row r="62" spans="1:17" x14ac:dyDescent="0.25">
      <c r="A62" s="4">
        <v>46419</v>
      </c>
      <c r="B62" s="5" t="str">
        <f>IF('Catalogo de Variaveis'!G67="","",SUM('Catalogo de Variaveis'!G64:G67))</f>
        <v/>
      </c>
      <c r="C62" s="15" t="str">
        <f>IFERROR(IF($B62="","",AVERAGE('Catalogo de Variaveis'!G67-'Catalogo de Variaveis'!G66,'Catalogo de Variaveis'!G66-'Catalogo de Variaveis'!G65,'Catalogo de Variaveis'!G65-'Catalogo de Variaveis'!G64,'Catalogo de Variaveis'!G64-'Catalogo de Variaveis'!G63)),0)</f>
        <v/>
      </c>
      <c r="D62" s="13" t="str">
        <f t="shared" si="18"/>
        <v/>
      </c>
      <c r="E62" s="10" t="str">
        <f t="shared" si="14"/>
        <v/>
      </c>
      <c r="F62" s="10" t="str">
        <f t="shared" si="15"/>
        <v/>
      </c>
      <c r="G62" s="10" t="str">
        <f t="shared" si="19"/>
        <v/>
      </c>
      <c r="H62" s="10" t="str">
        <f t="shared" si="16"/>
        <v/>
      </c>
      <c r="I62" s="10" t="str">
        <f t="shared" si="20"/>
        <v/>
      </c>
      <c r="J62" s="14" t="str">
        <f t="shared" si="17"/>
        <v/>
      </c>
      <c r="K62" s="13" t="str">
        <f t="shared" si="7"/>
        <v/>
      </c>
      <c r="L62" s="10" t="str">
        <f t="shared" si="8"/>
        <v/>
      </c>
      <c r="M62" s="10" t="str">
        <f t="shared" si="9"/>
        <v/>
      </c>
      <c r="N62" s="10" t="str">
        <f t="shared" si="10"/>
        <v/>
      </c>
      <c r="O62" s="10" t="str">
        <f t="shared" si="11"/>
        <v/>
      </c>
      <c r="P62" s="10" t="str">
        <f t="shared" si="12"/>
        <v/>
      </c>
      <c r="Q62" s="14" t="str">
        <f t="shared" si="13"/>
        <v/>
      </c>
    </row>
    <row r="63" spans="1:17" x14ac:dyDescent="0.25">
      <c r="A63" s="4">
        <v>46447</v>
      </c>
      <c r="B63" s="5" t="str">
        <f>IF('Catalogo de Variaveis'!G68="","",SUM('Catalogo de Variaveis'!G65:G68))</f>
        <v/>
      </c>
      <c r="C63" s="15" t="str">
        <f>IFERROR(IF($B63="","",AVERAGE('Catalogo de Variaveis'!G68-'Catalogo de Variaveis'!G67,'Catalogo de Variaveis'!G67-'Catalogo de Variaveis'!G66,'Catalogo de Variaveis'!G66-'Catalogo de Variaveis'!G65,'Catalogo de Variaveis'!G65-'Catalogo de Variaveis'!G64)),0)</f>
        <v/>
      </c>
      <c r="D63" s="13" t="str">
        <f t="shared" si="18"/>
        <v/>
      </c>
      <c r="E63" s="10" t="str">
        <f t="shared" si="14"/>
        <v/>
      </c>
      <c r="F63" s="10" t="str">
        <f t="shared" si="15"/>
        <v/>
      </c>
      <c r="G63" s="10" t="str">
        <f t="shared" si="19"/>
        <v/>
      </c>
      <c r="H63" s="10" t="str">
        <f t="shared" si="16"/>
        <v/>
      </c>
      <c r="I63" s="10" t="str">
        <f t="shared" si="20"/>
        <v/>
      </c>
      <c r="J63" s="14" t="str">
        <f t="shared" si="17"/>
        <v/>
      </c>
      <c r="K63" s="13" t="str">
        <f t="shared" si="7"/>
        <v/>
      </c>
      <c r="L63" s="10" t="str">
        <f t="shared" si="8"/>
        <v/>
      </c>
      <c r="M63" s="10" t="str">
        <f t="shared" si="9"/>
        <v/>
      </c>
      <c r="N63" s="10" t="str">
        <f t="shared" si="10"/>
        <v/>
      </c>
      <c r="O63" s="10" t="str">
        <f t="shared" si="11"/>
        <v/>
      </c>
      <c r="P63" s="10" t="str">
        <f t="shared" si="12"/>
        <v/>
      </c>
      <c r="Q63" s="14" t="str">
        <f t="shared" si="13"/>
        <v/>
      </c>
    </row>
    <row r="64" spans="1:17" x14ac:dyDescent="0.25">
      <c r="A64" s="4">
        <v>46478</v>
      </c>
      <c r="B64" s="5" t="str">
        <f>IF('Catalogo de Variaveis'!G69="","",SUM('Catalogo de Variaveis'!G66:G69))</f>
        <v/>
      </c>
      <c r="C64" s="15" t="str">
        <f>IFERROR(IF($B64="","",AVERAGE('Catalogo de Variaveis'!G69-'Catalogo de Variaveis'!G68,'Catalogo de Variaveis'!G68-'Catalogo de Variaveis'!G67,'Catalogo de Variaveis'!G67-'Catalogo de Variaveis'!G66,'Catalogo de Variaveis'!G66-'Catalogo de Variaveis'!G65)),0)</f>
        <v/>
      </c>
      <c r="D64" s="13" t="str">
        <f t="shared" si="18"/>
        <v/>
      </c>
      <c r="E64" s="10" t="str">
        <f t="shared" si="14"/>
        <v/>
      </c>
      <c r="F64" s="10" t="str">
        <f t="shared" si="15"/>
        <v/>
      </c>
      <c r="G64" s="10" t="str">
        <f t="shared" si="19"/>
        <v/>
      </c>
      <c r="H64" s="10" t="str">
        <f t="shared" si="16"/>
        <v/>
      </c>
      <c r="I64" s="10" t="str">
        <f t="shared" si="20"/>
        <v/>
      </c>
      <c r="J64" s="14" t="str">
        <f t="shared" si="17"/>
        <v/>
      </c>
      <c r="K64" s="13" t="str">
        <f t="shared" si="7"/>
        <v/>
      </c>
      <c r="L64" s="10" t="str">
        <f t="shared" si="8"/>
        <v/>
      </c>
      <c r="M64" s="10" t="str">
        <f t="shared" si="9"/>
        <v/>
      </c>
      <c r="N64" s="10" t="str">
        <f t="shared" si="10"/>
        <v/>
      </c>
      <c r="O64" s="10" t="str">
        <f t="shared" si="11"/>
        <v/>
      </c>
      <c r="P64" s="10" t="str">
        <f t="shared" si="12"/>
        <v/>
      </c>
      <c r="Q64" s="14" t="str">
        <f t="shared" si="13"/>
        <v/>
      </c>
    </row>
    <row r="65" spans="1:17" x14ac:dyDescent="0.25">
      <c r="A65" s="4">
        <v>46508</v>
      </c>
      <c r="B65" s="5" t="str">
        <f>IF('Catalogo de Variaveis'!G70="","",SUM('Catalogo de Variaveis'!G67:G70))</f>
        <v/>
      </c>
      <c r="C65" s="15" t="str">
        <f>IFERROR(IF($B65="","",AVERAGE('Catalogo de Variaveis'!G70-'Catalogo de Variaveis'!G69,'Catalogo de Variaveis'!G69-'Catalogo de Variaveis'!G68,'Catalogo de Variaveis'!G68-'Catalogo de Variaveis'!G67,'Catalogo de Variaveis'!G67-'Catalogo de Variaveis'!G66)),0)</f>
        <v/>
      </c>
      <c r="D65" s="13" t="str">
        <f t="shared" si="18"/>
        <v/>
      </c>
      <c r="E65" s="10" t="str">
        <f t="shared" si="14"/>
        <v/>
      </c>
      <c r="F65" s="10" t="str">
        <f t="shared" si="15"/>
        <v/>
      </c>
      <c r="G65" s="10" t="str">
        <f t="shared" si="19"/>
        <v/>
      </c>
      <c r="H65" s="10" t="str">
        <f t="shared" si="16"/>
        <v/>
      </c>
      <c r="I65" s="10" t="str">
        <f t="shared" si="20"/>
        <v/>
      </c>
      <c r="J65" s="14" t="str">
        <f t="shared" si="17"/>
        <v/>
      </c>
      <c r="K65" s="13" t="str">
        <f t="shared" si="7"/>
        <v/>
      </c>
      <c r="L65" s="10" t="str">
        <f t="shared" si="8"/>
        <v/>
      </c>
      <c r="M65" s="10" t="str">
        <f t="shared" si="9"/>
        <v/>
      </c>
      <c r="N65" s="10" t="str">
        <f t="shared" si="10"/>
        <v/>
      </c>
      <c r="O65" s="10" t="str">
        <f t="shared" si="11"/>
        <v/>
      </c>
      <c r="P65" s="10" t="str">
        <f t="shared" si="12"/>
        <v/>
      </c>
      <c r="Q65" s="14" t="str">
        <f t="shared" si="13"/>
        <v/>
      </c>
    </row>
    <row r="66" spans="1:17" x14ac:dyDescent="0.25">
      <c r="A66" s="4">
        <v>46539</v>
      </c>
      <c r="B66" s="5" t="str">
        <f>IF('Catalogo de Variaveis'!G71="","",SUM('Catalogo de Variaveis'!G68:G71))</f>
        <v/>
      </c>
      <c r="C66" s="15" t="str">
        <f>IFERROR(IF($B66="","",AVERAGE('Catalogo de Variaveis'!G71-'Catalogo de Variaveis'!G70,'Catalogo de Variaveis'!G70-'Catalogo de Variaveis'!G69,'Catalogo de Variaveis'!G69-'Catalogo de Variaveis'!G68,'Catalogo de Variaveis'!G68-'Catalogo de Variaveis'!G67)),0)</f>
        <v/>
      </c>
      <c r="D66" s="13" t="str">
        <f t="shared" si="18"/>
        <v/>
      </c>
      <c r="E66" s="10" t="str">
        <f t="shared" si="14"/>
        <v/>
      </c>
      <c r="F66" s="10" t="str">
        <f t="shared" si="15"/>
        <v/>
      </c>
      <c r="G66" s="10" t="str">
        <f t="shared" si="19"/>
        <v/>
      </c>
      <c r="H66" s="10" t="str">
        <f t="shared" si="16"/>
        <v/>
      </c>
      <c r="I66" s="10" t="str">
        <f t="shared" si="20"/>
        <v/>
      </c>
      <c r="J66" s="14" t="str">
        <f t="shared" si="17"/>
        <v/>
      </c>
      <c r="K66" s="13" t="str">
        <f t="shared" si="7"/>
        <v/>
      </c>
      <c r="L66" s="10" t="str">
        <f t="shared" si="8"/>
        <v/>
      </c>
      <c r="M66" s="10" t="str">
        <f t="shared" si="9"/>
        <v/>
      </c>
      <c r="N66" s="10" t="str">
        <f t="shared" si="10"/>
        <v/>
      </c>
      <c r="O66" s="10" t="str">
        <f t="shared" si="11"/>
        <v/>
      </c>
      <c r="P66" s="10" t="str">
        <f t="shared" si="12"/>
        <v/>
      </c>
      <c r="Q66" s="14" t="str">
        <f t="shared" si="13"/>
        <v/>
      </c>
    </row>
    <row r="67" spans="1:17" x14ac:dyDescent="0.25">
      <c r="A67" s="4">
        <v>46569</v>
      </c>
      <c r="B67" s="5" t="str">
        <f>IF('Catalogo de Variaveis'!G72="","",SUM('Catalogo de Variaveis'!G69:G72))</f>
        <v/>
      </c>
      <c r="C67" s="15" t="str">
        <f>IFERROR(IF($B67="","",AVERAGE('Catalogo de Variaveis'!G72-'Catalogo de Variaveis'!G71,'Catalogo de Variaveis'!G71-'Catalogo de Variaveis'!G70,'Catalogo de Variaveis'!G70-'Catalogo de Variaveis'!G69,'Catalogo de Variaveis'!G69-'Catalogo de Variaveis'!G68)),0)</f>
        <v/>
      </c>
      <c r="D67" s="13" t="str">
        <f t="shared" si="18"/>
        <v/>
      </c>
      <c r="E67" s="10" t="str">
        <f t="shared" si="14"/>
        <v/>
      </c>
      <c r="F67" s="10" t="str">
        <f t="shared" si="15"/>
        <v/>
      </c>
      <c r="G67" s="10" t="str">
        <f t="shared" si="19"/>
        <v/>
      </c>
      <c r="H67" s="10" t="str">
        <f t="shared" si="16"/>
        <v/>
      </c>
      <c r="I67" s="10" t="str">
        <f t="shared" si="20"/>
        <v/>
      </c>
      <c r="J67" s="14" t="str">
        <f t="shared" si="17"/>
        <v/>
      </c>
      <c r="K67" s="13" t="str">
        <f t="shared" si="7"/>
        <v/>
      </c>
      <c r="L67" s="10" t="str">
        <f t="shared" si="8"/>
        <v/>
      </c>
      <c r="M67" s="10" t="str">
        <f t="shared" si="9"/>
        <v/>
      </c>
      <c r="N67" s="10" t="str">
        <f t="shared" si="10"/>
        <v/>
      </c>
      <c r="O67" s="10" t="str">
        <f t="shared" si="11"/>
        <v/>
      </c>
      <c r="P67" s="10" t="str">
        <f t="shared" si="12"/>
        <v/>
      </c>
      <c r="Q67" s="14" t="str">
        <f t="shared" si="13"/>
        <v/>
      </c>
    </row>
    <row r="68" spans="1:17" x14ac:dyDescent="0.25">
      <c r="A68" s="4">
        <v>46600</v>
      </c>
      <c r="B68" s="5" t="str">
        <f>IF('Catalogo de Variaveis'!G73="","",SUM('Catalogo de Variaveis'!G70:G73))</f>
        <v/>
      </c>
      <c r="C68" s="15" t="str">
        <f>IFERROR(IF($B68="","",AVERAGE('Catalogo de Variaveis'!G73-'Catalogo de Variaveis'!G72,'Catalogo de Variaveis'!G72-'Catalogo de Variaveis'!G71,'Catalogo de Variaveis'!G71-'Catalogo de Variaveis'!G70,'Catalogo de Variaveis'!G70-'Catalogo de Variaveis'!G69)),0)</f>
        <v/>
      </c>
      <c r="D68" s="13" t="str">
        <f t="shared" si="18"/>
        <v/>
      </c>
      <c r="E68" s="10" t="str">
        <f t="shared" si="14"/>
        <v/>
      </c>
      <c r="F68" s="10" t="str">
        <f t="shared" si="15"/>
        <v/>
      </c>
      <c r="G68" s="10" t="str">
        <f t="shared" si="19"/>
        <v/>
      </c>
      <c r="H68" s="10" t="str">
        <f t="shared" si="16"/>
        <v/>
      </c>
      <c r="I68" s="10" t="str">
        <f t="shared" si="20"/>
        <v/>
      </c>
      <c r="J68" s="14" t="str">
        <f t="shared" si="17"/>
        <v/>
      </c>
      <c r="K68" s="13" t="str">
        <f t="shared" si="7"/>
        <v/>
      </c>
      <c r="L68" s="10" t="str">
        <f t="shared" si="8"/>
        <v/>
      </c>
      <c r="M68" s="10" t="str">
        <f t="shared" si="9"/>
        <v/>
      </c>
      <c r="N68" s="10" t="str">
        <f t="shared" si="10"/>
        <v/>
      </c>
      <c r="O68" s="10" t="str">
        <f t="shared" si="11"/>
        <v/>
      </c>
      <c r="P68" s="10" t="str">
        <f t="shared" si="12"/>
        <v/>
      </c>
      <c r="Q68" s="14" t="str">
        <f t="shared" si="13"/>
        <v/>
      </c>
    </row>
    <row r="69" spans="1:17" x14ac:dyDescent="0.25">
      <c r="A69" s="4">
        <v>46631</v>
      </c>
      <c r="B69" s="5" t="str">
        <f>IF('Catalogo de Variaveis'!G74="","",SUM('Catalogo de Variaveis'!G71:G74))</f>
        <v/>
      </c>
      <c r="C69" s="15" t="str">
        <f>IFERROR(IF($B69="","",AVERAGE('Catalogo de Variaveis'!G74-'Catalogo de Variaveis'!G73,'Catalogo de Variaveis'!G73-'Catalogo de Variaveis'!G72,'Catalogo de Variaveis'!G72-'Catalogo de Variaveis'!G71,'Catalogo de Variaveis'!G71-'Catalogo de Variaveis'!G70)),0)</f>
        <v/>
      </c>
      <c r="D69" s="13" t="str">
        <f t="shared" si="18"/>
        <v/>
      </c>
      <c r="E69" s="10" t="str">
        <f t="shared" si="14"/>
        <v/>
      </c>
      <c r="F69" s="10" t="str">
        <f t="shared" si="15"/>
        <v/>
      </c>
      <c r="G69" s="10" t="str">
        <f t="shared" si="19"/>
        <v/>
      </c>
      <c r="H69" s="10" t="str">
        <f t="shared" si="16"/>
        <v/>
      </c>
      <c r="I69" s="10" t="str">
        <f t="shared" si="20"/>
        <v/>
      </c>
      <c r="J69" s="14" t="str">
        <f t="shared" si="17"/>
        <v/>
      </c>
      <c r="K69" s="13" t="str">
        <f t="shared" si="7"/>
        <v/>
      </c>
      <c r="L69" s="10" t="str">
        <f t="shared" si="8"/>
        <v/>
      </c>
      <c r="M69" s="10" t="str">
        <f t="shared" si="9"/>
        <v/>
      </c>
      <c r="N69" s="10" t="str">
        <f t="shared" si="10"/>
        <v/>
      </c>
      <c r="O69" s="10" t="str">
        <f t="shared" si="11"/>
        <v/>
      </c>
      <c r="P69" s="10" t="str">
        <f t="shared" si="12"/>
        <v/>
      </c>
      <c r="Q69" s="14" t="str">
        <f t="shared" si="13"/>
        <v/>
      </c>
    </row>
    <row r="70" spans="1:17" x14ac:dyDescent="0.25">
      <c r="A70" s="4">
        <v>46661</v>
      </c>
      <c r="B70" s="5" t="str">
        <f>IF('Catalogo de Variaveis'!G75="","",SUM('Catalogo de Variaveis'!G72:G75))</f>
        <v/>
      </c>
      <c r="C70" s="15" t="str">
        <f>IFERROR(IF($B70="","",AVERAGE('Catalogo de Variaveis'!G75-'Catalogo de Variaveis'!G74,'Catalogo de Variaveis'!G74-'Catalogo de Variaveis'!G73,'Catalogo de Variaveis'!G73-'Catalogo de Variaveis'!G72,'Catalogo de Variaveis'!G72-'Catalogo de Variaveis'!G71)),0)</f>
        <v/>
      </c>
      <c r="D70" s="13" t="str">
        <f t="shared" si="18"/>
        <v/>
      </c>
      <c r="E70" s="10" t="str">
        <f t="shared" si="14"/>
        <v/>
      </c>
      <c r="F70" s="10" t="str">
        <f t="shared" si="15"/>
        <v/>
      </c>
      <c r="G70" s="10" t="str">
        <f t="shared" si="19"/>
        <v/>
      </c>
      <c r="H70" s="10" t="str">
        <f t="shared" si="16"/>
        <v/>
      </c>
      <c r="I70" s="10" t="str">
        <f t="shared" si="20"/>
        <v/>
      </c>
      <c r="J70" s="14" t="str">
        <f t="shared" si="17"/>
        <v/>
      </c>
      <c r="K70" s="13" t="str">
        <f t="shared" si="7"/>
        <v/>
      </c>
      <c r="L70" s="10" t="str">
        <f t="shared" si="8"/>
        <v/>
      </c>
      <c r="M70" s="10" t="str">
        <f t="shared" si="9"/>
        <v/>
      </c>
      <c r="N70" s="10" t="str">
        <f t="shared" si="10"/>
        <v/>
      </c>
      <c r="O70" s="10" t="str">
        <f t="shared" si="11"/>
        <v/>
      </c>
      <c r="P70" s="10" t="str">
        <f t="shared" si="12"/>
        <v/>
      </c>
      <c r="Q70" s="14" t="str">
        <f t="shared" si="13"/>
        <v/>
      </c>
    </row>
    <row r="71" spans="1:17" x14ac:dyDescent="0.25">
      <c r="A71" s="4">
        <v>46692</v>
      </c>
      <c r="B71" s="5" t="str">
        <f>IF('Catalogo de Variaveis'!G76="","",SUM('Catalogo de Variaveis'!G73:G76))</f>
        <v/>
      </c>
      <c r="C71" s="15" t="str">
        <f>IFERROR(IF($B71="","",AVERAGE('Catalogo de Variaveis'!G76-'Catalogo de Variaveis'!G75,'Catalogo de Variaveis'!G75-'Catalogo de Variaveis'!G74,'Catalogo de Variaveis'!G74-'Catalogo de Variaveis'!G73,'Catalogo de Variaveis'!G73-'Catalogo de Variaveis'!G72)),0)</f>
        <v/>
      </c>
      <c r="D71" s="13" t="str">
        <f t="shared" si="18"/>
        <v/>
      </c>
      <c r="E71" s="10" t="str">
        <f t="shared" si="14"/>
        <v/>
      </c>
      <c r="F71" s="10" t="str">
        <f t="shared" si="15"/>
        <v/>
      </c>
      <c r="G71" s="10" t="str">
        <f t="shared" si="19"/>
        <v/>
      </c>
      <c r="H71" s="10" t="str">
        <f t="shared" si="16"/>
        <v/>
      </c>
      <c r="I71" s="10" t="str">
        <f t="shared" si="20"/>
        <v/>
      </c>
      <c r="J71" s="14" t="str">
        <f t="shared" si="17"/>
        <v/>
      </c>
      <c r="K71" s="13" t="str">
        <f t="shared" si="7"/>
        <v/>
      </c>
      <c r="L71" s="10" t="str">
        <f t="shared" si="8"/>
        <v/>
      </c>
      <c r="M71" s="10" t="str">
        <f t="shared" si="9"/>
        <v/>
      </c>
      <c r="N71" s="10" t="str">
        <f t="shared" si="10"/>
        <v/>
      </c>
      <c r="O71" s="10" t="str">
        <f t="shared" si="11"/>
        <v/>
      </c>
      <c r="P71" s="10" t="str">
        <f t="shared" si="12"/>
        <v/>
      </c>
      <c r="Q71" s="14" t="str">
        <f t="shared" si="13"/>
        <v/>
      </c>
    </row>
    <row r="72" spans="1:17" x14ac:dyDescent="0.25">
      <c r="A72" s="4">
        <v>46722</v>
      </c>
      <c r="B72" s="5" t="str">
        <f>IF('Catalogo de Variaveis'!G77="","",SUM('Catalogo de Variaveis'!G74:G77))</f>
        <v/>
      </c>
      <c r="C72" s="15" t="str">
        <f>IFERROR(IF($B72="","",AVERAGE('Catalogo de Variaveis'!G77-'Catalogo de Variaveis'!G76,'Catalogo de Variaveis'!G76-'Catalogo de Variaveis'!G75,'Catalogo de Variaveis'!G75-'Catalogo de Variaveis'!G74,'Catalogo de Variaveis'!G74-'Catalogo de Variaveis'!G73)),0)</f>
        <v/>
      </c>
      <c r="D72" s="13" t="str">
        <f t="shared" si="18"/>
        <v/>
      </c>
      <c r="E72" s="10" t="str">
        <f t="shared" si="14"/>
        <v/>
      </c>
      <c r="F72" s="10" t="str">
        <f t="shared" si="15"/>
        <v/>
      </c>
      <c r="G72" s="10" t="str">
        <f t="shared" si="19"/>
        <v/>
      </c>
      <c r="H72" s="10" t="str">
        <f t="shared" si="16"/>
        <v/>
      </c>
      <c r="I72" s="10" t="str">
        <f t="shared" si="20"/>
        <v/>
      </c>
      <c r="J72" s="14" t="str">
        <f t="shared" si="17"/>
        <v/>
      </c>
      <c r="K72" s="13" t="str">
        <f t="shared" si="7"/>
        <v/>
      </c>
      <c r="L72" s="10" t="str">
        <f t="shared" si="8"/>
        <v/>
      </c>
      <c r="M72" s="10" t="str">
        <f t="shared" si="9"/>
        <v/>
      </c>
      <c r="N72" s="10" t="str">
        <f t="shared" si="10"/>
        <v/>
      </c>
      <c r="O72" s="10" t="str">
        <f t="shared" si="11"/>
        <v/>
      </c>
      <c r="P72" s="10" t="str">
        <f t="shared" si="12"/>
        <v/>
      </c>
      <c r="Q72" s="14" t="str">
        <f t="shared" si="13"/>
        <v/>
      </c>
    </row>
    <row r="73" spans="1:17" x14ac:dyDescent="0.25">
      <c r="A73" s="4">
        <v>46753</v>
      </c>
      <c r="B73" s="5" t="str">
        <f>IF('Catalogo de Variaveis'!G78="","",SUM('Catalogo de Variaveis'!G75:G78))</f>
        <v/>
      </c>
      <c r="C73" s="15" t="str">
        <f>IFERROR(IF($B73="","",AVERAGE('Catalogo de Variaveis'!G78-'Catalogo de Variaveis'!G77,'Catalogo de Variaveis'!G77-'Catalogo de Variaveis'!G76,'Catalogo de Variaveis'!G76-'Catalogo de Variaveis'!G75,'Catalogo de Variaveis'!G75-'Catalogo de Variaveis'!G74)),0)</f>
        <v/>
      </c>
      <c r="D73" s="13" t="str">
        <f t="shared" si="18"/>
        <v/>
      </c>
      <c r="E73" s="10" t="str">
        <f t="shared" si="14"/>
        <v/>
      </c>
      <c r="F73" s="10" t="str">
        <f t="shared" si="15"/>
        <v/>
      </c>
      <c r="G73" s="10" t="str">
        <f t="shared" si="19"/>
        <v/>
      </c>
      <c r="H73" s="10" t="str">
        <f t="shared" si="16"/>
        <v/>
      </c>
      <c r="I73" s="10" t="str">
        <f t="shared" si="20"/>
        <v/>
      </c>
      <c r="J73" s="14" t="str">
        <f t="shared" si="17"/>
        <v/>
      </c>
      <c r="K73" s="13" t="str">
        <f t="shared" ref="K73:K96" si="21">IF($B73="","",$C$1-3*$C$2)</f>
        <v/>
      </c>
      <c r="L73" s="10" t="str">
        <f t="shared" ref="L73:L96" si="22">IF($B73="","",$C$1-2*$C$2)</f>
        <v/>
      </c>
      <c r="M73" s="10" t="str">
        <f t="shared" ref="M73:M96" si="23">IF($B73="","",$C$1-$C$2)</f>
        <v/>
      </c>
      <c r="N73" s="10" t="str">
        <f t="shared" ref="N73:N96" si="24">IF($B73="","",$C$1)</f>
        <v/>
      </c>
      <c r="O73" s="10" t="str">
        <f t="shared" ref="O73:O96" si="25">IF($B73="","",$C$1+1*$C$2)</f>
        <v/>
      </c>
      <c r="P73" s="10" t="str">
        <f t="shared" ref="P73:P96" si="26">IF($B73="","",$C$1+2*$C$2)</f>
        <v/>
      </c>
      <c r="Q73" s="14" t="str">
        <f t="shared" ref="Q73:Q96" si="27">IF($B73="","",$C$1+3*$C$2)</f>
        <v/>
      </c>
    </row>
    <row r="74" spans="1:17" x14ac:dyDescent="0.25">
      <c r="A74" s="4">
        <v>46784</v>
      </c>
      <c r="B74" s="5" t="str">
        <f>IF('Catalogo de Variaveis'!G79="","",SUM('Catalogo de Variaveis'!G76:G79))</f>
        <v/>
      </c>
      <c r="C74" s="15" t="str">
        <f>IFERROR(IF($B74="","",AVERAGE('Catalogo de Variaveis'!G79-'Catalogo de Variaveis'!G78,'Catalogo de Variaveis'!G78-'Catalogo de Variaveis'!G77,'Catalogo de Variaveis'!G77-'Catalogo de Variaveis'!G76,'Catalogo de Variaveis'!G76-'Catalogo de Variaveis'!G75)),0)</f>
        <v/>
      </c>
      <c r="D74" s="13" t="str">
        <f t="shared" si="18"/>
        <v/>
      </c>
      <c r="E74" s="10" t="str">
        <f t="shared" si="14"/>
        <v/>
      </c>
      <c r="F74" s="10" t="str">
        <f t="shared" si="15"/>
        <v/>
      </c>
      <c r="G74" s="10" t="str">
        <f t="shared" si="19"/>
        <v/>
      </c>
      <c r="H74" s="10" t="str">
        <f t="shared" si="16"/>
        <v/>
      </c>
      <c r="I74" s="10" t="str">
        <f t="shared" si="20"/>
        <v/>
      </c>
      <c r="J74" s="14" t="str">
        <f t="shared" si="17"/>
        <v/>
      </c>
      <c r="K74" s="13" t="str">
        <f t="shared" si="21"/>
        <v/>
      </c>
      <c r="L74" s="10" t="str">
        <f t="shared" si="22"/>
        <v/>
      </c>
      <c r="M74" s="10" t="str">
        <f t="shared" si="23"/>
        <v/>
      </c>
      <c r="N74" s="10" t="str">
        <f t="shared" si="24"/>
        <v/>
      </c>
      <c r="O74" s="10" t="str">
        <f t="shared" si="25"/>
        <v/>
      </c>
      <c r="P74" s="10" t="str">
        <f t="shared" si="26"/>
        <v/>
      </c>
      <c r="Q74" s="14" t="str">
        <f t="shared" si="27"/>
        <v/>
      </c>
    </row>
    <row r="75" spans="1:17" x14ac:dyDescent="0.25">
      <c r="A75" s="4">
        <v>46813</v>
      </c>
      <c r="B75" s="5" t="str">
        <f>IF('Catalogo de Variaveis'!G80="","",SUM('Catalogo de Variaveis'!G77:G80))</f>
        <v/>
      </c>
      <c r="C75" s="15" t="str">
        <f>IFERROR(IF($B75="","",AVERAGE('Catalogo de Variaveis'!G80-'Catalogo de Variaveis'!G79,'Catalogo de Variaveis'!G79-'Catalogo de Variaveis'!G78,'Catalogo de Variaveis'!G78-'Catalogo de Variaveis'!G77,'Catalogo de Variaveis'!G77-'Catalogo de Variaveis'!G76)),0)</f>
        <v/>
      </c>
      <c r="D75" s="13" t="str">
        <f t="shared" si="18"/>
        <v/>
      </c>
      <c r="E75" s="10" t="str">
        <f t="shared" si="14"/>
        <v/>
      </c>
      <c r="F75" s="10" t="str">
        <f t="shared" si="15"/>
        <v/>
      </c>
      <c r="G75" s="10" t="str">
        <f t="shared" si="19"/>
        <v/>
      </c>
      <c r="H75" s="10" t="str">
        <f t="shared" si="16"/>
        <v/>
      </c>
      <c r="I75" s="10" t="str">
        <f t="shared" si="20"/>
        <v/>
      </c>
      <c r="J75" s="14" t="str">
        <f t="shared" si="17"/>
        <v/>
      </c>
      <c r="K75" s="13" t="str">
        <f t="shared" si="21"/>
        <v/>
      </c>
      <c r="L75" s="10" t="str">
        <f t="shared" si="22"/>
        <v/>
      </c>
      <c r="M75" s="10" t="str">
        <f t="shared" si="23"/>
        <v/>
      </c>
      <c r="N75" s="10" t="str">
        <f t="shared" si="24"/>
        <v/>
      </c>
      <c r="O75" s="10" t="str">
        <f t="shared" si="25"/>
        <v/>
      </c>
      <c r="P75" s="10" t="str">
        <f t="shared" si="26"/>
        <v/>
      </c>
      <c r="Q75" s="14" t="str">
        <f t="shared" si="27"/>
        <v/>
      </c>
    </row>
    <row r="76" spans="1:17" x14ac:dyDescent="0.25">
      <c r="A76" s="4">
        <v>46844</v>
      </c>
      <c r="B76" s="5" t="str">
        <f>IF('Catalogo de Variaveis'!G81="","",SUM('Catalogo de Variaveis'!G78:G81))</f>
        <v/>
      </c>
      <c r="C76" s="15" t="str">
        <f>IFERROR(IF($B76="","",AVERAGE('Catalogo de Variaveis'!G81-'Catalogo de Variaveis'!G80,'Catalogo de Variaveis'!G80-'Catalogo de Variaveis'!G79,'Catalogo de Variaveis'!G79-'Catalogo de Variaveis'!G78,'Catalogo de Variaveis'!G78-'Catalogo de Variaveis'!G77)),0)</f>
        <v/>
      </c>
      <c r="D76" s="13" t="str">
        <f t="shared" si="18"/>
        <v/>
      </c>
      <c r="E76" s="10" t="str">
        <f t="shared" si="14"/>
        <v/>
      </c>
      <c r="F76" s="10" t="str">
        <f t="shared" si="15"/>
        <v/>
      </c>
      <c r="G76" s="10" t="str">
        <f t="shared" si="19"/>
        <v/>
      </c>
      <c r="H76" s="10" t="str">
        <f t="shared" si="16"/>
        <v/>
      </c>
      <c r="I76" s="10" t="str">
        <f t="shared" si="20"/>
        <v/>
      </c>
      <c r="J76" s="14" t="str">
        <f t="shared" si="17"/>
        <v/>
      </c>
      <c r="K76" s="13" t="str">
        <f t="shared" si="21"/>
        <v/>
      </c>
      <c r="L76" s="10" t="str">
        <f t="shared" si="22"/>
        <v/>
      </c>
      <c r="M76" s="10" t="str">
        <f t="shared" si="23"/>
        <v/>
      </c>
      <c r="N76" s="10" t="str">
        <f t="shared" si="24"/>
        <v/>
      </c>
      <c r="O76" s="10" t="str">
        <f t="shared" si="25"/>
        <v/>
      </c>
      <c r="P76" s="10" t="str">
        <f t="shared" si="26"/>
        <v/>
      </c>
      <c r="Q76" s="14" t="str">
        <f t="shared" si="27"/>
        <v/>
      </c>
    </row>
    <row r="77" spans="1:17" x14ac:dyDescent="0.25">
      <c r="A77" s="4">
        <v>46874</v>
      </c>
      <c r="B77" s="5" t="str">
        <f>IF('Catalogo de Variaveis'!G82="","",SUM('Catalogo de Variaveis'!G79:G82))</f>
        <v/>
      </c>
      <c r="C77" s="15" t="str">
        <f>IFERROR(IF($B77="","",AVERAGE('Catalogo de Variaveis'!G82-'Catalogo de Variaveis'!G81,'Catalogo de Variaveis'!G81-'Catalogo de Variaveis'!G80,'Catalogo de Variaveis'!G80-'Catalogo de Variaveis'!G79,'Catalogo de Variaveis'!G79-'Catalogo de Variaveis'!G78)),0)</f>
        <v/>
      </c>
      <c r="D77" s="13" t="str">
        <f t="shared" si="18"/>
        <v/>
      </c>
      <c r="E77" s="10" t="str">
        <f t="shared" si="14"/>
        <v/>
      </c>
      <c r="F77" s="10" t="str">
        <f t="shared" si="15"/>
        <v/>
      </c>
      <c r="G77" s="10" t="str">
        <f t="shared" si="19"/>
        <v/>
      </c>
      <c r="H77" s="10" t="str">
        <f t="shared" si="16"/>
        <v/>
      </c>
      <c r="I77" s="10" t="str">
        <f t="shared" si="20"/>
        <v/>
      </c>
      <c r="J77" s="14" t="str">
        <f t="shared" si="17"/>
        <v/>
      </c>
      <c r="K77" s="13" t="str">
        <f t="shared" si="21"/>
        <v/>
      </c>
      <c r="L77" s="10" t="str">
        <f t="shared" si="22"/>
        <v/>
      </c>
      <c r="M77" s="10" t="str">
        <f t="shared" si="23"/>
        <v/>
      </c>
      <c r="N77" s="10" t="str">
        <f t="shared" si="24"/>
        <v/>
      </c>
      <c r="O77" s="10" t="str">
        <f t="shared" si="25"/>
        <v/>
      </c>
      <c r="P77" s="10" t="str">
        <f t="shared" si="26"/>
        <v/>
      </c>
      <c r="Q77" s="14" t="str">
        <f t="shared" si="27"/>
        <v/>
      </c>
    </row>
    <row r="78" spans="1:17" x14ac:dyDescent="0.25">
      <c r="A78" s="4">
        <v>46905</v>
      </c>
      <c r="B78" s="5" t="str">
        <f>IF('Catalogo de Variaveis'!G83="","",SUM('Catalogo de Variaveis'!G80:G83))</f>
        <v/>
      </c>
      <c r="C78" s="15" t="str">
        <f>IFERROR(IF($B78="","",AVERAGE('Catalogo de Variaveis'!G83-'Catalogo de Variaveis'!G82,'Catalogo de Variaveis'!G82-'Catalogo de Variaveis'!G81,'Catalogo de Variaveis'!G81-'Catalogo de Variaveis'!G80,'Catalogo de Variaveis'!G80-'Catalogo de Variaveis'!G79)),0)</f>
        <v/>
      </c>
      <c r="D78" s="13" t="str">
        <f t="shared" si="18"/>
        <v/>
      </c>
      <c r="E78" s="10" t="str">
        <f t="shared" si="14"/>
        <v/>
      </c>
      <c r="F78" s="10" t="str">
        <f t="shared" si="15"/>
        <v/>
      </c>
      <c r="G78" s="10" t="str">
        <f t="shared" si="19"/>
        <v/>
      </c>
      <c r="H78" s="10" t="str">
        <f t="shared" si="16"/>
        <v/>
      </c>
      <c r="I78" s="10" t="str">
        <f t="shared" si="20"/>
        <v/>
      </c>
      <c r="J78" s="14" t="str">
        <f t="shared" si="17"/>
        <v/>
      </c>
      <c r="K78" s="13" t="str">
        <f t="shared" si="21"/>
        <v/>
      </c>
      <c r="L78" s="10" t="str">
        <f t="shared" si="22"/>
        <v/>
      </c>
      <c r="M78" s="10" t="str">
        <f t="shared" si="23"/>
        <v/>
      </c>
      <c r="N78" s="10" t="str">
        <f t="shared" si="24"/>
        <v/>
      </c>
      <c r="O78" s="10" t="str">
        <f t="shared" si="25"/>
        <v/>
      </c>
      <c r="P78" s="10" t="str">
        <f t="shared" si="26"/>
        <v/>
      </c>
      <c r="Q78" s="14" t="str">
        <f t="shared" si="27"/>
        <v/>
      </c>
    </row>
    <row r="79" spans="1:17" x14ac:dyDescent="0.25">
      <c r="A79" s="4">
        <v>46935</v>
      </c>
      <c r="B79" s="5" t="str">
        <f>IF('Catalogo de Variaveis'!G84="","",SUM('Catalogo de Variaveis'!G81:G84))</f>
        <v/>
      </c>
      <c r="C79" s="15" t="str">
        <f>IFERROR(IF($B79="","",AVERAGE('Catalogo de Variaveis'!G84-'Catalogo de Variaveis'!G83,'Catalogo de Variaveis'!G83-'Catalogo de Variaveis'!G82,'Catalogo de Variaveis'!G82-'Catalogo de Variaveis'!G81,'Catalogo de Variaveis'!G81-'Catalogo de Variaveis'!G80)),0)</f>
        <v/>
      </c>
      <c r="D79" s="13" t="str">
        <f t="shared" si="18"/>
        <v/>
      </c>
      <c r="E79" s="10" t="str">
        <f t="shared" si="14"/>
        <v/>
      </c>
      <c r="F79" s="10" t="str">
        <f t="shared" si="15"/>
        <v/>
      </c>
      <c r="G79" s="10" t="str">
        <f t="shared" si="19"/>
        <v/>
      </c>
      <c r="H79" s="10" t="str">
        <f t="shared" si="16"/>
        <v/>
      </c>
      <c r="I79" s="10" t="str">
        <f t="shared" si="20"/>
        <v/>
      </c>
      <c r="J79" s="14" t="str">
        <f t="shared" si="17"/>
        <v/>
      </c>
      <c r="K79" s="13" t="str">
        <f t="shared" si="21"/>
        <v/>
      </c>
      <c r="L79" s="10" t="str">
        <f t="shared" si="22"/>
        <v/>
      </c>
      <c r="M79" s="10" t="str">
        <f t="shared" si="23"/>
        <v/>
      </c>
      <c r="N79" s="10" t="str">
        <f t="shared" si="24"/>
        <v/>
      </c>
      <c r="O79" s="10" t="str">
        <f t="shared" si="25"/>
        <v/>
      </c>
      <c r="P79" s="10" t="str">
        <f t="shared" si="26"/>
        <v/>
      </c>
      <c r="Q79" s="14" t="str">
        <f t="shared" si="27"/>
        <v/>
      </c>
    </row>
    <row r="80" spans="1:17" x14ac:dyDescent="0.25">
      <c r="A80" s="4">
        <v>46966</v>
      </c>
      <c r="B80" s="5" t="str">
        <f>IF('Catalogo de Variaveis'!G85="","",SUM('Catalogo de Variaveis'!G82:G85))</f>
        <v/>
      </c>
      <c r="C80" s="15" t="str">
        <f>IFERROR(IF($B80="","",AVERAGE('Catalogo de Variaveis'!G85-'Catalogo de Variaveis'!G84,'Catalogo de Variaveis'!G84-'Catalogo de Variaveis'!G83,'Catalogo de Variaveis'!G83-'Catalogo de Variaveis'!G82,'Catalogo de Variaveis'!G82-'Catalogo de Variaveis'!G81)),0)</f>
        <v/>
      </c>
      <c r="D80" s="13" t="str">
        <f t="shared" si="18"/>
        <v/>
      </c>
      <c r="E80" s="10" t="str">
        <f t="shared" si="14"/>
        <v/>
      </c>
      <c r="F80" s="10" t="str">
        <f t="shared" si="15"/>
        <v/>
      </c>
      <c r="G80" s="10" t="str">
        <f t="shared" si="19"/>
        <v/>
      </c>
      <c r="H80" s="10" t="str">
        <f t="shared" si="16"/>
        <v/>
      </c>
      <c r="I80" s="10" t="str">
        <f t="shared" si="20"/>
        <v/>
      </c>
      <c r="J80" s="14" t="str">
        <f t="shared" si="17"/>
        <v/>
      </c>
      <c r="K80" s="13" t="str">
        <f t="shared" si="21"/>
        <v/>
      </c>
      <c r="L80" s="10" t="str">
        <f t="shared" si="22"/>
        <v/>
      </c>
      <c r="M80" s="10" t="str">
        <f t="shared" si="23"/>
        <v/>
      </c>
      <c r="N80" s="10" t="str">
        <f t="shared" si="24"/>
        <v/>
      </c>
      <c r="O80" s="10" t="str">
        <f t="shared" si="25"/>
        <v/>
      </c>
      <c r="P80" s="10" t="str">
        <f t="shared" si="26"/>
        <v/>
      </c>
      <c r="Q80" s="14" t="str">
        <f t="shared" si="27"/>
        <v/>
      </c>
    </row>
    <row r="81" spans="1:17" x14ac:dyDescent="0.25">
      <c r="A81" s="4">
        <v>46997</v>
      </c>
      <c r="B81" s="5" t="str">
        <f>IF('Catalogo de Variaveis'!G86="","",SUM('Catalogo de Variaveis'!G83:G86))</f>
        <v/>
      </c>
      <c r="C81" s="15" t="str">
        <f>IFERROR(IF($B81="","",AVERAGE('Catalogo de Variaveis'!G86-'Catalogo de Variaveis'!G85,'Catalogo de Variaveis'!G85-'Catalogo de Variaveis'!G84,'Catalogo de Variaveis'!G84-'Catalogo de Variaveis'!G83,'Catalogo de Variaveis'!G83-'Catalogo de Variaveis'!G82)),0)</f>
        <v/>
      </c>
      <c r="D81" s="13" t="str">
        <f t="shared" si="18"/>
        <v/>
      </c>
      <c r="E81" s="10" t="str">
        <f t="shared" si="14"/>
        <v/>
      </c>
      <c r="F81" s="10" t="str">
        <f t="shared" si="15"/>
        <v/>
      </c>
      <c r="G81" s="10" t="str">
        <f t="shared" si="19"/>
        <v/>
      </c>
      <c r="H81" s="10" t="str">
        <f t="shared" si="16"/>
        <v/>
      </c>
      <c r="I81" s="10" t="str">
        <f t="shared" si="20"/>
        <v/>
      </c>
      <c r="J81" s="14" t="str">
        <f t="shared" si="17"/>
        <v/>
      </c>
      <c r="K81" s="13" t="str">
        <f t="shared" si="21"/>
        <v/>
      </c>
      <c r="L81" s="10" t="str">
        <f t="shared" si="22"/>
        <v/>
      </c>
      <c r="M81" s="10" t="str">
        <f t="shared" si="23"/>
        <v/>
      </c>
      <c r="N81" s="10" t="str">
        <f t="shared" si="24"/>
        <v/>
      </c>
      <c r="O81" s="10" t="str">
        <f t="shared" si="25"/>
        <v/>
      </c>
      <c r="P81" s="10" t="str">
        <f t="shared" si="26"/>
        <v/>
      </c>
      <c r="Q81" s="14" t="str">
        <f t="shared" si="27"/>
        <v/>
      </c>
    </row>
    <row r="82" spans="1:17" x14ac:dyDescent="0.25">
      <c r="A82" s="4">
        <v>47027</v>
      </c>
      <c r="B82" s="5" t="str">
        <f>IF('Catalogo de Variaveis'!G87="","",SUM('Catalogo de Variaveis'!G84:G87))</f>
        <v/>
      </c>
      <c r="C82" s="15" t="str">
        <f>IFERROR(IF($B82="","",AVERAGE('Catalogo de Variaveis'!G87-'Catalogo de Variaveis'!G86,'Catalogo de Variaveis'!G86-'Catalogo de Variaveis'!G85,'Catalogo de Variaveis'!G85-'Catalogo de Variaveis'!G84,'Catalogo de Variaveis'!G84-'Catalogo de Variaveis'!G83)),0)</f>
        <v/>
      </c>
      <c r="D82" s="13" t="str">
        <f t="shared" si="18"/>
        <v/>
      </c>
      <c r="E82" s="10" t="str">
        <f t="shared" si="14"/>
        <v/>
      </c>
      <c r="F82" s="10" t="str">
        <f t="shared" si="15"/>
        <v/>
      </c>
      <c r="G82" s="10" t="str">
        <f t="shared" si="19"/>
        <v/>
      </c>
      <c r="H82" s="10" t="str">
        <f t="shared" si="16"/>
        <v/>
      </c>
      <c r="I82" s="10" t="str">
        <f t="shared" si="20"/>
        <v/>
      </c>
      <c r="J82" s="14" t="str">
        <f t="shared" si="17"/>
        <v/>
      </c>
      <c r="K82" s="13" t="str">
        <f t="shared" si="21"/>
        <v/>
      </c>
      <c r="L82" s="10" t="str">
        <f t="shared" si="22"/>
        <v/>
      </c>
      <c r="M82" s="10" t="str">
        <f t="shared" si="23"/>
        <v/>
      </c>
      <c r="N82" s="10" t="str">
        <f t="shared" si="24"/>
        <v/>
      </c>
      <c r="O82" s="10" t="str">
        <f t="shared" si="25"/>
        <v/>
      </c>
      <c r="P82" s="10" t="str">
        <f t="shared" si="26"/>
        <v/>
      </c>
      <c r="Q82" s="14" t="str">
        <f t="shared" si="27"/>
        <v/>
      </c>
    </row>
    <row r="83" spans="1:17" x14ac:dyDescent="0.25">
      <c r="A83" s="4">
        <v>47058</v>
      </c>
      <c r="B83" s="5" t="str">
        <f>IF('Catalogo de Variaveis'!G88="","",SUM('Catalogo de Variaveis'!G85:G88))</f>
        <v/>
      </c>
      <c r="C83" s="15" t="str">
        <f>IFERROR(IF($B83="","",AVERAGE('Catalogo de Variaveis'!G88-'Catalogo de Variaveis'!G87,'Catalogo de Variaveis'!G87-'Catalogo de Variaveis'!G86,'Catalogo de Variaveis'!G86-'Catalogo de Variaveis'!G85,'Catalogo de Variaveis'!G85-'Catalogo de Variaveis'!G84)),0)</f>
        <v/>
      </c>
      <c r="D83" s="13" t="str">
        <f t="shared" si="18"/>
        <v/>
      </c>
      <c r="E83" s="10" t="str">
        <f t="shared" si="14"/>
        <v/>
      </c>
      <c r="F83" s="10" t="str">
        <f t="shared" si="15"/>
        <v/>
      </c>
      <c r="G83" s="10" t="str">
        <f t="shared" si="19"/>
        <v/>
      </c>
      <c r="H83" s="10" t="str">
        <f t="shared" si="16"/>
        <v/>
      </c>
      <c r="I83" s="10" t="str">
        <f t="shared" si="20"/>
        <v/>
      </c>
      <c r="J83" s="14" t="str">
        <f t="shared" si="17"/>
        <v/>
      </c>
      <c r="K83" s="13" t="str">
        <f t="shared" si="21"/>
        <v/>
      </c>
      <c r="L83" s="10" t="str">
        <f t="shared" si="22"/>
        <v/>
      </c>
      <c r="M83" s="10" t="str">
        <f t="shared" si="23"/>
        <v/>
      </c>
      <c r="N83" s="10" t="str">
        <f t="shared" si="24"/>
        <v/>
      </c>
      <c r="O83" s="10" t="str">
        <f t="shared" si="25"/>
        <v/>
      </c>
      <c r="P83" s="10" t="str">
        <f t="shared" si="26"/>
        <v/>
      </c>
      <c r="Q83" s="14" t="str">
        <f t="shared" si="27"/>
        <v/>
      </c>
    </row>
    <row r="84" spans="1:17" x14ac:dyDescent="0.25">
      <c r="A84" s="4">
        <v>47088</v>
      </c>
      <c r="B84" s="5" t="str">
        <f>IF('Catalogo de Variaveis'!G89="","",SUM('Catalogo de Variaveis'!G86:G89))</f>
        <v/>
      </c>
      <c r="C84" s="15" t="str">
        <f>IFERROR(IF($B84="","",AVERAGE('Catalogo de Variaveis'!G89-'Catalogo de Variaveis'!G88,'Catalogo de Variaveis'!G88-'Catalogo de Variaveis'!G87,'Catalogo de Variaveis'!G87-'Catalogo de Variaveis'!G86,'Catalogo de Variaveis'!G86-'Catalogo de Variaveis'!G85)),0)</f>
        <v/>
      </c>
      <c r="D84" s="13" t="str">
        <f t="shared" si="18"/>
        <v/>
      </c>
      <c r="E84" s="10" t="str">
        <f t="shared" si="14"/>
        <v/>
      </c>
      <c r="F84" s="10" t="str">
        <f t="shared" si="15"/>
        <v/>
      </c>
      <c r="G84" s="10" t="str">
        <f t="shared" si="19"/>
        <v/>
      </c>
      <c r="H84" s="10" t="str">
        <f t="shared" si="16"/>
        <v/>
      </c>
      <c r="I84" s="10" t="str">
        <f t="shared" si="20"/>
        <v/>
      </c>
      <c r="J84" s="14" t="str">
        <f t="shared" si="17"/>
        <v/>
      </c>
      <c r="K84" s="13" t="str">
        <f t="shared" si="21"/>
        <v/>
      </c>
      <c r="L84" s="10" t="str">
        <f t="shared" si="22"/>
        <v/>
      </c>
      <c r="M84" s="10" t="str">
        <f t="shared" si="23"/>
        <v/>
      </c>
      <c r="N84" s="10" t="str">
        <f t="shared" si="24"/>
        <v/>
      </c>
      <c r="O84" s="10" t="str">
        <f t="shared" si="25"/>
        <v/>
      </c>
      <c r="P84" s="10" t="str">
        <f t="shared" si="26"/>
        <v/>
      </c>
      <c r="Q84" s="14" t="str">
        <f t="shared" si="27"/>
        <v/>
      </c>
    </row>
    <row r="85" spans="1:17" x14ac:dyDescent="0.25">
      <c r="A85" s="4">
        <v>47119</v>
      </c>
      <c r="B85" s="5" t="str">
        <f>IF('Catalogo de Variaveis'!G90="","",SUM('Catalogo de Variaveis'!G87:G90))</f>
        <v/>
      </c>
      <c r="C85" s="15" t="str">
        <f>IFERROR(IF($B85="","",AVERAGE('Catalogo de Variaveis'!G90-'Catalogo de Variaveis'!G89,'Catalogo de Variaveis'!G89-'Catalogo de Variaveis'!G88,'Catalogo de Variaveis'!G88-'Catalogo de Variaveis'!G87,'Catalogo de Variaveis'!G87-'Catalogo de Variaveis'!G86)),0)</f>
        <v/>
      </c>
      <c r="D85" s="13" t="str">
        <f t="shared" si="18"/>
        <v/>
      </c>
      <c r="E85" s="10" t="str">
        <f t="shared" si="14"/>
        <v/>
      </c>
      <c r="F85" s="10" t="str">
        <f t="shared" si="15"/>
        <v/>
      </c>
      <c r="G85" s="10" t="str">
        <f t="shared" si="19"/>
        <v/>
      </c>
      <c r="H85" s="10" t="str">
        <f t="shared" si="16"/>
        <v/>
      </c>
      <c r="I85" s="10" t="str">
        <f t="shared" si="20"/>
        <v/>
      </c>
      <c r="J85" s="14" t="str">
        <f t="shared" si="17"/>
        <v/>
      </c>
      <c r="K85" s="13" t="str">
        <f t="shared" si="21"/>
        <v/>
      </c>
      <c r="L85" s="10" t="str">
        <f t="shared" si="22"/>
        <v/>
      </c>
      <c r="M85" s="10" t="str">
        <f t="shared" si="23"/>
        <v/>
      </c>
      <c r="N85" s="10" t="str">
        <f t="shared" si="24"/>
        <v/>
      </c>
      <c r="O85" s="10" t="str">
        <f t="shared" si="25"/>
        <v/>
      </c>
      <c r="P85" s="10" t="str">
        <f t="shared" si="26"/>
        <v/>
      </c>
      <c r="Q85" s="14" t="str">
        <f t="shared" si="27"/>
        <v/>
      </c>
    </row>
    <row r="86" spans="1:17" x14ac:dyDescent="0.25">
      <c r="A86" s="4">
        <v>47150</v>
      </c>
      <c r="B86" s="5" t="str">
        <f>IF('Catalogo de Variaveis'!G91="","",SUM('Catalogo de Variaveis'!G88:G91))</f>
        <v/>
      </c>
      <c r="C86" s="15" t="str">
        <f>IFERROR(IF($B86="","",AVERAGE('Catalogo de Variaveis'!G91-'Catalogo de Variaveis'!G90,'Catalogo de Variaveis'!G90-'Catalogo de Variaveis'!G89,'Catalogo de Variaveis'!G89-'Catalogo de Variaveis'!G88,'Catalogo de Variaveis'!G88-'Catalogo de Variaveis'!G87)),0)</f>
        <v/>
      </c>
      <c r="D86" s="13" t="str">
        <f t="shared" si="18"/>
        <v/>
      </c>
      <c r="E86" s="10" t="str">
        <f t="shared" si="14"/>
        <v/>
      </c>
      <c r="F86" s="10" t="str">
        <f t="shared" si="15"/>
        <v/>
      </c>
      <c r="G86" s="10" t="str">
        <f t="shared" si="19"/>
        <v/>
      </c>
      <c r="H86" s="10" t="str">
        <f t="shared" si="16"/>
        <v/>
      </c>
      <c r="I86" s="10" t="str">
        <f t="shared" si="20"/>
        <v/>
      </c>
      <c r="J86" s="14" t="str">
        <f t="shared" si="17"/>
        <v/>
      </c>
      <c r="K86" s="13" t="str">
        <f t="shared" si="21"/>
        <v/>
      </c>
      <c r="L86" s="10" t="str">
        <f t="shared" si="22"/>
        <v/>
      </c>
      <c r="M86" s="10" t="str">
        <f t="shared" si="23"/>
        <v/>
      </c>
      <c r="N86" s="10" t="str">
        <f t="shared" si="24"/>
        <v/>
      </c>
      <c r="O86" s="10" t="str">
        <f t="shared" si="25"/>
        <v/>
      </c>
      <c r="P86" s="10" t="str">
        <f t="shared" si="26"/>
        <v/>
      </c>
      <c r="Q86" s="14" t="str">
        <f t="shared" si="27"/>
        <v/>
      </c>
    </row>
    <row r="87" spans="1:17" x14ac:dyDescent="0.25">
      <c r="A87" s="4">
        <v>47178</v>
      </c>
      <c r="B87" s="5" t="str">
        <f>IF('Catalogo de Variaveis'!G92="","",SUM('Catalogo de Variaveis'!G89:G92))</f>
        <v/>
      </c>
      <c r="C87" s="15" t="str">
        <f>IFERROR(IF($B87="","",AVERAGE('Catalogo de Variaveis'!G92-'Catalogo de Variaveis'!G91,'Catalogo de Variaveis'!G91-'Catalogo de Variaveis'!G90,'Catalogo de Variaveis'!G90-'Catalogo de Variaveis'!G89,'Catalogo de Variaveis'!G89-'Catalogo de Variaveis'!G88)),0)</f>
        <v/>
      </c>
      <c r="D87" s="13" t="str">
        <f t="shared" si="18"/>
        <v/>
      </c>
      <c r="E87" s="10" t="str">
        <f t="shared" si="14"/>
        <v/>
      </c>
      <c r="F87" s="10" t="str">
        <f t="shared" si="15"/>
        <v/>
      </c>
      <c r="G87" s="10" t="str">
        <f t="shared" si="19"/>
        <v/>
      </c>
      <c r="H87" s="10" t="str">
        <f t="shared" si="16"/>
        <v/>
      </c>
      <c r="I87" s="10" t="str">
        <f t="shared" si="20"/>
        <v/>
      </c>
      <c r="J87" s="14" t="str">
        <f t="shared" si="17"/>
        <v/>
      </c>
      <c r="K87" s="13" t="str">
        <f t="shared" si="21"/>
        <v/>
      </c>
      <c r="L87" s="10" t="str">
        <f t="shared" si="22"/>
        <v/>
      </c>
      <c r="M87" s="10" t="str">
        <f t="shared" si="23"/>
        <v/>
      </c>
      <c r="N87" s="10" t="str">
        <f t="shared" si="24"/>
        <v/>
      </c>
      <c r="O87" s="10" t="str">
        <f t="shared" si="25"/>
        <v/>
      </c>
      <c r="P87" s="10" t="str">
        <f t="shared" si="26"/>
        <v/>
      </c>
      <c r="Q87" s="14" t="str">
        <f t="shared" si="27"/>
        <v/>
      </c>
    </row>
    <row r="88" spans="1:17" x14ac:dyDescent="0.25">
      <c r="A88" s="4">
        <v>47209</v>
      </c>
      <c r="B88" s="5" t="str">
        <f>IF('Catalogo de Variaveis'!G93="","",SUM('Catalogo de Variaveis'!G90:G93))</f>
        <v/>
      </c>
      <c r="C88" s="15" t="str">
        <f>IFERROR(IF($B88="","",AVERAGE('Catalogo de Variaveis'!G93-'Catalogo de Variaveis'!G92,'Catalogo de Variaveis'!G92-'Catalogo de Variaveis'!G91,'Catalogo de Variaveis'!G91-'Catalogo de Variaveis'!G90,'Catalogo de Variaveis'!G90-'Catalogo de Variaveis'!G89)),0)</f>
        <v/>
      </c>
      <c r="D88" s="13" t="str">
        <f t="shared" si="18"/>
        <v/>
      </c>
      <c r="E88" s="10" t="str">
        <f t="shared" si="14"/>
        <v/>
      </c>
      <c r="F88" s="10" t="str">
        <f t="shared" si="15"/>
        <v/>
      </c>
      <c r="G88" s="10" t="str">
        <f t="shared" si="19"/>
        <v/>
      </c>
      <c r="H88" s="10" t="str">
        <f t="shared" si="16"/>
        <v/>
      </c>
      <c r="I88" s="10" t="str">
        <f t="shared" si="20"/>
        <v/>
      </c>
      <c r="J88" s="14" t="str">
        <f t="shared" si="17"/>
        <v/>
      </c>
      <c r="K88" s="13" t="str">
        <f t="shared" si="21"/>
        <v/>
      </c>
      <c r="L88" s="10" t="str">
        <f t="shared" si="22"/>
        <v/>
      </c>
      <c r="M88" s="10" t="str">
        <f t="shared" si="23"/>
        <v/>
      </c>
      <c r="N88" s="10" t="str">
        <f t="shared" si="24"/>
        <v/>
      </c>
      <c r="O88" s="10" t="str">
        <f t="shared" si="25"/>
        <v/>
      </c>
      <c r="P88" s="10" t="str">
        <f t="shared" si="26"/>
        <v/>
      </c>
      <c r="Q88" s="14" t="str">
        <f t="shared" si="27"/>
        <v/>
      </c>
    </row>
    <row r="89" spans="1:17" x14ac:dyDescent="0.25">
      <c r="A89" s="4">
        <v>47239</v>
      </c>
      <c r="B89" s="5" t="str">
        <f>IF('Catalogo de Variaveis'!G94="","",SUM('Catalogo de Variaveis'!G91:G94))</f>
        <v/>
      </c>
      <c r="C89" s="15" t="str">
        <f>IFERROR(IF($B89="","",AVERAGE('Catalogo de Variaveis'!G94-'Catalogo de Variaveis'!G93,'Catalogo de Variaveis'!G93-'Catalogo de Variaveis'!G92,'Catalogo de Variaveis'!G92-'Catalogo de Variaveis'!G91,'Catalogo de Variaveis'!G91-'Catalogo de Variaveis'!G90)),0)</f>
        <v/>
      </c>
      <c r="D89" s="13" t="str">
        <f t="shared" si="18"/>
        <v/>
      </c>
      <c r="E89" s="10" t="str">
        <f t="shared" si="14"/>
        <v/>
      </c>
      <c r="F89" s="10" t="str">
        <f t="shared" si="15"/>
        <v/>
      </c>
      <c r="G89" s="10" t="str">
        <f t="shared" si="19"/>
        <v/>
      </c>
      <c r="H89" s="10" t="str">
        <f t="shared" si="16"/>
        <v/>
      </c>
      <c r="I89" s="10" t="str">
        <f t="shared" si="20"/>
        <v/>
      </c>
      <c r="J89" s="14" t="str">
        <f t="shared" si="17"/>
        <v/>
      </c>
      <c r="K89" s="13" t="str">
        <f t="shared" si="21"/>
        <v/>
      </c>
      <c r="L89" s="10" t="str">
        <f t="shared" si="22"/>
        <v/>
      </c>
      <c r="M89" s="10" t="str">
        <f t="shared" si="23"/>
        <v/>
      </c>
      <c r="N89" s="10" t="str">
        <f t="shared" si="24"/>
        <v/>
      </c>
      <c r="O89" s="10" t="str">
        <f t="shared" si="25"/>
        <v/>
      </c>
      <c r="P89" s="10" t="str">
        <f t="shared" si="26"/>
        <v/>
      </c>
      <c r="Q89" s="14" t="str">
        <f t="shared" si="27"/>
        <v/>
      </c>
    </row>
    <row r="90" spans="1:17" x14ac:dyDescent="0.25">
      <c r="A90" s="4">
        <v>47270</v>
      </c>
      <c r="B90" s="5" t="str">
        <f>IF('Catalogo de Variaveis'!G95="","",SUM('Catalogo de Variaveis'!G92:G95))</f>
        <v/>
      </c>
      <c r="C90" s="15" t="str">
        <f>IFERROR(IF($B90="","",AVERAGE('Catalogo de Variaveis'!G95-'Catalogo de Variaveis'!G94,'Catalogo de Variaveis'!G94-'Catalogo de Variaveis'!G93,'Catalogo de Variaveis'!G93-'Catalogo de Variaveis'!G92,'Catalogo de Variaveis'!G92-'Catalogo de Variaveis'!G91)),0)</f>
        <v/>
      </c>
      <c r="D90" s="13" t="str">
        <f t="shared" si="18"/>
        <v/>
      </c>
      <c r="E90" s="10" t="str">
        <f t="shared" si="14"/>
        <v/>
      </c>
      <c r="F90" s="10" t="str">
        <f t="shared" si="15"/>
        <v/>
      </c>
      <c r="G90" s="10" t="str">
        <f t="shared" si="19"/>
        <v/>
      </c>
      <c r="H90" s="10" t="str">
        <f t="shared" si="16"/>
        <v/>
      </c>
      <c r="I90" s="10" t="str">
        <f t="shared" si="20"/>
        <v/>
      </c>
      <c r="J90" s="14" t="str">
        <f t="shared" si="17"/>
        <v/>
      </c>
      <c r="K90" s="13" t="str">
        <f t="shared" si="21"/>
        <v/>
      </c>
      <c r="L90" s="10" t="str">
        <f t="shared" si="22"/>
        <v/>
      </c>
      <c r="M90" s="10" t="str">
        <f t="shared" si="23"/>
        <v/>
      </c>
      <c r="N90" s="10" t="str">
        <f t="shared" si="24"/>
        <v/>
      </c>
      <c r="O90" s="10" t="str">
        <f t="shared" si="25"/>
        <v/>
      </c>
      <c r="P90" s="10" t="str">
        <f t="shared" si="26"/>
        <v/>
      </c>
      <c r="Q90" s="14" t="str">
        <f t="shared" si="27"/>
        <v/>
      </c>
    </row>
    <row r="91" spans="1:17" x14ac:dyDescent="0.25">
      <c r="A91" s="4">
        <v>47300</v>
      </c>
      <c r="B91" s="5" t="str">
        <f>IF('Catalogo de Variaveis'!G96="","",SUM('Catalogo de Variaveis'!G93:G96))</f>
        <v/>
      </c>
      <c r="C91" s="15" t="str">
        <f>IFERROR(IF($B91="","",AVERAGE('Catalogo de Variaveis'!G96-'Catalogo de Variaveis'!G95,'Catalogo de Variaveis'!G95-'Catalogo de Variaveis'!G94,'Catalogo de Variaveis'!G94-'Catalogo de Variaveis'!G93,'Catalogo de Variaveis'!G93-'Catalogo de Variaveis'!G92)),0)</f>
        <v/>
      </c>
      <c r="D91" s="13" t="str">
        <f t="shared" si="18"/>
        <v/>
      </c>
      <c r="E91" s="10" t="str">
        <f t="shared" si="14"/>
        <v/>
      </c>
      <c r="F91" s="10" t="str">
        <f t="shared" si="15"/>
        <v/>
      </c>
      <c r="G91" s="10" t="str">
        <f t="shared" si="19"/>
        <v/>
      </c>
      <c r="H91" s="10" t="str">
        <f t="shared" si="16"/>
        <v/>
      </c>
      <c r="I91" s="10" t="str">
        <f t="shared" si="20"/>
        <v/>
      </c>
      <c r="J91" s="14" t="str">
        <f t="shared" si="17"/>
        <v/>
      </c>
      <c r="K91" s="13" t="str">
        <f t="shared" si="21"/>
        <v/>
      </c>
      <c r="L91" s="10" t="str">
        <f t="shared" si="22"/>
        <v/>
      </c>
      <c r="M91" s="10" t="str">
        <f t="shared" si="23"/>
        <v/>
      </c>
      <c r="N91" s="10" t="str">
        <f t="shared" si="24"/>
        <v/>
      </c>
      <c r="O91" s="10" t="str">
        <f t="shared" si="25"/>
        <v/>
      </c>
      <c r="P91" s="10" t="str">
        <f t="shared" si="26"/>
        <v/>
      </c>
      <c r="Q91" s="14" t="str">
        <f t="shared" si="27"/>
        <v/>
      </c>
    </row>
    <row r="92" spans="1:17" x14ac:dyDescent="0.25">
      <c r="A92" s="4">
        <v>47331</v>
      </c>
      <c r="B92" s="5" t="str">
        <f>IF('Catalogo de Variaveis'!G97="","",SUM('Catalogo de Variaveis'!G94:G97))</f>
        <v/>
      </c>
      <c r="C92" s="15" t="str">
        <f>IFERROR(IF($B92="","",AVERAGE('Catalogo de Variaveis'!G97-'Catalogo de Variaveis'!G96,'Catalogo de Variaveis'!G96-'Catalogo de Variaveis'!G95,'Catalogo de Variaveis'!G95-'Catalogo de Variaveis'!G94,'Catalogo de Variaveis'!G94-'Catalogo de Variaveis'!G93)),0)</f>
        <v/>
      </c>
      <c r="D92" s="13" t="str">
        <f t="shared" si="18"/>
        <v/>
      </c>
      <c r="E92" s="10" t="str">
        <f t="shared" si="14"/>
        <v/>
      </c>
      <c r="F92" s="10" t="str">
        <f t="shared" si="15"/>
        <v/>
      </c>
      <c r="G92" s="10" t="str">
        <f t="shared" si="19"/>
        <v/>
      </c>
      <c r="H92" s="10" t="str">
        <f t="shared" si="16"/>
        <v/>
      </c>
      <c r="I92" s="10" t="str">
        <f t="shared" si="20"/>
        <v/>
      </c>
      <c r="J92" s="14" t="str">
        <f t="shared" si="17"/>
        <v/>
      </c>
      <c r="K92" s="13" t="str">
        <f t="shared" si="21"/>
        <v/>
      </c>
      <c r="L92" s="10" t="str">
        <f t="shared" si="22"/>
        <v/>
      </c>
      <c r="M92" s="10" t="str">
        <f t="shared" si="23"/>
        <v/>
      </c>
      <c r="N92" s="10" t="str">
        <f t="shared" si="24"/>
        <v/>
      </c>
      <c r="O92" s="10" t="str">
        <f t="shared" si="25"/>
        <v/>
      </c>
      <c r="P92" s="10" t="str">
        <f t="shared" si="26"/>
        <v/>
      </c>
      <c r="Q92" s="14" t="str">
        <f t="shared" si="27"/>
        <v/>
      </c>
    </row>
    <row r="93" spans="1:17" x14ac:dyDescent="0.25">
      <c r="A93" s="4">
        <v>47362</v>
      </c>
      <c r="B93" s="5" t="str">
        <f>IF('Catalogo de Variaveis'!G98="","",SUM('Catalogo de Variaveis'!G95:G98))</f>
        <v/>
      </c>
      <c r="C93" s="15" t="str">
        <f>IFERROR(IF($B93="","",AVERAGE('Catalogo de Variaveis'!G98-'Catalogo de Variaveis'!G97,'Catalogo de Variaveis'!G97-'Catalogo de Variaveis'!G96,'Catalogo de Variaveis'!G96-'Catalogo de Variaveis'!G95,'Catalogo de Variaveis'!G95-'Catalogo de Variaveis'!G94)),0)</f>
        <v/>
      </c>
      <c r="D93" s="13" t="str">
        <f t="shared" si="18"/>
        <v/>
      </c>
      <c r="E93" s="10" t="str">
        <f t="shared" si="14"/>
        <v/>
      </c>
      <c r="F93" s="10" t="str">
        <f t="shared" si="15"/>
        <v/>
      </c>
      <c r="G93" s="10" t="str">
        <f t="shared" si="19"/>
        <v/>
      </c>
      <c r="H93" s="10" t="str">
        <f t="shared" si="16"/>
        <v/>
      </c>
      <c r="I93" s="10" t="str">
        <f t="shared" si="20"/>
        <v/>
      </c>
      <c r="J93" s="14" t="str">
        <f t="shared" si="17"/>
        <v/>
      </c>
      <c r="K93" s="13" t="str">
        <f t="shared" si="21"/>
        <v/>
      </c>
      <c r="L93" s="10" t="str">
        <f t="shared" si="22"/>
        <v/>
      </c>
      <c r="M93" s="10" t="str">
        <f t="shared" si="23"/>
        <v/>
      </c>
      <c r="N93" s="10" t="str">
        <f t="shared" si="24"/>
        <v/>
      </c>
      <c r="O93" s="10" t="str">
        <f t="shared" si="25"/>
        <v/>
      </c>
      <c r="P93" s="10" t="str">
        <f t="shared" si="26"/>
        <v/>
      </c>
      <c r="Q93" s="14" t="str">
        <f t="shared" si="27"/>
        <v/>
      </c>
    </row>
    <row r="94" spans="1:17" x14ac:dyDescent="0.25">
      <c r="A94" s="4">
        <v>47392</v>
      </c>
      <c r="B94" s="5" t="str">
        <f>IF('Catalogo de Variaveis'!G99="","",SUM('Catalogo de Variaveis'!G96:G99))</f>
        <v/>
      </c>
      <c r="C94" s="15" t="str">
        <f>IFERROR(IF($B94="","",AVERAGE('Catalogo de Variaveis'!G99-'Catalogo de Variaveis'!G98,'Catalogo de Variaveis'!G98-'Catalogo de Variaveis'!G97,'Catalogo de Variaveis'!G97-'Catalogo de Variaveis'!G96,'Catalogo de Variaveis'!G96-'Catalogo de Variaveis'!G95)),0)</f>
        <v/>
      </c>
      <c r="D94" s="13" t="str">
        <f t="shared" si="18"/>
        <v/>
      </c>
      <c r="E94" s="10" t="str">
        <f t="shared" si="14"/>
        <v/>
      </c>
      <c r="F94" s="10" t="str">
        <f t="shared" si="15"/>
        <v/>
      </c>
      <c r="G94" s="10" t="str">
        <f t="shared" si="19"/>
        <v/>
      </c>
      <c r="H94" s="10" t="str">
        <f t="shared" si="16"/>
        <v/>
      </c>
      <c r="I94" s="10" t="str">
        <f t="shared" si="20"/>
        <v/>
      </c>
      <c r="J94" s="14" t="str">
        <f t="shared" si="17"/>
        <v/>
      </c>
      <c r="K94" s="13" t="str">
        <f t="shared" si="21"/>
        <v/>
      </c>
      <c r="L94" s="10" t="str">
        <f t="shared" si="22"/>
        <v/>
      </c>
      <c r="M94" s="10" t="str">
        <f t="shared" si="23"/>
        <v/>
      </c>
      <c r="N94" s="10" t="str">
        <f t="shared" si="24"/>
        <v/>
      </c>
      <c r="O94" s="10" t="str">
        <f t="shared" si="25"/>
        <v/>
      </c>
      <c r="P94" s="10" t="str">
        <f t="shared" si="26"/>
        <v/>
      </c>
      <c r="Q94" s="14" t="str">
        <f t="shared" si="27"/>
        <v/>
      </c>
    </row>
    <row r="95" spans="1:17" x14ac:dyDescent="0.25">
      <c r="A95" s="4">
        <v>47423</v>
      </c>
      <c r="B95" s="5" t="str">
        <f>IF('Catalogo de Variaveis'!G100="","",SUM('Catalogo de Variaveis'!G97:G100))</f>
        <v/>
      </c>
      <c r="C95" s="15" t="str">
        <f>IFERROR(IF($B95="","",AVERAGE('Catalogo de Variaveis'!G100-'Catalogo de Variaveis'!G99,'Catalogo de Variaveis'!G99-'Catalogo de Variaveis'!G98,'Catalogo de Variaveis'!G98-'Catalogo de Variaveis'!G97,'Catalogo de Variaveis'!G97-'Catalogo de Variaveis'!G96)),0)</f>
        <v/>
      </c>
      <c r="D95" s="13" t="str">
        <f t="shared" si="18"/>
        <v/>
      </c>
      <c r="E95" s="10" t="str">
        <f t="shared" ref="E95:E96" si="28">IF($B95="","",IF(OR($J$1="",$J$2=""),$B$1-2*$B$2,$J$1-2*$J$2))</f>
        <v/>
      </c>
      <c r="F95" s="10" t="str">
        <f t="shared" ref="F95:F96" si="29">IF($B95="","",IF(OR($J$1="",$J$2=""),$B$1-$B$2,$J$1-$J$2))</f>
        <v/>
      </c>
      <c r="G95" s="10" t="str">
        <f t="shared" si="19"/>
        <v/>
      </c>
      <c r="H95" s="10" t="str">
        <f t="shared" ref="H95:H96" si="30">IF($B95="","",IF(OR($J$1="",$J$2=""),$B$1+$B$2,$J$1+$J$2))</f>
        <v/>
      </c>
      <c r="I95" s="10" t="str">
        <f t="shared" si="20"/>
        <v/>
      </c>
      <c r="J95" s="14" t="str">
        <f t="shared" ref="J95:J96" si="31">IF($B95="","",IF(OR($J$1="",$J$2=""),$B$1+3*$B$2,$J$1+3*$J$2))</f>
        <v/>
      </c>
      <c r="K95" s="13" t="str">
        <f t="shared" si="21"/>
        <v/>
      </c>
      <c r="L95" s="10" t="str">
        <f t="shared" si="22"/>
        <v/>
      </c>
      <c r="M95" s="10" t="str">
        <f t="shared" si="23"/>
        <v/>
      </c>
      <c r="N95" s="10" t="str">
        <f t="shared" si="24"/>
        <v/>
      </c>
      <c r="O95" s="10" t="str">
        <f t="shared" si="25"/>
        <v/>
      </c>
      <c r="P95" s="10" t="str">
        <f t="shared" si="26"/>
        <v/>
      </c>
      <c r="Q95" s="14" t="str">
        <f t="shared" si="27"/>
        <v/>
      </c>
    </row>
    <row r="96" spans="1:17" x14ac:dyDescent="0.25">
      <c r="A96" s="4">
        <v>47453</v>
      </c>
      <c r="B96" s="5" t="str">
        <f>IF('Catalogo de Variaveis'!G101="","",SUM('Catalogo de Variaveis'!G98:G101))</f>
        <v/>
      </c>
      <c r="C96" s="15" t="str">
        <f>IFERROR(IF($B96="","",AVERAGE('Catalogo de Variaveis'!G101-'Catalogo de Variaveis'!G100,'Catalogo de Variaveis'!G100-'Catalogo de Variaveis'!G99,'Catalogo de Variaveis'!G99-'Catalogo de Variaveis'!G98,'Catalogo de Variaveis'!G98-'Catalogo de Variaveis'!G97)),0)</f>
        <v/>
      </c>
      <c r="D96" s="13" t="str">
        <f t="shared" si="18"/>
        <v/>
      </c>
      <c r="E96" s="10" t="str">
        <f t="shared" si="28"/>
        <v/>
      </c>
      <c r="F96" s="10" t="str">
        <f t="shared" si="29"/>
        <v/>
      </c>
      <c r="G96" s="10" t="str">
        <f t="shared" si="19"/>
        <v/>
      </c>
      <c r="H96" s="10" t="str">
        <f t="shared" si="30"/>
        <v/>
      </c>
      <c r="I96" s="10" t="str">
        <f t="shared" si="20"/>
        <v/>
      </c>
      <c r="J96" s="14" t="str">
        <f t="shared" si="31"/>
        <v/>
      </c>
      <c r="K96" s="13" t="str">
        <f t="shared" si="21"/>
        <v/>
      </c>
      <c r="L96" s="10" t="str">
        <f t="shared" si="22"/>
        <v/>
      </c>
      <c r="M96" s="10" t="str">
        <f t="shared" si="23"/>
        <v/>
      </c>
      <c r="N96" s="10" t="str">
        <f t="shared" si="24"/>
        <v/>
      </c>
      <c r="O96" s="10" t="str">
        <f t="shared" si="25"/>
        <v/>
      </c>
      <c r="P96" s="10" t="str">
        <f t="shared" si="26"/>
        <v/>
      </c>
      <c r="Q96" s="14" t="str">
        <f t="shared" si="27"/>
        <v/>
      </c>
    </row>
  </sheetData>
  <mergeCells count="4">
    <mergeCell ref="D7:J7"/>
    <mergeCell ref="K7:Q7"/>
    <mergeCell ref="A7:C7"/>
    <mergeCell ref="A5:Q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5F6B-4455-4B35-9B3D-AB3B507A79F1}">
  <dimension ref="A1:Q96"/>
  <sheetViews>
    <sheetView topLeftCell="A5" zoomScale="161" zoomScaleNormal="161" workbookViewId="0">
      <selection activeCell="B9" sqref="B9"/>
    </sheetView>
  </sheetViews>
  <sheetFormatPr defaultColWidth="0" defaultRowHeight="15" x14ac:dyDescent="0.25"/>
  <cols>
    <col min="1" max="1" width="13.85546875" style="2" bestFit="1" customWidth="1"/>
    <col min="2" max="3" width="10.7109375" customWidth="1"/>
    <col min="4" max="17" width="9.140625" customWidth="1"/>
    <col min="18" max="16384" width="9.140625" hidden="1"/>
  </cols>
  <sheetData>
    <row r="1" spans="1:17" hidden="1" x14ac:dyDescent="0.25">
      <c r="A1" s="7" t="s">
        <v>0</v>
      </c>
      <c r="B1" s="9">
        <f>AVERAGE(B9:B1048576)</f>
        <v>57.631578947368418</v>
      </c>
      <c r="C1" s="9">
        <f>AVERAGE(C9:C1048576)</f>
        <v>0.42105263157894735</v>
      </c>
      <c r="I1" s="7" t="s">
        <v>25</v>
      </c>
      <c r="J1" s="16" t="str">
        <f>IF(LME="","",LME)</f>
        <v/>
      </c>
    </row>
    <row r="2" spans="1:17" hidden="1" x14ac:dyDescent="0.25">
      <c r="A2" s="7" t="s">
        <v>1</v>
      </c>
      <c r="B2" s="9">
        <f>_xlfn.STDEV.S(B9:B1048576)</f>
        <v>18.623468270236824</v>
      </c>
      <c r="C2" s="9">
        <f>_xlfn.STDEV.S(C9:C1048576)</f>
        <v>2.4646865811094512</v>
      </c>
      <c r="I2" s="7" t="s">
        <v>26</v>
      </c>
      <c r="J2" s="16" t="str">
        <f>IF(VME="","",VME/3)</f>
        <v/>
      </c>
    </row>
    <row r="3" spans="1:17" hidden="1" x14ac:dyDescent="0.25">
      <c r="A3" s="7" t="s">
        <v>2</v>
      </c>
      <c r="B3" s="9">
        <f>MAX(B9:B1048576)</f>
        <v>103</v>
      </c>
      <c r="C3" s="9">
        <f>MAX(C9:C1048576)</f>
        <v>4.25</v>
      </c>
    </row>
    <row r="4" spans="1:17" hidden="1" x14ac:dyDescent="0.25">
      <c r="A4" s="7" t="s">
        <v>3</v>
      </c>
      <c r="B4" s="9">
        <f>MIN(B9:B1048576)</f>
        <v>16</v>
      </c>
      <c r="C4" s="9">
        <f>MIN(C9:C1048576)</f>
        <v>-6</v>
      </c>
    </row>
    <row r="5" spans="1:17" x14ac:dyDescent="0.25">
      <c r="A5" s="22" t="s">
        <v>41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>
        <v>44805</v>
      </c>
      <c r="B9" s="5">
        <f>IF('Catalogo de Variaveis'!H14="","",SUM('Catalogo de Variaveis'!H11:H14))</f>
        <v>16</v>
      </c>
      <c r="C9" s="15">
        <f>IFERROR(IF($B9="","",AVERAGE('Catalogo de Variaveis'!H14-'Catalogo de Variaveis'!H13,'Catalogo de Variaveis'!H13-'Catalogo de Variaveis'!H12,'Catalogo de Variaveis'!H12-'Catalogo de Variaveis'!H11,'Catalogo de Variaveis'!H11-'Catalogo de Variaveis'!H10)),0)</f>
        <v>4</v>
      </c>
      <c r="D9" s="13">
        <f t="shared" ref="D9:D59" si="0">IF($B9="","",IF(OR($J$1="",$J$2=""),$B$1-3*$B$2,$J$1-3*$J$2))</f>
        <v>1.7611741366579494</v>
      </c>
      <c r="E9" s="10">
        <f t="shared" ref="E9:E29" si="1">IF($B9="","",IF(OR($J$1="",$J$2=""),$B$1-2*$B$2,$J$1-2*$J$2))</f>
        <v>20.38464240689477</v>
      </c>
      <c r="F9" s="10">
        <f t="shared" ref="F9:F29" si="2">IF($B9="","",IF(OR($J$1="",$J$2=""),$B$1-$B$2,$J$1-$J$2))</f>
        <v>39.008110677131597</v>
      </c>
      <c r="G9" s="10">
        <f t="shared" ref="G9:G59" si="3">IF($B9="","",IF(OR($J$1="",$J$2=""),$B$1,$J$1))</f>
        <v>57.631578947368418</v>
      </c>
      <c r="H9" s="10">
        <f t="shared" ref="H9:H29" si="4">IF($B9="","",IF(OR($J$1="",$J$2=""),$B$1+$B$2,$J$1+$J$2))</f>
        <v>76.255047217605238</v>
      </c>
      <c r="I9" s="10">
        <f t="shared" ref="I9:I59" si="5">IF($B9="","",IF(OR($J$1="",$J$2=""),$B$1+2*$B$2,$J$1+2*$J$2))</f>
        <v>94.878515487842066</v>
      </c>
      <c r="J9" s="14">
        <f t="shared" ref="J9:J29" si="6">IF($B9="","",IF(OR($J$1="",$J$2=""),$B$1+3*$B$2,$J$1+3*$J$2))</f>
        <v>113.50198375807889</v>
      </c>
      <c r="K9" s="13">
        <f t="shared" ref="K9:K72" si="7">IF($B9="","",$C$1-3*$C$2)</f>
        <v>-6.973007111749407</v>
      </c>
      <c r="L9" s="10">
        <f t="shared" ref="L9:L72" si="8">IF($B9="","",$C$1-2*$C$2)</f>
        <v>-4.5083205306399545</v>
      </c>
      <c r="M9" s="10">
        <f t="shared" ref="M9:M72" si="9">IF($B9="","",$C$1-$C$2)</f>
        <v>-2.0436339495305038</v>
      </c>
      <c r="N9" s="10">
        <f t="shared" ref="N9:N72" si="10">IF($B9="","",$C$1)</f>
        <v>0.42105263157894735</v>
      </c>
      <c r="O9" s="10">
        <f t="shared" ref="O9:O72" si="11">IF($B9="","",$C$1+1*$C$2)</f>
        <v>2.8857392126883985</v>
      </c>
      <c r="P9" s="10">
        <f t="shared" ref="P9:P72" si="12">IF($B9="","",$C$1+2*$C$2)</f>
        <v>5.3504257937978501</v>
      </c>
      <c r="Q9" s="14">
        <f t="shared" ref="Q9:Q72" si="13">IF($B9="","",$C$1+3*$C$2)</f>
        <v>7.8151123749073008</v>
      </c>
    </row>
    <row r="10" spans="1:17" x14ac:dyDescent="0.25">
      <c r="A10" s="4">
        <v>44835</v>
      </c>
      <c r="B10" s="5">
        <f>IF('Catalogo de Variaveis'!H15="","",SUM('Catalogo de Variaveis'!H12:H15))</f>
        <v>29</v>
      </c>
      <c r="C10" s="15">
        <f>IFERROR(IF($B10="","",AVERAGE('Catalogo de Variaveis'!H15-'Catalogo de Variaveis'!H14,'Catalogo de Variaveis'!H14-'Catalogo de Variaveis'!H13,'Catalogo de Variaveis'!H13-'Catalogo de Variaveis'!H12,'Catalogo de Variaveis'!H12-'Catalogo de Variaveis'!H11)),0)</f>
        <v>3.25</v>
      </c>
      <c r="D10" s="13">
        <f t="shared" si="0"/>
        <v>1.7611741366579494</v>
      </c>
      <c r="E10" s="10">
        <f t="shared" si="1"/>
        <v>20.38464240689477</v>
      </c>
      <c r="F10" s="10">
        <f t="shared" si="2"/>
        <v>39.008110677131597</v>
      </c>
      <c r="G10" s="10">
        <f t="shared" si="3"/>
        <v>57.631578947368418</v>
      </c>
      <c r="H10" s="10">
        <f t="shared" si="4"/>
        <v>76.255047217605238</v>
      </c>
      <c r="I10" s="10">
        <f t="shared" si="5"/>
        <v>94.878515487842066</v>
      </c>
      <c r="J10" s="14">
        <f t="shared" si="6"/>
        <v>113.50198375807889</v>
      </c>
      <c r="K10" s="13">
        <f t="shared" si="7"/>
        <v>-6.973007111749407</v>
      </c>
      <c r="L10" s="10">
        <f t="shared" si="8"/>
        <v>-4.5083205306399545</v>
      </c>
      <c r="M10" s="10">
        <f t="shared" si="9"/>
        <v>-2.0436339495305038</v>
      </c>
      <c r="N10" s="10">
        <f t="shared" si="10"/>
        <v>0.42105263157894735</v>
      </c>
      <c r="O10" s="10">
        <f t="shared" si="11"/>
        <v>2.8857392126883985</v>
      </c>
      <c r="P10" s="10">
        <f t="shared" si="12"/>
        <v>5.3504257937978501</v>
      </c>
      <c r="Q10" s="14">
        <f t="shared" si="13"/>
        <v>7.8151123749073008</v>
      </c>
    </row>
    <row r="11" spans="1:17" x14ac:dyDescent="0.25">
      <c r="A11" s="4">
        <v>44866</v>
      </c>
      <c r="B11" s="5">
        <f>IF('Catalogo de Variaveis'!H16="","",SUM('Catalogo de Variaveis'!H13:H16))</f>
        <v>38</v>
      </c>
      <c r="C11" s="15">
        <f>IFERROR(IF($B11="","",AVERAGE('Catalogo de Variaveis'!H16-'Catalogo de Variaveis'!H15,'Catalogo de Variaveis'!H15-'Catalogo de Variaveis'!H14,'Catalogo de Variaveis'!H14-'Catalogo de Variaveis'!H13,'Catalogo de Variaveis'!H13-'Catalogo de Variaveis'!H12)),0)</f>
        <v>2.25</v>
      </c>
      <c r="D11" s="13">
        <f t="shared" si="0"/>
        <v>1.7611741366579494</v>
      </c>
      <c r="E11" s="10">
        <f t="shared" si="1"/>
        <v>20.38464240689477</v>
      </c>
      <c r="F11" s="10">
        <f t="shared" si="2"/>
        <v>39.008110677131597</v>
      </c>
      <c r="G11" s="10">
        <f t="shared" si="3"/>
        <v>57.631578947368418</v>
      </c>
      <c r="H11" s="10">
        <f t="shared" si="4"/>
        <v>76.255047217605238</v>
      </c>
      <c r="I11" s="10">
        <f t="shared" si="5"/>
        <v>94.878515487842066</v>
      </c>
      <c r="J11" s="14">
        <f t="shared" si="6"/>
        <v>113.50198375807889</v>
      </c>
      <c r="K11" s="13">
        <f t="shared" si="7"/>
        <v>-6.973007111749407</v>
      </c>
      <c r="L11" s="10">
        <f t="shared" si="8"/>
        <v>-4.5083205306399545</v>
      </c>
      <c r="M11" s="10">
        <f t="shared" si="9"/>
        <v>-2.0436339495305038</v>
      </c>
      <c r="N11" s="10">
        <f t="shared" si="10"/>
        <v>0.42105263157894735</v>
      </c>
      <c r="O11" s="10">
        <f t="shared" si="11"/>
        <v>2.8857392126883985</v>
      </c>
      <c r="P11" s="10">
        <f t="shared" si="12"/>
        <v>5.3504257937978501</v>
      </c>
      <c r="Q11" s="14">
        <f t="shared" si="13"/>
        <v>7.8151123749073008</v>
      </c>
    </row>
    <row r="12" spans="1:17" x14ac:dyDescent="0.25">
      <c r="A12" s="4">
        <v>44896</v>
      </c>
      <c r="B12" s="5">
        <f>IF('Catalogo de Variaveis'!H17="","",SUM('Catalogo de Variaveis'!H14:H17))</f>
        <v>45</v>
      </c>
      <c r="C12" s="15">
        <f>IFERROR(IF($B12="","",AVERAGE('Catalogo de Variaveis'!H17-'Catalogo de Variaveis'!H16,'Catalogo de Variaveis'!H16-'Catalogo de Variaveis'!H15,'Catalogo de Variaveis'!H15-'Catalogo de Variaveis'!H14,'Catalogo de Variaveis'!H14-'Catalogo de Variaveis'!H13)),0)</f>
        <v>1.75</v>
      </c>
      <c r="D12" s="13">
        <f t="shared" si="0"/>
        <v>1.7611741366579494</v>
      </c>
      <c r="E12" s="10">
        <f t="shared" si="1"/>
        <v>20.38464240689477</v>
      </c>
      <c r="F12" s="10">
        <f t="shared" si="2"/>
        <v>39.008110677131597</v>
      </c>
      <c r="G12" s="10">
        <f t="shared" si="3"/>
        <v>57.631578947368418</v>
      </c>
      <c r="H12" s="10">
        <f t="shared" si="4"/>
        <v>76.255047217605238</v>
      </c>
      <c r="I12" s="10">
        <f t="shared" si="5"/>
        <v>94.878515487842066</v>
      </c>
      <c r="J12" s="14">
        <f t="shared" si="6"/>
        <v>113.50198375807889</v>
      </c>
      <c r="K12" s="13">
        <f t="shared" si="7"/>
        <v>-6.973007111749407</v>
      </c>
      <c r="L12" s="10">
        <f t="shared" si="8"/>
        <v>-4.5083205306399545</v>
      </c>
      <c r="M12" s="10">
        <f t="shared" si="9"/>
        <v>-2.0436339495305038</v>
      </c>
      <c r="N12" s="10">
        <f t="shared" si="10"/>
        <v>0.42105263157894735</v>
      </c>
      <c r="O12" s="10">
        <f t="shared" si="11"/>
        <v>2.8857392126883985</v>
      </c>
      <c r="P12" s="10">
        <f t="shared" si="12"/>
        <v>5.3504257937978501</v>
      </c>
      <c r="Q12" s="14">
        <f t="shared" si="13"/>
        <v>7.8151123749073008</v>
      </c>
    </row>
    <row r="13" spans="1:17" x14ac:dyDescent="0.25">
      <c r="A13" s="4">
        <v>44927</v>
      </c>
      <c r="B13" s="5">
        <f>IF('Catalogo de Variaveis'!H18="","",SUM('Catalogo de Variaveis'!H15:H18))</f>
        <v>35</v>
      </c>
      <c r="C13" s="15">
        <f>IFERROR(IF($B13="","",AVERAGE('Catalogo de Variaveis'!H18-'Catalogo de Variaveis'!H17,'Catalogo de Variaveis'!H17-'Catalogo de Variaveis'!H16,'Catalogo de Variaveis'!H16-'Catalogo de Variaveis'!H15,'Catalogo de Variaveis'!H15-'Catalogo de Variaveis'!H14)),0)</f>
        <v>-2.5</v>
      </c>
      <c r="D13" s="13">
        <f t="shared" si="0"/>
        <v>1.7611741366579494</v>
      </c>
      <c r="E13" s="10">
        <f t="shared" si="1"/>
        <v>20.38464240689477</v>
      </c>
      <c r="F13" s="10">
        <f t="shared" si="2"/>
        <v>39.008110677131597</v>
      </c>
      <c r="G13" s="10">
        <f t="shared" si="3"/>
        <v>57.631578947368418</v>
      </c>
      <c r="H13" s="10">
        <f t="shared" si="4"/>
        <v>76.255047217605238</v>
      </c>
      <c r="I13" s="10">
        <f t="shared" si="5"/>
        <v>94.878515487842066</v>
      </c>
      <c r="J13" s="14">
        <f t="shared" si="6"/>
        <v>113.50198375807889</v>
      </c>
      <c r="K13" s="13">
        <f t="shared" si="7"/>
        <v>-6.973007111749407</v>
      </c>
      <c r="L13" s="10">
        <f t="shared" si="8"/>
        <v>-4.5083205306399545</v>
      </c>
      <c r="M13" s="10">
        <f t="shared" si="9"/>
        <v>-2.0436339495305038</v>
      </c>
      <c r="N13" s="10">
        <f t="shared" si="10"/>
        <v>0.42105263157894735</v>
      </c>
      <c r="O13" s="10">
        <f t="shared" si="11"/>
        <v>2.8857392126883985</v>
      </c>
      <c r="P13" s="10">
        <f t="shared" si="12"/>
        <v>5.3504257937978501</v>
      </c>
      <c r="Q13" s="14">
        <f t="shared" si="13"/>
        <v>7.8151123749073008</v>
      </c>
    </row>
    <row r="14" spans="1:17" x14ac:dyDescent="0.25">
      <c r="A14" s="4">
        <v>44958</v>
      </c>
      <c r="B14" s="5">
        <f>IF('Catalogo de Variaveis'!H19="","",SUM('Catalogo de Variaveis'!H16:H19))</f>
        <v>36</v>
      </c>
      <c r="C14" s="15">
        <f>IFERROR(IF($B14="","",AVERAGE('Catalogo de Variaveis'!H19-'Catalogo de Variaveis'!H18,'Catalogo de Variaveis'!H18-'Catalogo de Variaveis'!H17,'Catalogo de Variaveis'!H17-'Catalogo de Variaveis'!H16,'Catalogo de Variaveis'!H16-'Catalogo de Variaveis'!H15)),0)</f>
        <v>0.25</v>
      </c>
      <c r="D14" s="13">
        <f t="shared" si="0"/>
        <v>1.7611741366579494</v>
      </c>
      <c r="E14" s="10">
        <f t="shared" si="1"/>
        <v>20.38464240689477</v>
      </c>
      <c r="F14" s="10">
        <f t="shared" si="2"/>
        <v>39.008110677131597</v>
      </c>
      <c r="G14" s="10">
        <f t="shared" si="3"/>
        <v>57.631578947368418</v>
      </c>
      <c r="H14" s="10">
        <f t="shared" si="4"/>
        <v>76.255047217605238</v>
      </c>
      <c r="I14" s="10">
        <f t="shared" si="5"/>
        <v>94.878515487842066</v>
      </c>
      <c r="J14" s="14">
        <f t="shared" si="6"/>
        <v>113.50198375807889</v>
      </c>
      <c r="K14" s="13">
        <f t="shared" si="7"/>
        <v>-6.973007111749407</v>
      </c>
      <c r="L14" s="10">
        <f t="shared" si="8"/>
        <v>-4.5083205306399545</v>
      </c>
      <c r="M14" s="10">
        <f t="shared" si="9"/>
        <v>-2.0436339495305038</v>
      </c>
      <c r="N14" s="10">
        <f t="shared" si="10"/>
        <v>0.42105263157894735</v>
      </c>
      <c r="O14" s="10">
        <f t="shared" si="11"/>
        <v>2.8857392126883985</v>
      </c>
      <c r="P14" s="10">
        <f t="shared" si="12"/>
        <v>5.3504257937978501</v>
      </c>
      <c r="Q14" s="14">
        <f t="shared" si="13"/>
        <v>7.8151123749073008</v>
      </c>
    </row>
    <row r="15" spans="1:17" x14ac:dyDescent="0.25">
      <c r="A15" s="4">
        <v>44986</v>
      </c>
      <c r="B15" s="5">
        <f>IF('Catalogo de Variaveis'!H20="","",SUM('Catalogo de Variaveis'!H17:H20))</f>
        <v>38</v>
      </c>
      <c r="C15" s="15">
        <f>IFERROR(IF($B15="","",AVERAGE('Catalogo de Variaveis'!H20-'Catalogo de Variaveis'!H19,'Catalogo de Variaveis'!H19-'Catalogo de Variaveis'!H18,'Catalogo de Variaveis'!H18-'Catalogo de Variaveis'!H17,'Catalogo de Variaveis'!H17-'Catalogo de Variaveis'!H16)),0)</f>
        <v>0.5</v>
      </c>
      <c r="D15" s="13">
        <f t="shared" si="0"/>
        <v>1.7611741366579494</v>
      </c>
      <c r="E15" s="10">
        <f t="shared" si="1"/>
        <v>20.38464240689477</v>
      </c>
      <c r="F15" s="10">
        <f t="shared" si="2"/>
        <v>39.008110677131597</v>
      </c>
      <c r="G15" s="10">
        <f t="shared" si="3"/>
        <v>57.631578947368418</v>
      </c>
      <c r="H15" s="10">
        <f t="shared" si="4"/>
        <v>76.255047217605238</v>
      </c>
      <c r="I15" s="10">
        <f t="shared" si="5"/>
        <v>94.878515487842066</v>
      </c>
      <c r="J15" s="14">
        <f t="shared" si="6"/>
        <v>113.50198375807889</v>
      </c>
      <c r="K15" s="13">
        <f t="shared" si="7"/>
        <v>-6.973007111749407</v>
      </c>
      <c r="L15" s="10">
        <f t="shared" si="8"/>
        <v>-4.5083205306399545</v>
      </c>
      <c r="M15" s="10">
        <f t="shared" si="9"/>
        <v>-2.0436339495305038</v>
      </c>
      <c r="N15" s="10">
        <f t="shared" si="10"/>
        <v>0.42105263157894735</v>
      </c>
      <c r="O15" s="10">
        <f t="shared" si="11"/>
        <v>2.8857392126883985</v>
      </c>
      <c r="P15" s="10">
        <f t="shared" si="12"/>
        <v>5.3504257937978501</v>
      </c>
      <c r="Q15" s="14">
        <f t="shared" si="13"/>
        <v>7.8151123749073008</v>
      </c>
    </row>
    <row r="16" spans="1:17" x14ac:dyDescent="0.25">
      <c r="A16" s="4">
        <v>45017</v>
      </c>
      <c r="B16" s="5">
        <f>IF('Catalogo de Variaveis'!H21="","",SUM('Catalogo de Variaveis'!H18:H21))</f>
        <v>43</v>
      </c>
      <c r="C16" s="15">
        <f>IFERROR(IF($B16="","",AVERAGE('Catalogo de Variaveis'!H21-'Catalogo de Variaveis'!H20,'Catalogo de Variaveis'!H20-'Catalogo de Variaveis'!H19,'Catalogo de Variaveis'!H19-'Catalogo de Variaveis'!H18,'Catalogo de Variaveis'!H18-'Catalogo de Variaveis'!H17)),0)</f>
        <v>1.25</v>
      </c>
      <c r="D16" s="13">
        <f t="shared" si="0"/>
        <v>1.7611741366579494</v>
      </c>
      <c r="E16" s="10">
        <f t="shared" si="1"/>
        <v>20.38464240689477</v>
      </c>
      <c r="F16" s="10">
        <f t="shared" si="2"/>
        <v>39.008110677131597</v>
      </c>
      <c r="G16" s="10">
        <f t="shared" si="3"/>
        <v>57.631578947368418</v>
      </c>
      <c r="H16" s="10">
        <f t="shared" si="4"/>
        <v>76.255047217605238</v>
      </c>
      <c r="I16" s="10">
        <f t="shared" si="5"/>
        <v>94.878515487842066</v>
      </c>
      <c r="J16" s="14">
        <f t="shared" si="6"/>
        <v>113.50198375807889</v>
      </c>
      <c r="K16" s="13">
        <f t="shared" si="7"/>
        <v>-6.973007111749407</v>
      </c>
      <c r="L16" s="10">
        <f t="shared" si="8"/>
        <v>-4.5083205306399545</v>
      </c>
      <c r="M16" s="10">
        <f t="shared" si="9"/>
        <v>-2.0436339495305038</v>
      </c>
      <c r="N16" s="10">
        <f t="shared" si="10"/>
        <v>0.42105263157894735</v>
      </c>
      <c r="O16" s="10">
        <f t="shared" si="11"/>
        <v>2.8857392126883985</v>
      </c>
      <c r="P16" s="10">
        <f t="shared" si="12"/>
        <v>5.3504257937978501</v>
      </c>
      <c r="Q16" s="14">
        <f t="shared" si="13"/>
        <v>7.8151123749073008</v>
      </c>
    </row>
    <row r="17" spans="1:17" x14ac:dyDescent="0.25">
      <c r="A17" s="4">
        <v>45047</v>
      </c>
      <c r="B17" s="5">
        <f>IF('Catalogo de Variaveis'!H22="","",SUM('Catalogo de Variaveis'!H19:H22))</f>
        <v>52</v>
      </c>
      <c r="C17" s="15">
        <f>IFERROR(IF($B17="","",AVERAGE('Catalogo de Variaveis'!H22-'Catalogo de Variaveis'!H21,'Catalogo de Variaveis'!H21-'Catalogo de Variaveis'!H20,'Catalogo de Variaveis'!H20-'Catalogo de Variaveis'!H19,'Catalogo de Variaveis'!H19-'Catalogo de Variaveis'!H18)),0)</f>
        <v>2.25</v>
      </c>
      <c r="D17" s="13">
        <f t="shared" si="0"/>
        <v>1.7611741366579494</v>
      </c>
      <c r="E17" s="10">
        <f t="shared" si="1"/>
        <v>20.38464240689477</v>
      </c>
      <c r="F17" s="10">
        <f t="shared" si="2"/>
        <v>39.008110677131597</v>
      </c>
      <c r="G17" s="10">
        <f t="shared" si="3"/>
        <v>57.631578947368418</v>
      </c>
      <c r="H17" s="10">
        <f t="shared" si="4"/>
        <v>76.255047217605238</v>
      </c>
      <c r="I17" s="10">
        <f t="shared" si="5"/>
        <v>94.878515487842066</v>
      </c>
      <c r="J17" s="14">
        <f t="shared" si="6"/>
        <v>113.50198375807889</v>
      </c>
      <c r="K17" s="13">
        <f t="shared" si="7"/>
        <v>-6.973007111749407</v>
      </c>
      <c r="L17" s="10">
        <f t="shared" si="8"/>
        <v>-4.5083205306399545</v>
      </c>
      <c r="M17" s="10">
        <f t="shared" si="9"/>
        <v>-2.0436339495305038</v>
      </c>
      <c r="N17" s="10">
        <f t="shared" si="10"/>
        <v>0.42105263157894735</v>
      </c>
      <c r="O17" s="10">
        <f t="shared" si="11"/>
        <v>2.8857392126883985</v>
      </c>
      <c r="P17" s="10">
        <f t="shared" si="12"/>
        <v>5.3504257937978501</v>
      </c>
      <c r="Q17" s="14">
        <f t="shared" si="13"/>
        <v>7.8151123749073008</v>
      </c>
    </row>
    <row r="18" spans="1:17" x14ac:dyDescent="0.25">
      <c r="A18" s="4">
        <v>45078</v>
      </c>
      <c r="B18" s="5">
        <f>IF('Catalogo de Variaveis'!H23="","",SUM('Catalogo de Variaveis'!H20:H23))</f>
        <v>47</v>
      </c>
      <c r="C18" s="15">
        <f>IFERROR(IF($B18="","",AVERAGE('Catalogo de Variaveis'!H23-'Catalogo de Variaveis'!H22,'Catalogo de Variaveis'!H22-'Catalogo de Variaveis'!H21,'Catalogo de Variaveis'!H21-'Catalogo de Variaveis'!H20,'Catalogo de Variaveis'!H20-'Catalogo de Variaveis'!H19)),0)</f>
        <v>-1.25</v>
      </c>
      <c r="D18" s="13">
        <f t="shared" si="0"/>
        <v>1.7611741366579494</v>
      </c>
      <c r="E18" s="10">
        <f t="shared" si="1"/>
        <v>20.38464240689477</v>
      </c>
      <c r="F18" s="10">
        <f t="shared" si="2"/>
        <v>39.008110677131597</v>
      </c>
      <c r="G18" s="10">
        <f t="shared" si="3"/>
        <v>57.631578947368418</v>
      </c>
      <c r="H18" s="10">
        <f t="shared" si="4"/>
        <v>76.255047217605238</v>
      </c>
      <c r="I18" s="10">
        <f t="shared" si="5"/>
        <v>94.878515487842066</v>
      </c>
      <c r="J18" s="14">
        <f t="shared" si="6"/>
        <v>113.50198375807889</v>
      </c>
      <c r="K18" s="13">
        <f t="shared" si="7"/>
        <v>-6.973007111749407</v>
      </c>
      <c r="L18" s="10">
        <f t="shared" si="8"/>
        <v>-4.5083205306399545</v>
      </c>
      <c r="M18" s="10">
        <f t="shared" si="9"/>
        <v>-2.0436339495305038</v>
      </c>
      <c r="N18" s="10">
        <f t="shared" si="10"/>
        <v>0.42105263157894735</v>
      </c>
      <c r="O18" s="10">
        <f t="shared" si="11"/>
        <v>2.8857392126883985</v>
      </c>
      <c r="P18" s="10">
        <f t="shared" si="12"/>
        <v>5.3504257937978501</v>
      </c>
      <c r="Q18" s="14">
        <f t="shared" si="13"/>
        <v>7.8151123749073008</v>
      </c>
    </row>
    <row r="19" spans="1:17" x14ac:dyDescent="0.25">
      <c r="A19" s="4">
        <v>45108</v>
      </c>
      <c r="B19" s="5">
        <f>IF('Catalogo de Variaveis'!H24="","",SUM('Catalogo de Variaveis'!H21:H24))</f>
        <v>52</v>
      </c>
      <c r="C19" s="15">
        <f>IFERROR(IF($B19="","",AVERAGE('Catalogo de Variaveis'!H24-'Catalogo de Variaveis'!H23,'Catalogo de Variaveis'!H23-'Catalogo de Variaveis'!H22,'Catalogo de Variaveis'!H22-'Catalogo de Variaveis'!H21,'Catalogo de Variaveis'!H21-'Catalogo de Variaveis'!H20)),0)</f>
        <v>1.25</v>
      </c>
      <c r="D19" s="13">
        <f t="shared" si="0"/>
        <v>1.7611741366579494</v>
      </c>
      <c r="E19" s="10">
        <f t="shared" si="1"/>
        <v>20.38464240689477</v>
      </c>
      <c r="F19" s="10">
        <f t="shared" si="2"/>
        <v>39.008110677131597</v>
      </c>
      <c r="G19" s="10">
        <f t="shared" si="3"/>
        <v>57.631578947368418</v>
      </c>
      <c r="H19" s="10">
        <f t="shared" si="4"/>
        <v>76.255047217605238</v>
      </c>
      <c r="I19" s="10">
        <f t="shared" si="5"/>
        <v>94.878515487842066</v>
      </c>
      <c r="J19" s="14">
        <f t="shared" si="6"/>
        <v>113.50198375807889</v>
      </c>
      <c r="K19" s="13">
        <f t="shared" si="7"/>
        <v>-6.973007111749407</v>
      </c>
      <c r="L19" s="10">
        <f t="shared" si="8"/>
        <v>-4.5083205306399545</v>
      </c>
      <c r="M19" s="10">
        <f t="shared" si="9"/>
        <v>-2.0436339495305038</v>
      </c>
      <c r="N19" s="10">
        <f t="shared" si="10"/>
        <v>0.42105263157894735</v>
      </c>
      <c r="O19" s="10">
        <f t="shared" si="11"/>
        <v>2.8857392126883985</v>
      </c>
      <c r="P19" s="10">
        <f t="shared" si="12"/>
        <v>5.3504257937978501</v>
      </c>
      <c r="Q19" s="14">
        <f t="shared" si="13"/>
        <v>7.8151123749073008</v>
      </c>
    </row>
    <row r="20" spans="1:17" x14ac:dyDescent="0.25">
      <c r="A20" s="4">
        <v>45139</v>
      </c>
      <c r="B20" s="5">
        <f>IF('Catalogo de Variaveis'!H25="","",SUM('Catalogo de Variaveis'!H22:H25))</f>
        <v>54</v>
      </c>
      <c r="C20" s="15">
        <f>IFERROR(IF($B20="","",AVERAGE('Catalogo de Variaveis'!H25-'Catalogo de Variaveis'!H24,'Catalogo de Variaveis'!H24-'Catalogo de Variaveis'!H23,'Catalogo de Variaveis'!H23-'Catalogo de Variaveis'!H22,'Catalogo de Variaveis'!H22-'Catalogo de Variaveis'!H21)),0)</f>
        <v>0.5</v>
      </c>
      <c r="D20" s="13">
        <f t="shared" si="0"/>
        <v>1.7611741366579494</v>
      </c>
      <c r="E20" s="10">
        <f t="shared" si="1"/>
        <v>20.38464240689477</v>
      </c>
      <c r="F20" s="10">
        <f t="shared" si="2"/>
        <v>39.008110677131597</v>
      </c>
      <c r="G20" s="10">
        <f t="shared" si="3"/>
        <v>57.631578947368418</v>
      </c>
      <c r="H20" s="10">
        <f t="shared" si="4"/>
        <v>76.255047217605238</v>
      </c>
      <c r="I20" s="10">
        <f t="shared" si="5"/>
        <v>94.878515487842066</v>
      </c>
      <c r="J20" s="14">
        <f t="shared" si="6"/>
        <v>113.50198375807889</v>
      </c>
      <c r="K20" s="13">
        <f t="shared" si="7"/>
        <v>-6.973007111749407</v>
      </c>
      <c r="L20" s="10">
        <f t="shared" si="8"/>
        <v>-4.5083205306399545</v>
      </c>
      <c r="M20" s="10">
        <f t="shared" si="9"/>
        <v>-2.0436339495305038</v>
      </c>
      <c r="N20" s="10">
        <f t="shared" si="10"/>
        <v>0.42105263157894735</v>
      </c>
      <c r="O20" s="10">
        <f t="shared" si="11"/>
        <v>2.8857392126883985</v>
      </c>
      <c r="P20" s="10">
        <f t="shared" si="12"/>
        <v>5.3504257937978501</v>
      </c>
      <c r="Q20" s="14">
        <f t="shared" si="13"/>
        <v>7.8151123749073008</v>
      </c>
    </row>
    <row r="21" spans="1:17" x14ac:dyDescent="0.25">
      <c r="A21" s="4">
        <v>45170</v>
      </c>
      <c r="B21" s="5">
        <f>IF('Catalogo de Variaveis'!H26="","",SUM('Catalogo de Variaveis'!H23:H26))</f>
        <v>52</v>
      </c>
      <c r="C21" s="15">
        <f>IFERROR(IF($B21="","",AVERAGE('Catalogo de Variaveis'!H26-'Catalogo de Variaveis'!H25,'Catalogo de Variaveis'!H25-'Catalogo de Variaveis'!H24,'Catalogo de Variaveis'!H24-'Catalogo de Variaveis'!H23,'Catalogo de Variaveis'!H23-'Catalogo de Variaveis'!H22)),0)</f>
        <v>-0.5</v>
      </c>
      <c r="D21" s="13">
        <f t="shared" si="0"/>
        <v>1.7611741366579494</v>
      </c>
      <c r="E21" s="10">
        <f t="shared" si="1"/>
        <v>20.38464240689477</v>
      </c>
      <c r="F21" s="10">
        <f t="shared" si="2"/>
        <v>39.008110677131597</v>
      </c>
      <c r="G21" s="10">
        <f t="shared" si="3"/>
        <v>57.631578947368418</v>
      </c>
      <c r="H21" s="10">
        <f t="shared" si="4"/>
        <v>76.255047217605238</v>
      </c>
      <c r="I21" s="10">
        <f t="shared" si="5"/>
        <v>94.878515487842066</v>
      </c>
      <c r="J21" s="14">
        <f t="shared" si="6"/>
        <v>113.50198375807889</v>
      </c>
      <c r="K21" s="13">
        <f t="shared" si="7"/>
        <v>-6.973007111749407</v>
      </c>
      <c r="L21" s="10">
        <f t="shared" si="8"/>
        <v>-4.5083205306399545</v>
      </c>
      <c r="M21" s="10">
        <f t="shared" si="9"/>
        <v>-2.0436339495305038</v>
      </c>
      <c r="N21" s="10">
        <f t="shared" si="10"/>
        <v>0.42105263157894735</v>
      </c>
      <c r="O21" s="10">
        <f t="shared" si="11"/>
        <v>2.8857392126883985</v>
      </c>
      <c r="P21" s="10">
        <f t="shared" si="12"/>
        <v>5.3504257937978501</v>
      </c>
      <c r="Q21" s="14">
        <f t="shared" si="13"/>
        <v>7.8151123749073008</v>
      </c>
    </row>
    <row r="22" spans="1:17" x14ac:dyDescent="0.25">
      <c r="A22" s="4">
        <v>45200</v>
      </c>
      <c r="B22" s="5">
        <f>IF('Catalogo de Variaveis'!H27="","",SUM('Catalogo de Variaveis'!H24:H27))</f>
        <v>61</v>
      </c>
      <c r="C22" s="15">
        <f>IFERROR(IF($B22="","",AVERAGE('Catalogo de Variaveis'!H27-'Catalogo de Variaveis'!H26,'Catalogo de Variaveis'!H26-'Catalogo de Variaveis'!H25,'Catalogo de Variaveis'!H25-'Catalogo de Variaveis'!H24,'Catalogo de Variaveis'!H24-'Catalogo de Variaveis'!H23)),0)</f>
        <v>2.25</v>
      </c>
      <c r="D22" s="13">
        <f t="shared" si="0"/>
        <v>1.7611741366579494</v>
      </c>
      <c r="E22" s="10">
        <f t="shared" si="1"/>
        <v>20.38464240689477</v>
      </c>
      <c r="F22" s="10">
        <f t="shared" si="2"/>
        <v>39.008110677131597</v>
      </c>
      <c r="G22" s="10">
        <f t="shared" si="3"/>
        <v>57.631578947368418</v>
      </c>
      <c r="H22" s="10">
        <f t="shared" si="4"/>
        <v>76.255047217605238</v>
      </c>
      <c r="I22" s="10">
        <f t="shared" si="5"/>
        <v>94.878515487842066</v>
      </c>
      <c r="J22" s="14">
        <f t="shared" si="6"/>
        <v>113.50198375807889</v>
      </c>
      <c r="K22" s="13">
        <f t="shared" si="7"/>
        <v>-6.973007111749407</v>
      </c>
      <c r="L22" s="10">
        <f t="shared" si="8"/>
        <v>-4.5083205306399545</v>
      </c>
      <c r="M22" s="10">
        <f t="shared" si="9"/>
        <v>-2.0436339495305038</v>
      </c>
      <c r="N22" s="10">
        <f t="shared" si="10"/>
        <v>0.42105263157894735</v>
      </c>
      <c r="O22" s="10">
        <f t="shared" si="11"/>
        <v>2.8857392126883985</v>
      </c>
      <c r="P22" s="10">
        <f t="shared" si="12"/>
        <v>5.3504257937978501</v>
      </c>
      <c r="Q22" s="14">
        <f t="shared" si="13"/>
        <v>7.8151123749073008</v>
      </c>
    </row>
    <row r="23" spans="1:17" x14ac:dyDescent="0.25">
      <c r="A23" s="4">
        <v>45231</v>
      </c>
      <c r="B23" s="5">
        <f>IF('Catalogo de Variaveis'!H28="","",SUM('Catalogo de Variaveis'!H25:H28))</f>
        <v>65</v>
      </c>
      <c r="C23" s="15">
        <f>IFERROR(IF($B23="","",AVERAGE('Catalogo de Variaveis'!H28-'Catalogo de Variaveis'!H27,'Catalogo de Variaveis'!H27-'Catalogo de Variaveis'!H26,'Catalogo de Variaveis'!H26-'Catalogo de Variaveis'!H25,'Catalogo de Variaveis'!H25-'Catalogo de Variaveis'!H24)),0)</f>
        <v>1</v>
      </c>
      <c r="D23" s="13">
        <f t="shared" si="0"/>
        <v>1.7611741366579494</v>
      </c>
      <c r="E23" s="10">
        <f t="shared" si="1"/>
        <v>20.38464240689477</v>
      </c>
      <c r="F23" s="10">
        <f t="shared" si="2"/>
        <v>39.008110677131597</v>
      </c>
      <c r="G23" s="10">
        <f t="shared" si="3"/>
        <v>57.631578947368418</v>
      </c>
      <c r="H23" s="10">
        <f t="shared" si="4"/>
        <v>76.255047217605238</v>
      </c>
      <c r="I23" s="10">
        <f t="shared" si="5"/>
        <v>94.878515487842066</v>
      </c>
      <c r="J23" s="14">
        <f t="shared" si="6"/>
        <v>113.50198375807889</v>
      </c>
      <c r="K23" s="13">
        <f t="shared" si="7"/>
        <v>-6.973007111749407</v>
      </c>
      <c r="L23" s="10">
        <f t="shared" si="8"/>
        <v>-4.5083205306399545</v>
      </c>
      <c r="M23" s="10">
        <f t="shared" si="9"/>
        <v>-2.0436339495305038</v>
      </c>
      <c r="N23" s="10">
        <f t="shared" si="10"/>
        <v>0.42105263157894735</v>
      </c>
      <c r="O23" s="10">
        <f t="shared" si="11"/>
        <v>2.8857392126883985</v>
      </c>
      <c r="P23" s="10">
        <f t="shared" si="12"/>
        <v>5.3504257937978501</v>
      </c>
      <c r="Q23" s="14">
        <f t="shared" si="13"/>
        <v>7.8151123749073008</v>
      </c>
    </row>
    <row r="24" spans="1:17" x14ac:dyDescent="0.25">
      <c r="A24" s="4">
        <v>45261</v>
      </c>
      <c r="B24" s="5">
        <f>IF('Catalogo de Variaveis'!H29="","",SUM('Catalogo de Variaveis'!H26:H29))</f>
        <v>69</v>
      </c>
      <c r="C24" s="15">
        <f>IFERROR(IF($B24="","",AVERAGE('Catalogo de Variaveis'!H29-'Catalogo de Variaveis'!H28,'Catalogo de Variaveis'!H28-'Catalogo de Variaveis'!H27,'Catalogo de Variaveis'!H27-'Catalogo de Variaveis'!H26,'Catalogo de Variaveis'!H26-'Catalogo de Variaveis'!H25)),0)</f>
        <v>1</v>
      </c>
      <c r="D24" s="13">
        <f t="shared" si="0"/>
        <v>1.7611741366579494</v>
      </c>
      <c r="E24" s="10">
        <f t="shared" si="1"/>
        <v>20.38464240689477</v>
      </c>
      <c r="F24" s="10">
        <f t="shared" si="2"/>
        <v>39.008110677131597</v>
      </c>
      <c r="G24" s="10">
        <f t="shared" si="3"/>
        <v>57.631578947368418</v>
      </c>
      <c r="H24" s="10">
        <f t="shared" si="4"/>
        <v>76.255047217605238</v>
      </c>
      <c r="I24" s="10">
        <f t="shared" si="5"/>
        <v>94.878515487842066</v>
      </c>
      <c r="J24" s="14">
        <f t="shared" si="6"/>
        <v>113.50198375807889</v>
      </c>
      <c r="K24" s="13">
        <f t="shared" si="7"/>
        <v>-6.973007111749407</v>
      </c>
      <c r="L24" s="10">
        <f t="shared" si="8"/>
        <v>-4.5083205306399545</v>
      </c>
      <c r="M24" s="10">
        <f t="shared" si="9"/>
        <v>-2.0436339495305038</v>
      </c>
      <c r="N24" s="10">
        <f t="shared" si="10"/>
        <v>0.42105263157894735</v>
      </c>
      <c r="O24" s="10">
        <f t="shared" si="11"/>
        <v>2.8857392126883985</v>
      </c>
      <c r="P24" s="10">
        <f t="shared" si="12"/>
        <v>5.3504257937978501</v>
      </c>
      <c r="Q24" s="14">
        <f t="shared" si="13"/>
        <v>7.8151123749073008</v>
      </c>
    </row>
    <row r="25" spans="1:17" x14ac:dyDescent="0.25">
      <c r="A25" s="4">
        <v>45292</v>
      </c>
      <c r="B25" s="5">
        <f>IF('Catalogo de Variaveis'!H30="","",SUM('Catalogo de Variaveis'!H27:H30))</f>
        <v>71</v>
      </c>
      <c r="C25" s="15">
        <f>IFERROR(IF($B25="","",AVERAGE('Catalogo de Variaveis'!H30-'Catalogo de Variaveis'!H29,'Catalogo de Variaveis'!H29-'Catalogo de Variaveis'!H28,'Catalogo de Variaveis'!H28-'Catalogo de Variaveis'!H27,'Catalogo de Variaveis'!H27-'Catalogo de Variaveis'!H26)),0)</f>
        <v>0.5</v>
      </c>
      <c r="D25" s="13">
        <f t="shared" si="0"/>
        <v>1.7611741366579494</v>
      </c>
      <c r="E25" s="10">
        <f t="shared" si="1"/>
        <v>20.38464240689477</v>
      </c>
      <c r="F25" s="10">
        <f t="shared" si="2"/>
        <v>39.008110677131597</v>
      </c>
      <c r="G25" s="10">
        <f t="shared" si="3"/>
        <v>57.631578947368418</v>
      </c>
      <c r="H25" s="10">
        <f t="shared" si="4"/>
        <v>76.255047217605238</v>
      </c>
      <c r="I25" s="10">
        <f t="shared" si="5"/>
        <v>94.878515487842066</v>
      </c>
      <c r="J25" s="14">
        <f t="shared" si="6"/>
        <v>113.50198375807889</v>
      </c>
      <c r="K25" s="13">
        <f t="shared" si="7"/>
        <v>-6.973007111749407</v>
      </c>
      <c r="L25" s="10">
        <f t="shared" si="8"/>
        <v>-4.5083205306399545</v>
      </c>
      <c r="M25" s="10">
        <f t="shared" si="9"/>
        <v>-2.0436339495305038</v>
      </c>
      <c r="N25" s="10">
        <f t="shared" si="10"/>
        <v>0.42105263157894735</v>
      </c>
      <c r="O25" s="10">
        <f t="shared" si="11"/>
        <v>2.8857392126883985</v>
      </c>
      <c r="P25" s="10">
        <f t="shared" si="12"/>
        <v>5.3504257937978501</v>
      </c>
      <c r="Q25" s="14">
        <f t="shared" si="13"/>
        <v>7.8151123749073008</v>
      </c>
    </row>
    <row r="26" spans="1:17" x14ac:dyDescent="0.25">
      <c r="A26" s="4">
        <v>45323</v>
      </c>
      <c r="B26" s="5">
        <f>IF('Catalogo de Variaveis'!H31="","",SUM('Catalogo de Variaveis'!H28:H31))</f>
        <v>61</v>
      </c>
      <c r="C26" s="15">
        <f>IFERROR(IF($B26="","",AVERAGE('Catalogo de Variaveis'!H31-'Catalogo de Variaveis'!H30,'Catalogo de Variaveis'!H30-'Catalogo de Variaveis'!H29,'Catalogo de Variaveis'!H29-'Catalogo de Variaveis'!H28,'Catalogo de Variaveis'!H28-'Catalogo de Variaveis'!H27)),0)</f>
        <v>-2.5</v>
      </c>
      <c r="D26" s="13">
        <f t="shared" si="0"/>
        <v>1.7611741366579494</v>
      </c>
      <c r="E26" s="10">
        <f t="shared" si="1"/>
        <v>20.38464240689477</v>
      </c>
      <c r="F26" s="10">
        <f t="shared" si="2"/>
        <v>39.008110677131597</v>
      </c>
      <c r="G26" s="10">
        <f t="shared" si="3"/>
        <v>57.631578947368418</v>
      </c>
      <c r="H26" s="10">
        <f t="shared" si="4"/>
        <v>76.255047217605238</v>
      </c>
      <c r="I26" s="10">
        <f t="shared" si="5"/>
        <v>94.878515487842066</v>
      </c>
      <c r="J26" s="14">
        <f t="shared" si="6"/>
        <v>113.50198375807889</v>
      </c>
      <c r="K26" s="13">
        <f t="shared" si="7"/>
        <v>-6.973007111749407</v>
      </c>
      <c r="L26" s="10">
        <f t="shared" si="8"/>
        <v>-4.5083205306399545</v>
      </c>
      <c r="M26" s="10">
        <f t="shared" si="9"/>
        <v>-2.0436339495305038</v>
      </c>
      <c r="N26" s="10">
        <f t="shared" si="10"/>
        <v>0.42105263157894735</v>
      </c>
      <c r="O26" s="10">
        <f t="shared" si="11"/>
        <v>2.8857392126883985</v>
      </c>
      <c r="P26" s="10">
        <f t="shared" si="12"/>
        <v>5.3504257937978501</v>
      </c>
      <c r="Q26" s="14">
        <f t="shared" si="13"/>
        <v>7.8151123749073008</v>
      </c>
    </row>
    <row r="27" spans="1:17" x14ac:dyDescent="0.25">
      <c r="A27" s="4">
        <v>45352</v>
      </c>
      <c r="B27" s="5">
        <f>IF('Catalogo de Variaveis'!H32="","",SUM('Catalogo de Variaveis'!H29:H32))</f>
        <v>51</v>
      </c>
      <c r="C27" s="15">
        <f>IFERROR(IF($B27="","",AVERAGE('Catalogo de Variaveis'!H32-'Catalogo de Variaveis'!H31,'Catalogo de Variaveis'!H31-'Catalogo de Variaveis'!H30,'Catalogo de Variaveis'!H30-'Catalogo de Variaveis'!H29,'Catalogo de Variaveis'!H29-'Catalogo de Variaveis'!H28)),0)</f>
        <v>-2.5</v>
      </c>
      <c r="D27" s="13">
        <f t="shared" si="0"/>
        <v>1.7611741366579494</v>
      </c>
      <c r="E27" s="10">
        <f t="shared" si="1"/>
        <v>20.38464240689477</v>
      </c>
      <c r="F27" s="10">
        <f t="shared" si="2"/>
        <v>39.008110677131597</v>
      </c>
      <c r="G27" s="10">
        <f t="shared" si="3"/>
        <v>57.631578947368418</v>
      </c>
      <c r="H27" s="10">
        <f t="shared" si="4"/>
        <v>76.255047217605238</v>
      </c>
      <c r="I27" s="10">
        <f t="shared" si="5"/>
        <v>94.878515487842066</v>
      </c>
      <c r="J27" s="14">
        <f t="shared" si="6"/>
        <v>113.50198375807889</v>
      </c>
      <c r="K27" s="13">
        <f t="shared" si="7"/>
        <v>-6.973007111749407</v>
      </c>
      <c r="L27" s="10">
        <f t="shared" si="8"/>
        <v>-4.5083205306399545</v>
      </c>
      <c r="M27" s="10">
        <f t="shared" si="9"/>
        <v>-2.0436339495305038</v>
      </c>
      <c r="N27" s="10">
        <f t="shared" si="10"/>
        <v>0.42105263157894735</v>
      </c>
      <c r="O27" s="10">
        <f t="shared" si="11"/>
        <v>2.8857392126883985</v>
      </c>
      <c r="P27" s="10">
        <f t="shared" si="12"/>
        <v>5.3504257937978501</v>
      </c>
      <c r="Q27" s="14">
        <f t="shared" si="13"/>
        <v>7.8151123749073008</v>
      </c>
    </row>
    <row r="28" spans="1:17" x14ac:dyDescent="0.25">
      <c r="A28" s="4">
        <v>45383</v>
      </c>
      <c r="B28" s="5">
        <f>IF('Catalogo de Variaveis'!H33="","",SUM('Catalogo de Variaveis'!H30:H33))</f>
        <v>44</v>
      </c>
      <c r="C28" s="15">
        <f>IFERROR(IF($B28="","",AVERAGE('Catalogo de Variaveis'!H33-'Catalogo de Variaveis'!H32,'Catalogo de Variaveis'!H32-'Catalogo de Variaveis'!H31,'Catalogo de Variaveis'!H31-'Catalogo de Variaveis'!H30,'Catalogo de Variaveis'!H30-'Catalogo de Variaveis'!H29)),0)</f>
        <v>-1.75</v>
      </c>
      <c r="D28" s="13">
        <f t="shared" si="0"/>
        <v>1.7611741366579494</v>
      </c>
      <c r="E28" s="10">
        <f t="shared" si="1"/>
        <v>20.38464240689477</v>
      </c>
      <c r="F28" s="10">
        <f t="shared" si="2"/>
        <v>39.008110677131597</v>
      </c>
      <c r="G28" s="10">
        <f t="shared" si="3"/>
        <v>57.631578947368418</v>
      </c>
      <c r="H28" s="10">
        <f t="shared" si="4"/>
        <v>76.255047217605238</v>
      </c>
      <c r="I28" s="10">
        <f t="shared" si="5"/>
        <v>94.878515487842066</v>
      </c>
      <c r="J28" s="14">
        <f t="shared" si="6"/>
        <v>113.50198375807889</v>
      </c>
      <c r="K28" s="13">
        <f t="shared" si="7"/>
        <v>-6.973007111749407</v>
      </c>
      <c r="L28" s="10">
        <f t="shared" si="8"/>
        <v>-4.5083205306399545</v>
      </c>
      <c r="M28" s="10">
        <f t="shared" si="9"/>
        <v>-2.0436339495305038</v>
      </c>
      <c r="N28" s="10">
        <f t="shared" si="10"/>
        <v>0.42105263157894735</v>
      </c>
      <c r="O28" s="10">
        <f t="shared" si="11"/>
        <v>2.8857392126883985</v>
      </c>
      <c r="P28" s="10">
        <f t="shared" si="12"/>
        <v>5.3504257937978501</v>
      </c>
      <c r="Q28" s="14">
        <f t="shared" si="13"/>
        <v>7.8151123749073008</v>
      </c>
    </row>
    <row r="29" spans="1:17" x14ac:dyDescent="0.25">
      <c r="A29" s="4">
        <v>45413</v>
      </c>
      <c r="B29" s="5">
        <f>IF('Catalogo de Variaveis'!H34="","",SUM('Catalogo de Variaveis'!H31:H34))</f>
        <v>44</v>
      </c>
      <c r="C29" s="15">
        <f>IFERROR(IF($B29="","",AVERAGE('Catalogo de Variaveis'!H34-'Catalogo de Variaveis'!H33,'Catalogo de Variaveis'!H33-'Catalogo de Variaveis'!H32,'Catalogo de Variaveis'!H32-'Catalogo de Variaveis'!H31,'Catalogo de Variaveis'!H31-'Catalogo de Variaveis'!H30)),0)</f>
        <v>0</v>
      </c>
      <c r="D29" s="13">
        <f t="shared" si="0"/>
        <v>1.7611741366579494</v>
      </c>
      <c r="E29" s="10">
        <f t="shared" si="1"/>
        <v>20.38464240689477</v>
      </c>
      <c r="F29" s="10">
        <f t="shared" si="2"/>
        <v>39.008110677131597</v>
      </c>
      <c r="G29" s="10">
        <f t="shared" si="3"/>
        <v>57.631578947368418</v>
      </c>
      <c r="H29" s="10">
        <f t="shared" si="4"/>
        <v>76.255047217605238</v>
      </c>
      <c r="I29" s="10">
        <f t="shared" si="5"/>
        <v>94.878515487842066</v>
      </c>
      <c r="J29" s="14">
        <f t="shared" si="6"/>
        <v>113.50198375807889</v>
      </c>
      <c r="K29" s="13">
        <f t="shared" si="7"/>
        <v>-6.973007111749407</v>
      </c>
      <c r="L29" s="10">
        <f t="shared" si="8"/>
        <v>-4.5083205306399545</v>
      </c>
      <c r="M29" s="10">
        <f t="shared" si="9"/>
        <v>-2.0436339495305038</v>
      </c>
      <c r="N29" s="10">
        <f t="shared" si="10"/>
        <v>0.42105263157894735</v>
      </c>
      <c r="O29" s="10">
        <f t="shared" si="11"/>
        <v>2.8857392126883985</v>
      </c>
      <c r="P29" s="10">
        <f t="shared" si="12"/>
        <v>5.3504257937978501</v>
      </c>
      <c r="Q29" s="14">
        <f t="shared" si="13"/>
        <v>7.8151123749073008</v>
      </c>
    </row>
    <row r="30" spans="1:17" x14ac:dyDescent="0.25">
      <c r="A30" s="4">
        <v>45444</v>
      </c>
      <c r="B30" s="5">
        <f>IF('Catalogo de Variaveis'!H35="","",SUM('Catalogo de Variaveis'!H32:H35))</f>
        <v>61</v>
      </c>
      <c r="C30" s="15">
        <f>IFERROR(IF($B30="","",AVERAGE('Catalogo de Variaveis'!H35-'Catalogo de Variaveis'!H34,'Catalogo de Variaveis'!H34-'Catalogo de Variaveis'!H33,'Catalogo de Variaveis'!H33-'Catalogo de Variaveis'!H32,'Catalogo de Variaveis'!H32-'Catalogo de Variaveis'!H31)),0)</f>
        <v>4.25</v>
      </c>
      <c r="D30" s="13">
        <f>IF($B30="","",IF(OR($J$1="",$J$2=""),$B$1-3*$B$2,$J$1-3*$J$2))</f>
        <v>1.7611741366579494</v>
      </c>
      <c r="E30" s="10">
        <f>IF($B30="","",IF(OR($J$1="",$J$2=""),$B$1-2*$B$2,$J$1-2*$J$2))</f>
        <v>20.38464240689477</v>
      </c>
      <c r="F30" s="10">
        <f>IF($B30="","",IF(OR($J$1="",$J$2=""),$B$1-$B$2,$J$1-$J$2))</f>
        <v>39.008110677131597</v>
      </c>
      <c r="G30" s="10">
        <f>IF($B30="","",IF(OR($J$1="",$J$2=""),$B$1,$J$1))</f>
        <v>57.631578947368418</v>
      </c>
      <c r="H30" s="10">
        <f>IF($B30="","",IF(OR($J$1="",$J$2=""),$B$1+$B$2,$J$1+$J$2))</f>
        <v>76.255047217605238</v>
      </c>
      <c r="I30" s="10">
        <f>IF($B30="","",IF(OR($J$1="",$J$2=""),$B$1+2*$B$2,$J$1+2*$J$2))</f>
        <v>94.878515487842066</v>
      </c>
      <c r="J30" s="14">
        <f>IF($B30="","",IF(OR($J$1="",$J$2=""),$B$1+3*$B$2,$J$1+3*$J$2))</f>
        <v>113.50198375807889</v>
      </c>
      <c r="K30" s="13">
        <f t="shared" si="7"/>
        <v>-6.973007111749407</v>
      </c>
      <c r="L30" s="10">
        <f t="shared" si="8"/>
        <v>-4.5083205306399545</v>
      </c>
      <c r="M30" s="10">
        <f t="shared" si="9"/>
        <v>-2.0436339495305038</v>
      </c>
      <c r="N30" s="10">
        <f t="shared" si="10"/>
        <v>0.42105263157894735</v>
      </c>
      <c r="O30" s="10">
        <f t="shared" si="11"/>
        <v>2.8857392126883985</v>
      </c>
      <c r="P30" s="10">
        <f t="shared" si="12"/>
        <v>5.3504257937978501</v>
      </c>
      <c r="Q30" s="14">
        <f t="shared" si="13"/>
        <v>7.8151123749073008</v>
      </c>
    </row>
    <row r="31" spans="1:17" x14ac:dyDescent="0.25">
      <c r="A31" s="4">
        <v>45474</v>
      </c>
      <c r="B31" s="5">
        <f>IF('Catalogo de Variaveis'!H36="","",SUM('Catalogo de Variaveis'!H33:H36))</f>
        <v>76</v>
      </c>
      <c r="C31" s="15">
        <f>IFERROR(IF($B31="","",AVERAGE('Catalogo de Variaveis'!H36-'Catalogo de Variaveis'!H35,'Catalogo de Variaveis'!H35-'Catalogo de Variaveis'!H34,'Catalogo de Variaveis'!H34-'Catalogo de Variaveis'!H33,'Catalogo de Variaveis'!H33-'Catalogo de Variaveis'!H32)),0)</f>
        <v>3.75</v>
      </c>
      <c r="D31" s="13">
        <f t="shared" si="0"/>
        <v>1.7611741366579494</v>
      </c>
      <c r="E31" s="10">
        <f t="shared" ref="E31:E94" si="14">IF($B31="","",IF(OR($J$1="",$J$2=""),$B$1-2*$B$2,$J$1-2*$J$2))</f>
        <v>20.38464240689477</v>
      </c>
      <c r="F31" s="10">
        <f t="shared" ref="F31:F94" si="15">IF($B31="","",IF(OR($J$1="",$J$2=""),$B$1-$B$2,$J$1-$J$2))</f>
        <v>39.008110677131597</v>
      </c>
      <c r="G31" s="10">
        <f t="shared" si="3"/>
        <v>57.631578947368418</v>
      </c>
      <c r="H31" s="10">
        <f t="shared" ref="H31:H94" si="16">IF($B31="","",IF(OR($J$1="",$J$2=""),$B$1+$B$2,$J$1+$J$2))</f>
        <v>76.255047217605238</v>
      </c>
      <c r="I31" s="10">
        <f t="shared" si="5"/>
        <v>94.878515487842066</v>
      </c>
      <c r="J31" s="14">
        <f t="shared" ref="J31:J94" si="17">IF($B31="","",IF(OR($J$1="",$J$2=""),$B$1+3*$B$2,$J$1+3*$J$2))</f>
        <v>113.50198375807889</v>
      </c>
      <c r="K31" s="13">
        <f t="shared" si="7"/>
        <v>-6.973007111749407</v>
      </c>
      <c r="L31" s="10">
        <f t="shared" si="8"/>
        <v>-4.5083205306399545</v>
      </c>
      <c r="M31" s="10">
        <f t="shared" si="9"/>
        <v>-2.0436339495305038</v>
      </c>
      <c r="N31" s="10">
        <f t="shared" si="10"/>
        <v>0.42105263157894735</v>
      </c>
      <c r="O31" s="10">
        <f t="shared" si="11"/>
        <v>2.8857392126883985</v>
      </c>
      <c r="P31" s="10">
        <f t="shared" si="12"/>
        <v>5.3504257937978501</v>
      </c>
      <c r="Q31" s="14">
        <f t="shared" si="13"/>
        <v>7.8151123749073008</v>
      </c>
    </row>
    <row r="32" spans="1:17" x14ac:dyDescent="0.25">
      <c r="A32" s="4">
        <v>45505</v>
      </c>
      <c r="B32" s="5">
        <f>IF('Catalogo de Variaveis'!H37="","",SUM('Catalogo de Variaveis'!H34:H37))</f>
        <v>92</v>
      </c>
      <c r="C32" s="15">
        <f>IFERROR(IF($B32="","",AVERAGE('Catalogo de Variaveis'!H37-'Catalogo de Variaveis'!H36,'Catalogo de Variaveis'!H36-'Catalogo de Variaveis'!H35,'Catalogo de Variaveis'!H35-'Catalogo de Variaveis'!H34,'Catalogo de Variaveis'!H34-'Catalogo de Variaveis'!H33)),0)</f>
        <v>4</v>
      </c>
      <c r="D32" s="13">
        <f t="shared" si="0"/>
        <v>1.7611741366579494</v>
      </c>
      <c r="E32" s="10">
        <f t="shared" si="14"/>
        <v>20.38464240689477</v>
      </c>
      <c r="F32" s="10">
        <f t="shared" si="15"/>
        <v>39.008110677131597</v>
      </c>
      <c r="G32" s="10">
        <f t="shared" si="3"/>
        <v>57.631578947368418</v>
      </c>
      <c r="H32" s="10">
        <f t="shared" si="16"/>
        <v>76.255047217605238</v>
      </c>
      <c r="I32" s="10">
        <f t="shared" si="5"/>
        <v>94.878515487842066</v>
      </c>
      <c r="J32" s="14">
        <f t="shared" si="17"/>
        <v>113.50198375807889</v>
      </c>
      <c r="K32" s="13">
        <f t="shared" si="7"/>
        <v>-6.973007111749407</v>
      </c>
      <c r="L32" s="10">
        <f t="shared" si="8"/>
        <v>-4.5083205306399545</v>
      </c>
      <c r="M32" s="10">
        <f t="shared" si="9"/>
        <v>-2.0436339495305038</v>
      </c>
      <c r="N32" s="10">
        <f t="shared" si="10"/>
        <v>0.42105263157894735</v>
      </c>
      <c r="O32" s="10">
        <f t="shared" si="11"/>
        <v>2.8857392126883985</v>
      </c>
      <c r="P32" s="10">
        <f t="shared" si="12"/>
        <v>5.3504257937978501</v>
      </c>
      <c r="Q32" s="14">
        <f t="shared" si="13"/>
        <v>7.8151123749073008</v>
      </c>
    </row>
    <row r="33" spans="1:17" x14ac:dyDescent="0.25">
      <c r="A33" s="4">
        <v>45536</v>
      </c>
      <c r="B33" s="5">
        <f>IF('Catalogo de Variaveis'!H38="","",SUM('Catalogo de Variaveis'!H35:H38))</f>
        <v>103</v>
      </c>
      <c r="C33" s="15">
        <f>IFERROR(IF($B33="","",AVERAGE('Catalogo de Variaveis'!H38-'Catalogo de Variaveis'!H37,'Catalogo de Variaveis'!H37-'Catalogo de Variaveis'!H36,'Catalogo de Variaveis'!H36-'Catalogo de Variaveis'!H35,'Catalogo de Variaveis'!H35-'Catalogo de Variaveis'!H34)),0)</f>
        <v>2.75</v>
      </c>
      <c r="D33" s="13">
        <f t="shared" si="0"/>
        <v>1.7611741366579494</v>
      </c>
      <c r="E33" s="10">
        <f t="shared" si="14"/>
        <v>20.38464240689477</v>
      </c>
      <c r="F33" s="10">
        <f t="shared" si="15"/>
        <v>39.008110677131597</v>
      </c>
      <c r="G33" s="10">
        <f t="shared" si="3"/>
        <v>57.631578947368418</v>
      </c>
      <c r="H33" s="10">
        <f t="shared" si="16"/>
        <v>76.255047217605238</v>
      </c>
      <c r="I33" s="10">
        <f t="shared" si="5"/>
        <v>94.878515487842066</v>
      </c>
      <c r="J33" s="14">
        <f t="shared" si="17"/>
        <v>113.50198375807889</v>
      </c>
      <c r="K33" s="13">
        <f t="shared" si="7"/>
        <v>-6.973007111749407</v>
      </c>
      <c r="L33" s="10">
        <f t="shared" si="8"/>
        <v>-4.5083205306399545</v>
      </c>
      <c r="M33" s="10">
        <f t="shared" si="9"/>
        <v>-2.0436339495305038</v>
      </c>
      <c r="N33" s="10">
        <f t="shared" si="10"/>
        <v>0.42105263157894735</v>
      </c>
      <c r="O33" s="10">
        <f t="shared" si="11"/>
        <v>2.8857392126883985</v>
      </c>
      <c r="P33" s="10">
        <f t="shared" si="12"/>
        <v>5.3504257937978501</v>
      </c>
      <c r="Q33" s="14">
        <f t="shared" si="13"/>
        <v>7.8151123749073008</v>
      </c>
    </row>
    <row r="34" spans="1:17" x14ac:dyDescent="0.25">
      <c r="A34" s="4">
        <v>45566</v>
      </c>
      <c r="B34" s="5">
        <f>IF('Catalogo de Variaveis'!H39="","",SUM('Catalogo de Variaveis'!H36:H39))</f>
        <v>97</v>
      </c>
      <c r="C34" s="15">
        <f>IFERROR(IF($B34="","",AVERAGE('Catalogo de Variaveis'!H39-'Catalogo de Variaveis'!H38,'Catalogo de Variaveis'!H38-'Catalogo de Variaveis'!H37,'Catalogo de Variaveis'!H37-'Catalogo de Variaveis'!H36,'Catalogo de Variaveis'!H36-'Catalogo de Variaveis'!H35)),0)</f>
        <v>-1.5</v>
      </c>
      <c r="D34" s="13">
        <f t="shared" si="0"/>
        <v>1.7611741366579494</v>
      </c>
      <c r="E34" s="10">
        <f t="shared" si="14"/>
        <v>20.38464240689477</v>
      </c>
      <c r="F34" s="10">
        <f t="shared" si="15"/>
        <v>39.008110677131597</v>
      </c>
      <c r="G34" s="10">
        <f t="shared" si="3"/>
        <v>57.631578947368418</v>
      </c>
      <c r="H34" s="10">
        <f t="shared" si="16"/>
        <v>76.255047217605238</v>
      </c>
      <c r="I34" s="10">
        <f t="shared" si="5"/>
        <v>94.878515487842066</v>
      </c>
      <c r="J34" s="14">
        <f t="shared" si="17"/>
        <v>113.50198375807889</v>
      </c>
      <c r="K34" s="13">
        <f t="shared" si="7"/>
        <v>-6.973007111749407</v>
      </c>
      <c r="L34" s="10">
        <f t="shared" si="8"/>
        <v>-4.5083205306399545</v>
      </c>
      <c r="M34" s="10">
        <f t="shared" si="9"/>
        <v>-2.0436339495305038</v>
      </c>
      <c r="N34" s="10">
        <f t="shared" si="10"/>
        <v>0.42105263157894735</v>
      </c>
      <c r="O34" s="10">
        <f t="shared" si="11"/>
        <v>2.8857392126883985</v>
      </c>
      <c r="P34" s="10">
        <f t="shared" si="12"/>
        <v>5.3504257937978501</v>
      </c>
      <c r="Q34" s="14">
        <f t="shared" si="13"/>
        <v>7.8151123749073008</v>
      </c>
    </row>
    <row r="35" spans="1:17" x14ac:dyDescent="0.25">
      <c r="A35" s="4">
        <v>45597</v>
      </c>
      <c r="B35" s="5">
        <f>IF('Catalogo de Variaveis'!H40="","",SUM('Catalogo de Variaveis'!H37:H40))</f>
        <v>87</v>
      </c>
      <c r="C35" s="15">
        <f>IFERROR(IF($B35="","",AVERAGE('Catalogo de Variaveis'!H40-'Catalogo de Variaveis'!H39,'Catalogo de Variaveis'!H39-'Catalogo de Variaveis'!H38,'Catalogo de Variaveis'!H38-'Catalogo de Variaveis'!H37,'Catalogo de Variaveis'!H37-'Catalogo de Variaveis'!H36)),0)</f>
        <v>-2.5</v>
      </c>
      <c r="D35" s="13">
        <f t="shared" si="0"/>
        <v>1.7611741366579494</v>
      </c>
      <c r="E35" s="10">
        <f t="shared" si="14"/>
        <v>20.38464240689477</v>
      </c>
      <c r="F35" s="10">
        <f t="shared" si="15"/>
        <v>39.008110677131597</v>
      </c>
      <c r="G35" s="10">
        <f t="shared" si="3"/>
        <v>57.631578947368418</v>
      </c>
      <c r="H35" s="10">
        <f t="shared" si="16"/>
        <v>76.255047217605238</v>
      </c>
      <c r="I35" s="10">
        <f t="shared" si="5"/>
        <v>94.878515487842066</v>
      </c>
      <c r="J35" s="14">
        <f t="shared" si="17"/>
        <v>113.50198375807889</v>
      </c>
      <c r="K35" s="13">
        <f t="shared" si="7"/>
        <v>-6.973007111749407</v>
      </c>
      <c r="L35" s="10">
        <f t="shared" si="8"/>
        <v>-4.5083205306399545</v>
      </c>
      <c r="M35" s="10">
        <f t="shared" si="9"/>
        <v>-2.0436339495305038</v>
      </c>
      <c r="N35" s="10">
        <f t="shared" si="10"/>
        <v>0.42105263157894735</v>
      </c>
      <c r="O35" s="10">
        <f t="shared" si="11"/>
        <v>2.8857392126883985</v>
      </c>
      <c r="P35" s="10">
        <f t="shared" si="12"/>
        <v>5.3504257937978501</v>
      </c>
      <c r="Q35" s="14">
        <f t="shared" si="13"/>
        <v>7.8151123749073008</v>
      </c>
    </row>
    <row r="36" spans="1:17" x14ac:dyDescent="0.25">
      <c r="A36" s="4">
        <v>45627</v>
      </c>
      <c r="B36" s="5">
        <f>IF('Catalogo de Variaveis'!H41="","",SUM('Catalogo de Variaveis'!H38:H41))</f>
        <v>63</v>
      </c>
      <c r="C36" s="15">
        <f>IFERROR(IF($B36="","",AVERAGE('Catalogo de Variaveis'!H41-'Catalogo de Variaveis'!H40,'Catalogo de Variaveis'!H40-'Catalogo de Variaveis'!H39,'Catalogo de Variaveis'!H39-'Catalogo de Variaveis'!H38,'Catalogo de Variaveis'!H38-'Catalogo de Variaveis'!H37)),0)</f>
        <v>-6</v>
      </c>
      <c r="D36" s="13">
        <f t="shared" si="0"/>
        <v>1.7611741366579494</v>
      </c>
      <c r="E36" s="10">
        <f t="shared" si="14"/>
        <v>20.38464240689477</v>
      </c>
      <c r="F36" s="10">
        <f t="shared" si="15"/>
        <v>39.008110677131597</v>
      </c>
      <c r="G36" s="10">
        <f t="shared" si="3"/>
        <v>57.631578947368418</v>
      </c>
      <c r="H36" s="10">
        <f t="shared" si="16"/>
        <v>76.255047217605238</v>
      </c>
      <c r="I36" s="10">
        <f t="shared" si="5"/>
        <v>94.878515487842066</v>
      </c>
      <c r="J36" s="14">
        <f t="shared" si="17"/>
        <v>113.50198375807889</v>
      </c>
      <c r="K36" s="13">
        <f t="shared" si="7"/>
        <v>-6.973007111749407</v>
      </c>
      <c r="L36" s="10">
        <f t="shared" si="8"/>
        <v>-4.5083205306399545</v>
      </c>
      <c r="M36" s="10">
        <f t="shared" si="9"/>
        <v>-2.0436339495305038</v>
      </c>
      <c r="N36" s="10">
        <f t="shared" si="10"/>
        <v>0.42105263157894735</v>
      </c>
      <c r="O36" s="10">
        <f t="shared" si="11"/>
        <v>2.8857392126883985</v>
      </c>
      <c r="P36" s="10">
        <f t="shared" si="12"/>
        <v>5.3504257937978501</v>
      </c>
      <c r="Q36" s="14">
        <f t="shared" si="13"/>
        <v>7.8151123749073008</v>
      </c>
    </row>
    <row r="37" spans="1:17" x14ac:dyDescent="0.25">
      <c r="A37" s="4">
        <v>45658</v>
      </c>
      <c r="B37" s="5">
        <f>IF('Catalogo de Variaveis'!H42="","",SUM('Catalogo de Variaveis'!H39:H42))</f>
        <v>68</v>
      </c>
      <c r="C37" s="15">
        <f>IFERROR(IF($B37="","",AVERAGE('Catalogo de Variaveis'!H42-'Catalogo de Variaveis'!H41,'Catalogo de Variaveis'!H41-'Catalogo de Variaveis'!H40,'Catalogo de Variaveis'!H40-'Catalogo de Variaveis'!H39,'Catalogo de Variaveis'!H39-'Catalogo de Variaveis'!H38)),0)</f>
        <v>1.25</v>
      </c>
      <c r="D37" s="13">
        <f t="shared" si="0"/>
        <v>1.7611741366579494</v>
      </c>
      <c r="E37" s="10">
        <f t="shared" si="14"/>
        <v>20.38464240689477</v>
      </c>
      <c r="F37" s="10">
        <f t="shared" si="15"/>
        <v>39.008110677131597</v>
      </c>
      <c r="G37" s="10">
        <f t="shared" si="3"/>
        <v>57.631578947368418</v>
      </c>
      <c r="H37" s="10">
        <f t="shared" si="16"/>
        <v>76.255047217605238</v>
      </c>
      <c r="I37" s="10">
        <f t="shared" si="5"/>
        <v>94.878515487842066</v>
      </c>
      <c r="J37" s="14">
        <f t="shared" si="17"/>
        <v>113.50198375807889</v>
      </c>
      <c r="K37" s="13">
        <f t="shared" si="7"/>
        <v>-6.973007111749407</v>
      </c>
      <c r="L37" s="10">
        <f t="shared" si="8"/>
        <v>-4.5083205306399545</v>
      </c>
      <c r="M37" s="10">
        <f t="shared" si="9"/>
        <v>-2.0436339495305038</v>
      </c>
      <c r="N37" s="10">
        <f t="shared" si="10"/>
        <v>0.42105263157894735</v>
      </c>
      <c r="O37" s="10">
        <f t="shared" si="11"/>
        <v>2.8857392126883985</v>
      </c>
      <c r="P37" s="10">
        <f t="shared" si="12"/>
        <v>5.3504257937978501</v>
      </c>
      <c r="Q37" s="14">
        <f t="shared" si="13"/>
        <v>7.8151123749073008</v>
      </c>
    </row>
    <row r="38" spans="1:17" x14ac:dyDescent="0.25">
      <c r="A38" s="4">
        <v>45689</v>
      </c>
      <c r="B38" s="5">
        <f>IF('Catalogo de Variaveis'!H43="","",SUM('Catalogo de Variaveis'!H40:H43))</f>
        <v>65</v>
      </c>
      <c r="C38" s="15">
        <f>IFERROR(IF($B38="","",AVERAGE('Catalogo de Variaveis'!H43-'Catalogo de Variaveis'!H42,'Catalogo de Variaveis'!H42-'Catalogo de Variaveis'!H41,'Catalogo de Variaveis'!H41-'Catalogo de Variaveis'!H40,'Catalogo de Variaveis'!H40-'Catalogo de Variaveis'!H39)),0)</f>
        <v>-0.75</v>
      </c>
      <c r="D38" s="13">
        <f t="shared" si="0"/>
        <v>1.7611741366579494</v>
      </c>
      <c r="E38" s="10">
        <f t="shared" si="14"/>
        <v>20.38464240689477</v>
      </c>
      <c r="F38" s="10">
        <f t="shared" si="15"/>
        <v>39.008110677131597</v>
      </c>
      <c r="G38" s="10">
        <f t="shared" si="3"/>
        <v>57.631578947368418</v>
      </c>
      <c r="H38" s="10">
        <f t="shared" si="16"/>
        <v>76.255047217605238</v>
      </c>
      <c r="I38" s="10">
        <f t="shared" si="5"/>
        <v>94.878515487842066</v>
      </c>
      <c r="J38" s="14">
        <f t="shared" si="17"/>
        <v>113.50198375807889</v>
      </c>
      <c r="K38" s="13">
        <f t="shared" si="7"/>
        <v>-6.973007111749407</v>
      </c>
      <c r="L38" s="10">
        <f t="shared" si="8"/>
        <v>-4.5083205306399545</v>
      </c>
      <c r="M38" s="10">
        <f t="shared" si="9"/>
        <v>-2.0436339495305038</v>
      </c>
      <c r="N38" s="10">
        <f t="shared" si="10"/>
        <v>0.42105263157894735</v>
      </c>
      <c r="O38" s="10">
        <f t="shared" si="11"/>
        <v>2.8857392126883985</v>
      </c>
      <c r="P38" s="10">
        <f t="shared" si="12"/>
        <v>5.3504257937978501</v>
      </c>
      <c r="Q38" s="14">
        <f t="shared" si="13"/>
        <v>7.8151123749073008</v>
      </c>
    </row>
    <row r="39" spans="1:17" x14ac:dyDescent="0.25">
      <c r="A39" s="4">
        <v>45717</v>
      </c>
      <c r="B39" s="5">
        <f>IF('Catalogo de Variaveis'!H44="","",SUM('Catalogo de Variaveis'!H41:H44))</f>
        <v>67</v>
      </c>
      <c r="C39" s="15">
        <f>IFERROR(IF($B39="","",AVERAGE('Catalogo de Variaveis'!H44-'Catalogo de Variaveis'!H43,'Catalogo de Variaveis'!H43-'Catalogo de Variaveis'!H42,'Catalogo de Variaveis'!H42-'Catalogo de Variaveis'!H41,'Catalogo de Variaveis'!H41-'Catalogo de Variaveis'!H40)),0)</f>
        <v>0.5</v>
      </c>
      <c r="D39" s="13">
        <f t="shared" si="0"/>
        <v>1.7611741366579494</v>
      </c>
      <c r="E39" s="10">
        <f t="shared" si="14"/>
        <v>20.38464240689477</v>
      </c>
      <c r="F39" s="10">
        <f t="shared" si="15"/>
        <v>39.008110677131597</v>
      </c>
      <c r="G39" s="10">
        <f t="shared" si="3"/>
        <v>57.631578947368418</v>
      </c>
      <c r="H39" s="10">
        <f t="shared" si="16"/>
        <v>76.255047217605238</v>
      </c>
      <c r="I39" s="10">
        <f t="shared" si="5"/>
        <v>94.878515487842066</v>
      </c>
      <c r="J39" s="14">
        <f t="shared" si="17"/>
        <v>113.50198375807889</v>
      </c>
      <c r="K39" s="13">
        <f t="shared" si="7"/>
        <v>-6.973007111749407</v>
      </c>
      <c r="L39" s="10">
        <f t="shared" si="8"/>
        <v>-4.5083205306399545</v>
      </c>
      <c r="M39" s="10">
        <f t="shared" si="9"/>
        <v>-2.0436339495305038</v>
      </c>
      <c r="N39" s="10">
        <f t="shared" si="10"/>
        <v>0.42105263157894735</v>
      </c>
      <c r="O39" s="10">
        <f t="shared" si="11"/>
        <v>2.8857392126883985</v>
      </c>
      <c r="P39" s="10">
        <f t="shared" si="12"/>
        <v>5.3504257937978501</v>
      </c>
      <c r="Q39" s="14">
        <f t="shared" si="13"/>
        <v>7.8151123749073008</v>
      </c>
    </row>
    <row r="40" spans="1:17" x14ac:dyDescent="0.25">
      <c r="A40" s="4">
        <v>45748</v>
      </c>
      <c r="B40" s="5">
        <f>IF('Catalogo de Variaveis'!H45="","",SUM('Catalogo de Variaveis'!H42:H45))</f>
        <v>81</v>
      </c>
      <c r="C40" s="15">
        <f>IFERROR(IF($B40="","",AVERAGE('Catalogo de Variaveis'!H45-'Catalogo de Variaveis'!H44,'Catalogo de Variaveis'!H44-'Catalogo de Variaveis'!H43,'Catalogo de Variaveis'!H43-'Catalogo de Variaveis'!H42,'Catalogo de Variaveis'!H42-'Catalogo de Variaveis'!H41)),0)</f>
        <v>3.5</v>
      </c>
      <c r="D40" s="13">
        <f t="shared" si="0"/>
        <v>1.7611741366579494</v>
      </c>
      <c r="E40" s="10">
        <f t="shared" si="14"/>
        <v>20.38464240689477</v>
      </c>
      <c r="F40" s="10">
        <f t="shared" si="15"/>
        <v>39.008110677131597</v>
      </c>
      <c r="G40" s="10">
        <f t="shared" si="3"/>
        <v>57.631578947368418</v>
      </c>
      <c r="H40" s="10">
        <f t="shared" si="16"/>
        <v>76.255047217605238</v>
      </c>
      <c r="I40" s="10">
        <f t="shared" si="5"/>
        <v>94.878515487842066</v>
      </c>
      <c r="J40" s="14">
        <f t="shared" si="17"/>
        <v>113.50198375807889</v>
      </c>
      <c r="K40" s="13">
        <f t="shared" si="7"/>
        <v>-6.973007111749407</v>
      </c>
      <c r="L40" s="10">
        <f t="shared" si="8"/>
        <v>-4.5083205306399545</v>
      </c>
      <c r="M40" s="10">
        <f t="shared" si="9"/>
        <v>-2.0436339495305038</v>
      </c>
      <c r="N40" s="10">
        <f t="shared" si="10"/>
        <v>0.42105263157894735</v>
      </c>
      <c r="O40" s="10">
        <f t="shared" si="11"/>
        <v>2.8857392126883985</v>
      </c>
      <c r="P40" s="10">
        <f t="shared" si="12"/>
        <v>5.3504257937978501</v>
      </c>
      <c r="Q40" s="14">
        <f t="shared" si="13"/>
        <v>7.8151123749073008</v>
      </c>
    </row>
    <row r="41" spans="1:17" x14ac:dyDescent="0.25">
      <c r="A41" s="4">
        <v>45778</v>
      </c>
      <c r="B41" s="5">
        <f>IF('Catalogo de Variaveis'!H46="","",SUM('Catalogo de Variaveis'!H43:H46))</f>
        <v>61</v>
      </c>
      <c r="C41" s="15">
        <f>IFERROR(IF($B41="","",AVERAGE('Catalogo de Variaveis'!H46-'Catalogo de Variaveis'!H45,'Catalogo de Variaveis'!H45-'Catalogo de Variaveis'!H44,'Catalogo de Variaveis'!H44-'Catalogo de Variaveis'!H43,'Catalogo de Variaveis'!H43-'Catalogo de Variaveis'!H42)),0)</f>
        <v>-5</v>
      </c>
      <c r="D41" s="13">
        <f t="shared" si="0"/>
        <v>1.7611741366579494</v>
      </c>
      <c r="E41" s="10">
        <f t="shared" si="14"/>
        <v>20.38464240689477</v>
      </c>
      <c r="F41" s="10">
        <f t="shared" si="15"/>
        <v>39.008110677131597</v>
      </c>
      <c r="G41" s="10">
        <f t="shared" si="3"/>
        <v>57.631578947368418</v>
      </c>
      <c r="H41" s="10">
        <f t="shared" si="16"/>
        <v>76.255047217605238</v>
      </c>
      <c r="I41" s="10">
        <f t="shared" si="5"/>
        <v>94.878515487842066</v>
      </c>
      <c r="J41" s="14">
        <f t="shared" si="17"/>
        <v>113.50198375807889</v>
      </c>
      <c r="K41" s="13">
        <f t="shared" si="7"/>
        <v>-6.973007111749407</v>
      </c>
      <c r="L41" s="10">
        <f t="shared" si="8"/>
        <v>-4.5083205306399545</v>
      </c>
      <c r="M41" s="10">
        <f t="shared" si="9"/>
        <v>-2.0436339495305038</v>
      </c>
      <c r="N41" s="10">
        <f t="shared" si="10"/>
        <v>0.42105263157894735</v>
      </c>
      <c r="O41" s="10">
        <f t="shared" si="11"/>
        <v>2.8857392126883985</v>
      </c>
      <c r="P41" s="10">
        <f t="shared" si="12"/>
        <v>5.3504257937978501</v>
      </c>
      <c r="Q41" s="14">
        <f t="shared" si="13"/>
        <v>7.8151123749073008</v>
      </c>
    </row>
    <row r="42" spans="1:17" x14ac:dyDescent="0.25">
      <c r="A42" s="4">
        <v>45809</v>
      </c>
      <c r="B42" s="5">
        <f>IF('Catalogo de Variaveis'!H47="","",SUM('Catalogo de Variaveis'!H44:H47))</f>
        <v>51</v>
      </c>
      <c r="C42" s="15">
        <f>IFERROR(IF($B42="","",AVERAGE('Catalogo de Variaveis'!H47-'Catalogo de Variaveis'!H46,'Catalogo de Variaveis'!H46-'Catalogo de Variaveis'!H45,'Catalogo de Variaveis'!H45-'Catalogo de Variaveis'!H44,'Catalogo de Variaveis'!H44-'Catalogo de Variaveis'!H43)),0)</f>
        <v>-2.5</v>
      </c>
      <c r="D42" s="13">
        <f t="shared" si="0"/>
        <v>1.7611741366579494</v>
      </c>
      <c r="E42" s="10">
        <f t="shared" si="14"/>
        <v>20.38464240689477</v>
      </c>
      <c r="F42" s="10">
        <f t="shared" si="15"/>
        <v>39.008110677131597</v>
      </c>
      <c r="G42" s="10">
        <f t="shared" si="3"/>
        <v>57.631578947368418</v>
      </c>
      <c r="H42" s="10">
        <f t="shared" si="16"/>
        <v>76.255047217605238</v>
      </c>
      <c r="I42" s="10">
        <f t="shared" si="5"/>
        <v>94.878515487842066</v>
      </c>
      <c r="J42" s="14">
        <f t="shared" si="17"/>
        <v>113.50198375807889</v>
      </c>
      <c r="K42" s="13">
        <f t="shared" si="7"/>
        <v>-6.973007111749407</v>
      </c>
      <c r="L42" s="10">
        <f t="shared" si="8"/>
        <v>-4.5083205306399545</v>
      </c>
      <c r="M42" s="10">
        <f t="shared" si="9"/>
        <v>-2.0436339495305038</v>
      </c>
      <c r="N42" s="10">
        <f t="shared" si="10"/>
        <v>0.42105263157894735</v>
      </c>
      <c r="O42" s="10">
        <f t="shared" si="11"/>
        <v>2.8857392126883985</v>
      </c>
      <c r="P42" s="10">
        <f t="shared" si="12"/>
        <v>5.3504257937978501</v>
      </c>
      <c r="Q42" s="14">
        <f t="shared" si="13"/>
        <v>7.8151123749073008</v>
      </c>
    </row>
    <row r="43" spans="1:17" x14ac:dyDescent="0.25">
      <c r="A43" s="4">
        <v>45839</v>
      </c>
      <c r="B43" s="5">
        <f>IF('Catalogo de Variaveis'!H48="","",SUM('Catalogo de Variaveis'!H45:H48))</f>
        <v>49</v>
      </c>
      <c r="C43" s="15">
        <f>IFERROR(IF($B43="","",AVERAGE('Catalogo de Variaveis'!H48-'Catalogo de Variaveis'!H47,'Catalogo de Variaveis'!H47-'Catalogo de Variaveis'!H46,'Catalogo de Variaveis'!H46-'Catalogo de Variaveis'!H45,'Catalogo de Variaveis'!H45-'Catalogo de Variaveis'!H44)),0)</f>
        <v>-0.5</v>
      </c>
      <c r="D43" s="13">
        <f t="shared" si="0"/>
        <v>1.7611741366579494</v>
      </c>
      <c r="E43" s="10">
        <f t="shared" si="14"/>
        <v>20.38464240689477</v>
      </c>
      <c r="F43" s="10">
        <f t="shared" si="15"/>
        <v>39.008110677131597</v>
      </c>
      <c r="G43" s="10">
        <f t="shared" si="3"/>
        <v>57.631578947368418</v>
      </c>
      <c r="H43" s="10">
        <f t="shared" si="16"/>
        <v>76.255047217605238</v>
      </c>
      <c r="I43" s="10">
        <f t="shared" si="5"/>
        <v>94.878515487842066</v>
      </c>
      <c r="J43" s="14">
        <f t="shared" si="17"/>
        <v>113.50198375807889</v>
      </c>
      <c r="K43" s="13">
        <f t="shared" si="7"/>
        <v>-6.973007111749407</v>
      </c>
      <c r="L43" s="10">
        <f t="shared" si="8"/>
        <v>-4.5083205306399545</v>
      </c>
      <c r="M43" s="10">
        <f t="shared" si="9"/>
        <v>-2.0436339495305038</v>
      </c>
      <c r="N43" s="10">
        <f t="shared" si="10"/>
        <v>0.42105263157894735</v>
      </c>
      <c r="O43" s="10">
        <f t="shared" si="11"/>
        <v>2.8857392126883985</v>
      </c>
      <c r="P43" s="10">
        <f t="shared" si="12"/>
        <v>5.3504257937978501</v>
      </c>
      <c r="Q43" s="14">
        <f t="shared" si="13"/>
        <v>7.8151123749073008</v>
      </c>
    </row>
    <row r="44" spans="1:17" x14ac:dyDescent="0.25">
      <c r="A44" s="4">
        <v>45870</v>
      </c>
      <c r="B44" s="5">
        <f>IF('Catalogo de Variaveis'!H49="","",SUM('Catalogo de Variaveis'!H46:H49))</f>
        <v>46</v>
      </c>
      <c r="C44" s="15">
        <f>IFERROR(IF($B44="","",AVERAGE('Catalogo de Variaveis'!H49-'Catalogo de Variaveis'!H48,'Catalogo de Variaveis'!H48-'Catalogo de Variaveis'!H47,'Catalogo de Variaveis'!H47-'Catalogo de Variaveis'!H46,'Catalogo de Variaveis'!H46-'Catalogo de Variaveis'!H45)),0)</f>
        <v>-0.75</v>
      </c>
      <c r="D44" s="13">
        <f t="shared" si="0"/>
        <v>1.7611741366579494</v>
      </c>
      <c r="E44" s="10">
        <f t="shared" si="14"/>
        <v>20.38464240689477</v>
      </c>
      <c r="F44" s="10">
        <f t="shared" si="15"/>
        <v>39.008110677131597</v>
      </c>
      <c r="G44" s="10">
        <f t="shared" si="3"/>
        <v>57.631578947368418</v>
      </c>
      <c r="H44" s="10">
        <f t="shared" si="16"/>
        <v>76.255047217605238</v>
      </c>
      <c r="I44" s="10">
        <f t="shared" si="5"/>
        <v>94.878515487842066</v>
      </c>
      <c r="J44" s="14">
        <f t="shared" si="17"/>
        <v>113.50198375807889</v>
      </c>
      <c r="K44" s="13">
        <f t="shared" si="7"/>
        <v>-6.973007111749407</v>
      </c>
      <c r="L44" s="10">
        <f t="shared" si="8"/>
        <v>-4.5083205306399545</v>
      </c>
      <c r="M44" s="10">
        <f t="shared" si="9"/>
        <v>-2.0436339495305038</v>
      </c>
      <c r="N44" s="10">
        <f t="shared" si="10"/>
        <v>0.42105263157894735</v>
      </c>
      <c r="O44" s="10">
        <f t="shared" si="11"/>
        <v>2.8857392126883985</v>
      </c>
      <c r="P44" s="10">
        <f t="shared" si="12"/>
        <v>5.3504257937978501</v>
      </c>
      <c r="Q44" s="14">
        <f t="shared" si="13"/>
        <v>7.8151123749073008</v>
      </c>
    </row>
    <row r="45" spans="1:17" x14ac:dyDescent="0.25">
      <c r="A45" s="4">
        <v>45901</v>
      </c>
      <c r="B45" s="5">
        <f>IF('Catalogo de Variaveis'!H50="","",SUM('Catalogo de Variaveis'!H47:H50))</f>
        <v>56</v>
      </c>
      <c r="C45" s="15">
        <f>IFERROR(IF($B45="","",AVERAGE('Catalogo de Variaveis'!H50-'Catalogo de Variaveis'!H49,'Catalogo de Variaveis'!H49-'Catalogo de Variaveis'!H48,'Catalogo de Variaveis'!H48-'Catalogo de Variaveis'!H47,'Catalogo de Variaveis'!H47-'Catalogo de Variaveis'!H46)),0)</f>
        <v>2.5</v>
      </c>
      <c r="D45" s="13">
        <f t="shared" si="0"/>
        <v>1.7611741366579494</v>
      </c>
      <c r="E45" s="10">
        <f t="shared" si="14"/>
        <v>20.38464240689477</v>
      </c>
      <c r="F45" s="10">
        <f t="shared" si="15"/>
        <v>39.008110677131597</v>
      </c>
      <c r="G45" s="10">
        <f t="shared" si="3"/>
        <v>57.631578947368418</v>
      </c>
      <c r="H45" s="10">
        <f t="shared" si="16"/>
        <v>76.255047217605238</v>
      </c>
      <c r="I45" s="10">
        <f t="shared" si="5"/>
        <v>94.878515487842066</v>
      </c>
      <c r="J45" s="14">
        <f t="shared" si="17"/>
        <v>113.50198375807889</v>
      </c>
      <c r="K45" s="13">
        <f t="shared" si="7"/>
        <v>-6.973007111749407</v>
      </c>
      <c r="L45" s="10">
        <f t="shared" si="8"/>
        <v>-4.5083205306399545</v>
      </c>
      <c r="M45" s="10">
        <f t="shared" si="9"/>
        <v>-2.0436339495305038</v>
      </c>
      <c r="N45" s="10">
        <f t="shared" si="10"/>
        <v>0.42105263157894735</v>
      </c>
      <c r="O45" s="10">
        <f t="shared" si="11"/>
        <v>2.8857392126883985</v>
      </c>
      <c r="P45" s="10">
        <f t="shared" si="12"/>
        <v>5.3504257937978501</v>
      </c>
      <c r="Q45" s="14">
        <f t="shared" si="13"/>
        <v>7.8151123749073008</v>
      </c>
    </row>
    <row r="46" spans="1:17" x14ac:dyDescent="0.25">
      <c r="A46" s="4">
        <v>45931</v>
      </c>
      <c r="B46" s="5">
        <f>IF('Catalogo de Variaveis'!H51="","",SUM('Catalogo de Variaveis'!H48:H51))</f>
        <v>64</v>
      </c>
      <c r="C46" s="15">
        <f>IFERROR(IF($B46="","",AVERAGE('Catalogo de Variaveis'!H51-'Catalogo de Variaveis'!H50,'Catalogo de Variaveis'!H50-'Catalogo de Variaveis'!H49,'Catalogo de Variaveis'!H49-'Catalogo de Variaveis'!H48,'Catalogo de Variaveis'!H48-'Catalogo de Variaveis'!H47)),0)</f>
        <v>2</v>
      </c>
      <c r="D46" s="13">
        <f t="shared" si="0"/>
        <v>1.7611741366579494</v>
      </c>
      <c r="E46" s="10">
        <f t="shared" si="14"/>
        <v>20.38464240689477</v>
      </c>
      <c r="F46" s="10">
        <f t="shared" si="15"/>
        <v>39.008110677131597</v>
      </c>
      <c r="G46" s="10">
        <f t="shared" si="3"/>
        <v>57.631578947368418</v>
      </c>
      <c r="H46" s="10">
        <f t="shared" si="16"/>
        <v>76.255047217605238</v>
      </c>
      <c r="I46" s="10">
        <f t="shared" si="5"/>
        <v>94.878515487842066</v>
      </c>
      <c r="J46" s="14">
        <f t="shared" si="17"/>
        <v>113.50198375807889</v>
      </c>
      <c r="K46" s="13">
        <f t="shared" si="7"/>
        <v>-6.973007111749407</v>
      </c>
      <c r="L46" s="10">
        <f t="shared" si="8"/>
        <v>-4.5083205306399545</v>
      </c>
      <c r="M46" s="10">
        <f t="shared" si="9"/>
        <v>-2.0436339495305038</v>
      </c>
      <c r="N46" s="10">
        <f t="shared" si="10"/>
        <v>0.42105263157894735</v>
      </c>
      <c r="O46" s="10">
        <f t="shared" si="11"/>
        <v>2.8857392126883985</v>
      </c>
      <c r="P46" s="10">
        <f t="shared" si="12"/>
        <v>5.3504257937978501</v>
      </c>
      <c r="Q46" s="14">
        <f t="shared" si="13"/>
        <v>7.8151123749073008</v>
      </c>
    </row>
    <row r="47" spans="1:17" x14ac:dyDescent="0.25">
      <c r="A47" s="4">
        <v>45962</v>
      </c>
      <c r="B47" s="5" t="str">
        <f>IF('Catalogo de Variaveis'!H52="","",SUM('Catalogo de Variaveis'!H49:H52))</f>
        <v/>
      </c>
      <c r="C47" s="15" t="str">
        <f>IFERROR(IF($B47="","",AVERAGE('Catalogo de Variaveis'!H52-'Catalogo de Variaveis'!H51,'Catalogo de Variaveis'!H51-'Catalogo de Variaveis'!H50,'Catalogo de Variaveis'!H50-'Catalogo de Variaveis'!H49,'Catalogo de Variaveis'!H49-'Catalogo de Variaveis'!H48)),0)</f>
        <v/>
      </c>
      <c r="D47" s="13" t="str">
        <f t="shared" si="0"/>
        <v/>
      </c>
      <c r="E47" s="10" t="str">
        <f t="shared" si="14"/>
        <v/>
      </c>
      <c r="F47" s="10" t="str">
        <f t="shared" si="15"/>
        <v/>
      </c>
      <c r="G47" s="10" t="str">
        <f t="shared" si="3"/>
        <v/>
      </c>
      <c r="H47" s="10" t="str">
        <f t="shared" si="16"/>
        <v/>
      </c>
      <c r="I47" s="10" t="str">
        <f t="shared" si="5"/>
        <v/>
      </c>
      <c r="J47" s="14" t="str">
        <f t="shared" si="17"/>
        <v/>
      </c>
      <c r="K47" s="13" t="str">
        <f t="shared" si="7"/>
        <v/>
      </c>
      <c r="L47" s="10" t="str">
        <f t="shared" si="8"/>
        <v/>
      </c>
      <c r="M47" s="10" t="str">
        <f t="shared" si="9"/>
        <v/>
      </c>
      <c r="N47" s="10" t="str">
        <f t="shared" si="10"/>
        <v/>
      </c>
      <c r="O47" s="10" t="str">
        <f t="shared" si="11"/>
        <v/>
      </c>
      <c r="P47" s="10" t="str">
        <f t="shared" si="12"/>
        <v/>
      </c>
      <c r="Q47" s="14" t="str">
        <f t="shared" si="13"/>
        <v/>
      </c>
    </row>
    <row r="48" spans="1:17" x14ac:dyDescent="0.25">
      <c r="A48" s="4">
        <v>45992</v>
      </c>
      <c r="B48" s="5" t="str">
        <f>IF('Catalogo de Variaveis'!H53="","",SUM('Catalogo de Variaveis'!H50:H53))</f>
        <v/>
      </c>
      <c r="C48" s="15" t="str">
        <f>IFERROR(IF($B48="","",AVERAGE('Catalogo de Variaveis'!H53-'Catalogo de Variaveis'!H52,'Catalogo de Variaveis'!H52-'Catalogo de Variaveis'!H51,'Catalogo de Variaveis'!H51-'Catalogo de Variaveis'!H50,'Catalogo de Variaveis'!H50-'Catalogo de Variaveis'!H49)),0)</f>
        <v/>
      </c>
      <c r="D48" s="13" t="str">
        <f t="shared" si="0"/>
        <v/>
      </c>
      <c r="E48" s="10" t="str">
        <f t="shared" si="14"/>
        <v/>
      </c>
      <c r="F48" s="10" t="str">
        <f t="shared" si="15"/>
        <v/>
      </c>
      <c r="G48" s="10" t="str">
        <f t="shared" si="3"/>
        <v/>
      </c>
      <c r="H48" s="10" t="str">
        <f t="shared" si="16"/>
        <v/>
      </c>
      <c r="I48" s="10" t="str">
        <f t="shared" si="5"/>
        <v/>
      </c>
      <c r="J48" s="14" t="str">
        <f t="shared" si="17"/>
        <v/>
      </c>
      <c r="K48" s="13" t="str">
        <f t="shared" si="7"/>
        <v/>
      </c>
      <c r="L48" s="10" t="str">
        <f t="shared" si="8"/>
        <v/>
      </c>
      <c r="M48" s="10" t="str">
        <f t="shared" si="9"/>
        <v/>
      </c>
      <c r="N48" s="10" t="str">
        <f t="shared" si="10"/>
        <v/>
      </c>
      <c r="O48" s="10" t="str">
        <f t="shared" si="11"/>
        <v/>
      </c>
      <c r="P48" s="10" t="str">
        <f t="shared" si="12"/>
        <v/>
      </c>
      <c r="Q48" s="14" t="str">
        <f t="shared" si="13"/>
        <v/>
      </c>
    </row>
    <row r="49" spans="1:17" x14ac:dyDescent="0.25">
      <c r="A49" s="4">
        <v>46023</v>
      </c>
      <c r="B49" s="5" t="str">
        <f>IF('Catalogo de Variaveis'!H54="","",SUM('Catalogo de Variaveis'!H51:H54))</f>
        <v/>
      </c>
      <c r="C49" s="15" t="str">
        <f>IFERROR(IF($B49="","",AVERAGE('Catalogo de Variaveis'!H54-'Catalogo de Variaveis'!H53,'Catalogo de Variaveis'!H53-'Catalogo de Variaveis'!H52,'Catalogo de Variaveis'!H52-'Catalogo de Variaveis'!H51,'Catalogo de Variaveis'!H51-'Catalogo de Variaveis'!H50)),0)</f>
        <v/>
      </c>
      <c r="D49" s="13" t="str">
        <f t="shared" si="0"/>
        <v/>
      </c>
      <c r="E49" s="10" t="str">
        <f t="shared" si="14"/>
        <v/>
      </c>
      <c r="F49" s="10" t="str">
        <f t="shared" si="15"/>
        <v/>
      </c>
      <c r="G49" s="10" t="str">
        <f t="shared" si="3"/>
        <v/>
      </c>
      <c r="H49" s="10" t="str">
        <f t="shared" si="16"/>
        <v/>
      </c>
      <c r="I49" s="10" t="str">
        <f t="shared" si="5"/>
        <v/>
      </c>
      <c r="J49" s="14" t="str">
        <f t="shared" si="17"/>
        <v/>
      </c>
      <c r="K49" s="13" t="str">
        <f t="shared" si="7"/>
        <v/>
      </c>
      <c r="L49" s="10" t="str">
        <f t="shared" si="8"/>
        <v/>
      </c>
      <c r="M49" s="10" t="str">
        <f t="shared" si="9"/>
        <v/>
      </c>
      <c r="N49" s="10" t="str">
        <f t="shared" si="10"/>
        <v/>
      </c>
      <c r="O49" s="10" t="str">
        <f t="shared" si="11"/>
        <v/>
      </c>
      <c r="P49" s="10" t="str">
        <f t="shared" si="12"/>
        <v/>
      </c>
      <c r="Q49" s="14" t="str">
        <f t="shared" si="13"/>
        <v/>
      </c>
    </row>
    <row r="50" spans="1:17" x14ac:dyDescent="0.25">
      <c r="A50" s="4">
        <v>46054</v>
      </c>
      <c r="B50" s="5" t="str">
        <f>IF('Catalogo de Variaveis'!H55="","",SUM('Catalogo de Variaveis'!H52:H55))</f>
        <v/>
      </c>
      <c r="C50" s="15" t="str">
        <f>IFERROR(IF($B50="","",AVERAGE('Catalogo de Variaveis'!H55-'Catalogo de Variaveis'!H54,'Catalogo de Variaveis'!H54-'Catalogo de Variaveis'!H53,'Catalogo de Variaveis'!H53-'Catalogo de Variaveis'!H52,'Catalogo de Variaveis'!H52-'Catalogo de Variaveis'!H51)),0)</f>
        <v/>
      </c>
      <c r="D50" s="13" t="str">
        <f t="shared" si="0"/>
        <v/>
      </c>
      <c r="E50" s="10" t="str">
        <f t="shared" si="14"/>
        <v/>
      </c>
      <c r="F50" s="10" t="str">
        <f t="shared" si="15"/>
        <v/>
      </c>
      <c r="G50" s="10" t="str">
        <f t="shared" si="3"/>
        <v/>
      </c>
      <c r="H50" s="10" t="str">
        <f t="shared" si="16"/>
        <v/>
      </c>
      <c r="I50" s="10" t="str">
        <f t="shared" si="5"/>
        <v/>
      </c>
      <c r="J50" s="14" t="str">
        <f t="shared" si="17"/>
        <v/>
      </c>
      <c r="K50" s="13" t="str">
        <f t="shared" si="7"/>
        <v/>
      </c>
      <c r="L50" s="10" t="str">
        <f t="shared" si="8"/>
        <v/>
      </c>
      <c r="M50" s="10" t="str">
        <f t="shared" si="9"/>
        <v/>
      </c>
      <c r="N50" s="10" t="str">
        <f t="shared" si="10"/>
        <v/>
      </c>
      <c r="O50" s="10" t="str">
        <f t="shared" si="11"/>
        <v/>
      </c>
      <c r="P50" s="10" t="str">
        <f t="shared" si="12"/>
        <v/>
      </c>
      <c r="Q50" s="14" t="str">
        <f t="shared" si="13"/>
        <v/>
      </c>
    </row>
    <row r="51" spans="1:17" x14ac:dyDescent="0.25">
      <c r="A51" s="4">
        <v>46082</v>
      </c>
      <c r="B51" s="5" t="str">
        <f>IF('Catalogo de Variaveis'!H56="","",SUM('Catalogo de Variaveis'!H53:H56))</f>
        <v/>
      </c>
      <c r="C51" s="15" t="str">
        <f>IFERROR(IF($B51="","",AVERAGE('Catalogo de Variaveis'!H56-'Catalogo de Variaveis'!H55,'Catalogo de Variaveis'!H55-'Catalogo de Variaveis'!H54,'Catalogo de Variaveis'!H54-'Catalogo de Variaveis'!H53,'Catalogo de Variaveis'!H53-'Catalogo de Variaveis'!H52)),0)</f>
        <v/>
      </c>
      <c r="D51" s="13" t="str">
        <f t="shared" si="0"/>
        <v/>
      </c>
      <c r="E51" s="10" t="str">
        <f t="shared" si="14"/>
        <v/>
      </c>
      <c r="F51" s="10" t="str">
        <f t="shared" si="15"/>
        <v/>
      </c>
      <c r="G51" s="10" t="str">
        <f t="shared" si="3"/>
        <v/>
      </c>
      <c r="H51" s="10" t="str">
        <f t="shared" si="16"/>
        <v/>
      </c>
      <c r="I51" s="10" t="str">
        <f t="shared" si="5"/>
        <v/>
      </c>
      <c r="J51" s="14" t="str">
        <f t="shared" si="17"/>
        <v/>
      </c>
      <c r="K51" s="13" t="str">
        <f t="shared" si="7"/>
        <v/>
      </c>
      <c r="L51" s="10" t="str">
        <f t="shared" si="8"/>
        <v/>
      </c>
      <c r="M51" s="10" t="str">
        <f t="shared" si="9"/>
        <v/>
      </c>
      <c r="N51" s="10" t="str">
        <f t="shared" si="10"/>
        <v/>
      </c>
      <c r="O51" s="10" t="str">
        <f t="shared" si="11"/>
        <v/>
      </c>
      <c r="P51" s="10" t="str">
        <f t="shared" si="12"/>
        <v/>
      </c>
      <c r="Q51" s="14" t="str">
        <f t="shared" si="13"/>
        <v/>
      </c>
    </row>
    <row r="52" spans="1:17" x14ac:dyDescent="0.25">
      <c r="A52" s="4">
        <v>46113</v>
      </c>
      <c r="B52" s="5" t="str">
        <f>IF('Catalogo de Variaveis'!H57="","",SUM('Catalogo de Variaveis'!H54:H57))</f>
        <v/>
      </c>
      <c r="C52" s="15" t="str">
        <f>IFERROR(IF($B52="","",AVERAGE('Catalogo de Variaveis'!H57-'Catalogo de Variaveis'!H56,'Catalogo de Variaveis'!H56-'Catalogo de Variaveis'!H55,'Catalogo de Variaveis'!H55-'Catalogo de Variaveis'!H54,'Catalogo de Variaveis'!H54-'Catalogo de Variaveis'!H53)),0)</f>
        <v/>
      </c>
      <c r="D52" s="13" t="str">
        <f t="shared" si="0"/>
        <v/>
      </c>
      <c r="E52" s="10" t="str">
        <f t="shared" si="14"/>
        <v/>
      </c>
      <c r="F52" s="10" t="str">
        <f t="shared" si="15"/>
        <v/>
      </c>
      <c r="G52" s="10" t="str">
        <f t="shared" si="3"/>
        <v/>
      </c>
      <c r="H52" s="10" t="str">
        <f t="shared" si="16"/>
        <v/>
      </c>
      <c r="I52" s="10" t="str">
        <f t="shared" si="5"/>
        <v/>
      </c>
      <c r="J52" s="14" t="str">
        <f t="shared" si="17"/>
        <v/>
      </c>
      <c r="K52" s="13" t="str">
        <f t="shared" si="7"/>
        <v/>
      </c>
      <c r="L52" s="10" t="str">
        <f t="shared" si="8"/>
        <v/>
      </c>
      <c r="M52" s="10" t="str">
        <f t="shared" si="9"/>
        <v/>
      </c>
      <c r="N52" s="10" t="str">
        <f t="shared" si="10"/>
        <v/>
      </c>
      <c r="O52" s="10" t="str">
        <f t="shared" si="11"/>
        <v/>
      </c>
      <c r="P52" s="10" t="str">
        <f t="shared" si="12"/>
        <v/>
      </c>
      <c r="Q52" s="14" t="str">
        <f t="shared" si="13"/>
        <v/>
      </c>
    </row>
    <row r="53" spans="1:17" x14ac:dyDescent="0.25">
      <c r="A53" s="4">
        <v>46143</v>
      </c>
      <c r="B53" s="5" t="str">
        <f>IF('Catalogo de Variaveis'!H58="","",SUM('Catalogo de Variaveis'!H55:H58))</f>
        <v/>
      </c>
      <c r="C53" s="15" t="str">
        <f>IFERROR(IF($B53="","",AVERAGE('Catalogo de Variaveis'!H58-'Catalogo de Variaveis'!H57,'Catalogo de Variaveis'!H57-'Catalogo de Variaveis'!H56,'Catalogo de Variaveis'!H56-'Catalogo de Variaveis'!H55,'Catalogo de Variaveis'!H55-'Catalogo de Variaveis'!H54)),0)</f>
        <v/>
      </c>
      <c r="D53" s="13" t="str">
        <f t="shared" si="0"/>
        <v/>
      </c>
      <c r="E53" s="10" t="str">
        <f t="shared" si="14"/>
        <v/>
      </c>
      <c r="F53" s="10" t="str">
        <f t="shared" si="15"/>
        <v/>
      </c>
      <c r="G53" s="10" t="str">
        <f t="shared" si="3"/>
        <v/>
      </c>
      <c r="H53" s="10" t="str">
        <f t="shared" si="16"/>
        <v/>
      </c>
      <c r="I53" s="10" t="str">
        <f t="shared" si="5"/>
        <v/>
      </c>
      <c r="J53" s="14" t="str">
        <f t="shared" si="17"/>
        <v/>
      </c>
      <c r="K53" s="13" t="str">
        <f t="shared" si="7"/>
        <v/>
      </c>
      <c r="L53" s="10" t="str">
        <f t="shared" si="8"/>
        <v/>
      </c>
      <c r="M53" s="10" t="str">
        <f t="shared" si="9"/>
        <v/>
      </c>
      <c r="N53" s="10" t="str">
        <f t="shared" si="10"/>
        <v/>
      </c>
      <c r="O53" s="10" t="str">
        <f t="shared" si="11"/>
        <v/>
      </c>
      <c r="P53" s="10" t="str">
        <f t="shared" si="12"/>
        <v/>
      </c>
      <c r="Q53" s="14" t="str">
        <f t="shared" si="13"/>
        <v/>
      </c>
    </row>
    <row r="54" spans="1:17" x14ac:dyDescent="0.25">
      <c r="A54" s="4">
        <v>46174</v>
      </c>
      <c r="B54" s="5" t="str">
        <f>IF('Catalogo de Variaveis'!H59="","",SUM('Catalogo de Variaveis'!H56:H59))</f>
        <v/>
      </c>
      <c r="C54" s="15" t="str">
        <f>IFERROR(IF($B54="","",AVERAGE('Catalogo de Variaveis'!H59-'Catalogo de Variaveis'!H58,'Catalogo de Variaveis'!H58-'Catalogo de Variaveis'!H57,'Catalogo de Variaveis'!H57-'Catalogo de Variaveis'!H56,'Catalogo de Variaveis'!H56-'Catalogo de Variaveis'!H55)),0)</f>
        <v/>
      </c>
      <c r="D54" s="13" t="str">
        <f t="shared" si="0"/>
        <v/>
      </c>
      <c r="E54" s="10" t="str">
        <f t="shared" si="14"/>
        <v/>
      </c>
      <c r="F54" s="10" t="str">
        <f t="shared" si="15"/>
        <v/>
      </c>
      <c r="G54" s="10" t="str">
        <f t="shared" si="3"/>
        <v/>
      </c>
      <c r="H54" s="10" t="str">
        <f t="shared" si="16"/>
        <v/>
      </c>
      <c r="I54" s="10" t="str">
        <f t="shared" si="5"/>
        <v/>
      </c>
      <c r="J54" s="14" t="str">
        <f t="shared" si="17"/>
        <v/>
      </c>
      <c r="K54" s="13" t="str">
        <f t="shared" si="7"/>
        <v/>
      </c>
      <c r="L54" s="10" t="str">
        <f t="shared" si="8"/>
        <v/>
      </c>
      <c r="M54" s="10" t="str">
        <f t="shared" si="9"/>
        <v/>
      </c>
      <c r="N54" s="10" t="str">
        <f t="shared" si="10"/>
        <v/>
      </c>
      <c r="O54" s="10" t="str">
        <f t="shared" si="11"/>
        <v/>
      </c>
      <c r="P54" s="10" t="str">
        <f t="shared" si="12"/>
        <v/>
      </c>
      <c r="Q54" s="14" t="str">
        <f t="shared" si="13"/>
        <v/>
      </c>
    </row>
    <row r="55" spans="1:17" x14ac:dyDescent="0.25">
      <c r="A55" s="4">
        <v>46204</v>
      </c>
      <c r="B55" s="5" t="str">
        <f>IF('Catalogo de Variaveis'!H60="","",SUM('Catalogo de Variaveis'!H57:H60))</f>
        <v/>
      </c>
      <c r="C55" s="15" t="str">
        <f>IFERROR(IF($B55="","",AVERAGE('Catalogo de Variaveis'!H60-'Catalogo de Variaveis'!H59,'Catalogo de Variaveis'!H59-'Catalogo de Variaveis'!H58,'Catalogo de Variaveis'!H58-'Catalogo de Variaveis'!H57,'Catalogo de Variaveis'!H57-'Catalogo de Variaveis'!H56)),0)</f>
        <v/>
      </c>
      <c r="D55" s="13" t="str">
        <f t="shared" si="0"/>
        <v/>
      </c>
      <c r="E55" s="10" t="str">
        <f t="shared" si="14"/>
        <v/>
      </c>
      <c r="F55" s="10" t="str">
        <f t="shared" si="15"/>
        <v/>
      </c>
      <c r="G55" s="10" t="str">
        <f t="shared" si="3"/>
        <v/>
      </c>
      <c r="H55" s="10" t="str">
        <f t="shared" si="16"/>
        <v/>
      </c>
      <c r="I55" s="10" t="str">
        <f t="shared" si="5"/>
        <v/>
      </c>
      <c r="J55" s="14" t="str">
        <f t="shared" si="17"/>
        <v/>
      </c>
      <c r="K55" s="13" t="str">
        <f t="shared" si="7"/>
        <v/>
      </c>
      <c r="L55" s="10" t="str">
        <f t="shared" si="8"/>
        <v/>
      </c>
      <c r="M55" s="10" t="str">
        <f t="shared" si="9"/>
        <v/>
      </c>
      <c r="N55" s="10" t="str">
        <f t="shared" si="10"/>
        <v/>
      </c>
      <c r="O55" s="10" t="str">
        <f t="shared" si="11"/>
        <v/>
      </c>
      <c r="P55" s="10" t="str">
        <f t="shared" si="12"/>
        <v/>
      </c>
      <c r="Q55" s="14" t="str">
        <f t="shared" si="13"/>
        <v/>
      </c>
    </row>
    <row r="56" spans="1:17" x14ac:dyDescent="0.25">
      <c r="A56" s="4">
        <v>46235</v>
      </c>
      <c r="B56" s="5" t="str">
        <f>IF('Catalogo de Variaveis'!H61="","",SUM('Catalogo de Variaveis'!H58:H61))</f>
        <v/>
      </c>
      <c r="C56" s="15" t="str">
        <f>IFERROR(IF($B56="","",AVERAGE('Catalogo de Variaveis'!H61-'Catalogo de Variaveis'!H60,'Catalogo de Variaveis'!H60-'Catalogo de Variaveis'!H59,'Catalogo de Variaveis'!H59-'Catalogo de Variaveis'!H58,'Catalogo de Variaveis'!H58-'Catalogo de Variaveis'!H57)),0)</f>
        <v/>
      </c>
      <c r="D56" s="13" t="str">
        <f t="shared" si="0"/>
        <v/>
      </c>
      <c r="E56" s="10" t="str">
        <f t="shared" si="14"/>
        <v/>
      </c>
      <c r="F56" s="10" t="str">
        <f t="shared" si="15"/>
        <v/>
      </c>
      <c r="G56" s="10" t="str">
        <f t="shared" si="3"/>
        <v/>
      </c>
      <c r="H56" s="10" t="str">
        <f t="shared" si="16"/>
        <v/>
      </c>
      <c r="I56" s="10" t="str">
        <f t="shared" si="5"/>
        <v/>
      </c>
      <c r="J56" s="14" t="str">
        <f t="shared" si="17"/>
        <v/>
      </c>
      <c r="K56" s="13" t="str">
        <f t="shared" si="7"/>
        <v/>
      </c>
      <c r="L56" s="10" t="str">
        <f t="shared" si="8"/>
        <v/>
      </c>
      <c r="M56" s="10" t="str">
        <f t="shared" si="9"/>
        <v/>
      </c>
      <c r="N56" s="10" t="str">
        <f t="shared" si="10"/>
        <v/>
      </c>
      <c r="O56" s="10" t="str">
        <f t="shared" si="11"/>
        <v/>
      </c>
      <c r="P56" s="10" t="str">
        <f t="shared" si="12"/>
        <v/>
      </c>
      <c r="Q56" s="14" t="str">
        <f t="shared" si="13"/>
        <v/>
      </c>
    </row>
    <row r="57" spans="1:17" x14ac:dyDescent="0.25">
      <c r="A57" s="4">
        <v>46266</v>
      </c>
      <c r="B57" s="5" t="str">
        <f>IF('Catalogo de Variaveis'!H62="","",SUM('Catalogo de Variaveis'!H59:H62))</f>
        <v/>
      </c>
      <c r="C57" s="15" t="str">
        <f>IFERROR(IF($B57="","",AVERAGE('Catalogo de Variaveis'!H62-'Catalogo de Variaveis'!H61,'Catalogo de Variaveis'!H61-'Catalogo de Variaveis'!H60,'Catalogo de Variaveis'!H60-'Catalogo de Variaveis'!H59,'Catalogo de Variaveis'!H59-'Catalogo de Variaveis'!H58)),0)</f>
        <v/>
      </c>
      <c r="D57" s="13" t="str">
        <f t="shared" si="0"/>
        <v/>
      </c>
      <c r="E57" s="10" t="str">
        <f t="shared" si="14"/>
        <v/>
      </c>
      <c r="F57" s="10" t="str">
        <f t="shared" si="15"/>
        <v/>
      </c>
      <c r="G57" s="10" t="str">
        <f t="shared" si="3"/>
        <v/>
      </c>
      <c r="H57" s="10" t="str">
        <f t="shared" si="16"/>
        <v/>
      </c>
      <c r="I57" s="10" t="str">
        <f t="shared" si="5"/>
        <v/>
      </c>
      <c r="J57" s="14" t="str">
        <f t="shared" si="17"/>
        <v/>
      </c>
      <c r="K57" s="13" t="str">
        <f t="shared" si="7"/>
        <v/>
      </c>
      <c r="L57" s="10" t="str">
        <f t="shared" si="8"/>
        <v/>
      </c>
      <c r="M57" s="10" t="str">
        <f t="shared" si="9"/>
        <v/>
      </c>
      <c r="N57" s="10" t="str">
        <f t="shared" si="10"/>
        <v/>
      </c>
      <c r="O57" s="10" t="str">
        <f t="shared" si="11"/>
        <v/>
      </c>
      <c r="P57" s="10" t="str">
        <f t="shared" si="12"/>
        <v/>
      </c>
      <c r="Q57" s="14" t="str">
        <f t="shared" si="13"/>
        <v/>
      </c>
    </row>
    <row r="58" spans="1:17" x14ac:dyDescent="0.25">
      <c r="A58" s="4">
        <v>46296</v>
      </c>
      <c r="B58" s="5" t="str">
        <f>IF('Catalogo de Variaveis'!H63="","",SUM('Catalogo de Variaveis'!H60:H63))</f>
        <v/>
      </c>
      <c r="C58" s="15" t="str">
        <f>IFERROR(IF($B58="","",AVERAGE('Catalogo de Variaveis'!H63-'Catalogo de Variaveis'!H62,'Catalogo de Variaveis'!H62-'Catalogo de Variaveis'!H61,'Catalogo de Variaveis'!H61-'Catalogo de Variaveis'!H60,'Catalogo de Variaveis'!H60-'Catalogo de Variaveis'!H59)),0)</f>
        <v/>
      </c>
      <c r="D58" s="13" t="str">
        <f t="shared" si="0"/>
        <v/>
      </c>
      <c r="E58" s="10" t="str">
        <f t="shared" si="14"/>
        <v/>
      </c>
      <c r="F58" s="10" t="str">
        <f t="shared" si="15"/>
        <v/>
      </c>
      <c r="G58" s="10" t="str">
        <f t="shared" si="3"/>
        <v/>
      </c>
      <c r="H58" s="10" t="str">
        <f t="shared" si="16"/>
        <v/>
      </c>
      <c r="I58" s="10" t="str">
        <f t="shared" si="5"/>
        <v/>
      </c>
      <c r="J58" s="14" t="str">
        <f t="shared" si="17"/>
        <v/>
      </c>
      <c r="K58" s="13" t="str">
        <f t="shared" si="7"/>
        <v/>
      </c>
      <c r="L58" s="10" t="str">
        <f t="shared" si="8"/>
        <v/>
      </c>
      <c r="M58" s="10" t="str">
        <f t="shared" si="9"/>
        <v/>
      </c>
      <c r="N58" s="10" t="str">
        <f t="shared" si="10"/>
        <v/>
      </c>
      <c r="O58" s="10" t="str">
        <f t="shared" si="11"/>
        <v/>
      </c>
      <c r="P58" s="10" t="str">
        <f t="shared" si="12"/>
        <v/>
      </c>
      <c r="Q58" s="14" t="str">
        <f t="shared" si="13"/>
        <v/>
      </c>
    </row>
    <row r="59" spans="1:17" x14ac:dyDescent="0.25">
      <c r="A59" s="4">
        <v>46327</v>
      </c>
      <c r="B59" s="5" t="str">
        <f>IF('Catalogo de Variaveis'!H64="","",SUM('Catalogo de Variaveis'!H61:H64))</f>
        <v/>
      </c>
      <c r="C59" s="15" t="str">
        <f>IFERROR(IF($B59="","",AVERAGE('Catalogo de Variaveis'!H64-'Catalogo de Variaveis'!H63,'Catalogo de Variaveis'!H63-'Catalogo de Variaveis'!H62,'Catalogo de Variaveis'!H62-'Catalogo de Variaveis'!H61,'Catalogo de Variaveis'!H61-'Catalogo de Variaveis'!H60)),0)</f>
        <v/>
      </c>
      <c r="D59" s="13" t="str">
        <f t="shared" si="0"/>
        <v/>
      </c>
      <c r="E59" s="10" t="str">
        <f t="shared" si="14"/>
        <v/>
      </c>
      <c r="F59" s="10" t="str">
        <f t="shared" si="15"/>
        <v/>
      </c>
      <c r="G59" s="10" t="str">
        <f t="shared" si="3"/>
        <v/>
      </c>
      <c r="H59" s="10" t="str">
        <f t="shared" si="16"/>
        <v/>
      </c>
      <c r="I59" s="10" t="str">
        <f t="shared" si="5"/>
        <v/>
      </c>
      <c r="J59" s="14" t="str">
        <f t="shared" si="17"/>
        <v/>
      </c>
      <c r="K59" s="13" t="str">
        <f t="shared" si="7"/>
        <v/>
      </c>
      <c r="L59" s="10" t="str">
        <f t="shared" si="8"/>
        <v/>
      </c>
      <c r="M59" s="10" t="str">
        <f t="shared" si="9"/>
        <v/>
      </c>
      <c r="N59" s="10" t="str">
        <f t="shared" si="10"/>
        <v/>
      </c>
      <c r="O59" s="10" t="str">
        <f t="shared" si="11"/>
        <v/>
      </c>
      <c r="P59" s="10" t="str">
        <f t="shared" si="12"/>
        <v/>
      </c>
      <c r="Q59" s="14" t="str">
        <f t="shared" si="13"/>
        <v/>
      </c>
    </row>
    <row r="60" spans="1:17" x14ac:dyDescent="0.25">
      <c r="A60" s="4">
        <v>46357</v>
      </c>
      <c r="B60" s="5" t="str">
        <f>IF('Catalogo de Variaveis'!H65="","",SUM('Catalogo de Variaveis'!H62:H65))</f>
        <v/>
      </c>
      <c r="C60" s="15" t="str">
        <f>IFERROR(IF($B60="","",AVERAGE('Catalogo de Variaveis'!H65-'Catalogo de Variaveis'!H64,'Catalogo de Variaveis'!H64-'Catalogo de Variaveis'!H63,'Catalogo de Variaveis'!H63-'Catalogo de Variaveis'!H62,'Catalogo de Variaveis'!H62-'Catalogo de Variaveis'!H61)),0)</f>
        <v/>
      </c>
      <c r="D60" s="13" t="str">
        <f>IF($B60="","",IF(OR($J$1="",$J$2=""),$B$1-3*$B$2,$J$1-3*$J$2))</f>
        <v/>
      </c>
      <c r="E60" s="10" t="str">
        <f t="shared" si="14"/>
        <v/>
      </c>
      <c r="F60" s="10" t="str">
        <f t="shared" si="15"/>
        <v/>
      </c>
      <c r="G60" s="10" t="str">
        <f>IF($B60="","",IF(OR($J$1="",$J$2=""),$B$1,$J$1))</f>
        <v/>
      </c>
      <c r="H60" s="10" t="str">
        <f t="shared" si="16"/>
        <v/>
      </c>
      <c r="I60" s="10" t="str">
        <f>IF($B60="","",IF(OR($J$1="",$J$2=""),$B$1+2*$B$2,$J$1+2*$J$2))</f>
        <v/>
      </c>
      <c r="J60" s="14" t="str">
        <f t="shared" si="17"/>
        <v/>
      </c>
      <c r="K60" s="13" t="str">
        <f t="shared" si="7"/>
        <v/>
      </c>
      <c r="L60" s="10" t="str">
        <f t="shared" si="8"/>
        <v/>
      </c>
      <c r="M60" s="10" t="str">
        <f t="shared" si="9"/>
        <v/>
      </c>
      <c r="N60" s="10" t="str">
        <f t="shared" si="10"/>
        <v/>
      </c>
      <c r="O60" s="10" t="str">
        <f t="shared" si="11"/>
        <v/>
      </c>
      <c r="P60" s="10" t="str">
        <f t="shared" si="12"/>
        <v/>
      </c>
      <c r="Q60" s="14" t="str">
        <f t="shared" si="13"/>
        <v/>
      </c>
    </row>
    <row r="61" spans="1:17" x14ac:dyDescent="0.25">
      <c r="A61" s="4">
        <v>46388</v>
      </c>
      <c r="B61" s="5" t="str">
        <f>IF('Catalogo de Variaveis'!H66="","",SUM('Catalogo de Variaveis'!H63:H66))</f>
        <v/>
      </c>
      <c r="C61" s="15" t="str">
        <f>IFERROR(IF($B61="","",AVERAGE('Catalogo de Variaveis'!H66-'Catalogo de Variaveis'!H65,'Catalogo de Variaveis'!H65-'Catalogo de Variaveis'!H64,'Catalogo de Variaveis'!H64-'Catalogo de Variaveis'!H63,'Catalogo de Variaveis'!H63-'Catalogo de Variaveis'!H62)),0)</f>
        <v/>
      </c>
      <c r="D61" s="13" t="str">
        <f t="shared" ref="D61:D96" si="18">IF($B61="","",IF(OR($J$1="",$J$2=""),$B$1-3*$B$2,$J$1-3*$J$2))</f>
        <v/>
      </c>
      <c r="E61" s="10" t="str">
        <f t="shared" si="14"/>
        <v/>
      </c>
      <c r="F61" s="10" t="str">
        <f t="shared" si="15"/>
        <v/>
      </c>
      <c r="G61" s="10" t="str">
        <f t="shared" ref="G61:G96" si="19">IF($B61="","",IF(OR($J$1="",$J$2=""),$B$1,$J$1))</f>
        <v/>
      </c>
      <c r="H61" s="10" t="str">
        <f t="shared" si="16"/>
        <v/>
      </c>
      <c r="I61" s="10" t="str">
        <f t="shared" ref="I61:I96" si="20">IF($B61="","",IF(OR($J$1="",$J$2=""),$B$1+2*$B$2,$J$1+2*$J$2))</f>
        <v/>
      </c>
      <c r="J61" s="14" t="str">
        <f t="shared" si="17"/>
        <v/>
      </c>
      <c r="K61" s="13" t="str">
        <f t="shared" si="7"/>
        <v/>
      </c>
      <c r="L61" s="10" t="str">
        <f t="shared" si="8"/>
        <v/>
      </c>
      <c r="M61" s="10" t="str">
        <f t="shared" si="9"/>
        <v/>
      </c>
      <c r="N61" s="10" t="str">
        <f t="shared" si="10"/>
        <v/>
      </c>
      <c r="O61" s="10" t="str">
        <f t="shared" si="11"/>
        <v/>
      </c>
      <c r="P61" s="10" t="str">
        <f t="shared" si="12"/>
        <v/>
      </c>
      <c r="Q61" s="14" t="str">
        <f t="shared" si="13"/>
        <v/>
      </c>
    </row>
    <row r="62" spans="1:17" x14ac:dyDescent="0.25">
      <c r="A62" s="4">
        <v>46419</v>
      </c>
      <c r="B62" s="5" t="str">
        <f>IF('Catalogo de Variaveis'!H67="","",SUM('Catalogo de Variaveis'!H64:H67))</f>
        <v/>
      </c>
      <c r="C62" s="15" t="str">
        <f>IFERROR(IF($B62="","",AVERAGE('Catalogo de Variaveis'!H67-'Catalogo de Variaveis'!H66,'Catalogo de Variaveis'!H66-'Catalogo de Variaveis'!H65,'Catalogo de Variaveis'!H65-'Catalogo de Variaveis'!H64,'Catalogo de Variaveis'!H64-'Catalogo de Variaveis'!H63)),0)</f>
        <v/>
      </c>
      <c r="D62" s="13" t="str">
        <f t="shared" si="18"/>
        <v/>
      </c>
      <c r="E62" s="10" t="str">
        <f t="shared" si="14"/>
        <v/>
      </c>
      <c r="F62" s="10" t="str">
        <f t="shared" si="15"/>
        <v/>
      </c>
      <c r="G62" s="10" t="str">
        <f t="shared" si="19"/>
        <v/>
      </c>
      <c r="H62" s="10" t="str">
        <f t="shared" si="16"/>
        <v/>
      </c>
      <c r="I62" s="10" t="str">
        <f t="shared" si="20"/>
        <v/>
      </c>
      <c r="J62" s="14" t="str">
        <f t="shared" si="17"/>
        <v/>
      </c>
      <c r="K62" s="13" t="str">
        <f t="shared" si="7"/>
        <v/>
      </c>
      <c r="L62" s="10" t="str">
        <f t="shared" si="8"/>
        <v/>
      </c>
      <c r="M62" s="10" t="str">
        <f t="shared" si="9"/>
        <v/>
      </c>
      <c r="N62" s="10" t="str">
        <f t="shared" si="10"/>
        <v/>
      </c>
      <c r="O62" s="10" t="str">
        <f t="shared" si="11"/>
        <v/>
      </c>
      <c r="P62" s="10" t="str">
        <f t="shared" si="12"/>
        <v/>
      </c>
      <c r="Q62" s="14" t="str">
        <f t="shared" si="13"/>
        <v/>
      </c>
    </row>
    <row r="63" spans="1:17" x14ac:dyDescent="0.25">
      <c r="A63" s="4">
        <v>46447</v>
      </c>
      <c r="B63" s="5" t="str">
        <f>IF('Catalogo de Variaveis'!H68="","",SUM('Catalogo de Variaveis'!H65:H68))</f>
        <v/>
      </c>
      <c r="C63" s="15" t="str">
        <f>IFERROR(IF($B63="","",AVERAGE('Catalogo de Variaveis'!H68-'Catalogo de Variaveis'!H67,'Catalogo de Variaveis'!H67-'Catalogo de Variaveis'!H66,'Catalogo de Variaveis'!H66-'Catalogo de Variaveis'!H65,'Catalogo de Variaveis'!H65-'Catalogo de Variaveis'!H64)),0)</f>
        <v/>
      </c>
      <c r="D63" s="13" t="str">
        <f t="shared" si="18"/>
        <v/>
      </c>
      <c r="E63" s="10" t="str">
        <f t="shared" si="14"/>
        <v/>
      </c>
      <c r="F63" s="10" t="str">
        <f t="shared" si="15"/>
        <v/>
      </c>
      <c r="G63" s="10" t="str">
        <f t="shared" si="19"/>
        <v/>
      </c>
      <c r="H63" s="10" t="str">
        <f t="shared" si="16"/>
        <v/>
      </c>
      <c r="I63" s="10" t="str">
        <f t="shared" si="20"/>
        <v/>
      </c>
      <c r="J63" s="14" t="str">
        <f t="shared" si="17"/>
        <v/>
      </c>
      <c r="K63" s="13" t="str">
        <f t="shared" si="7"/>
        <v/>
      </c>
      <c r="L63" s="10" t="str">
        <f t="shared" si="8"/>
        <v/>
      </c>
      <c r="M63" s="10" t="str">
        <f t="shared" si="9"/>
        <v/>
      </c>
      <c r="N63" s="10" t="str">
        <f t="shared" si="10"/>
        <v/>
      </c>
      <c r="O63" s="10" t="str">
        <f t="shared" si="11"/>
        <v/>
      </c>
      <c r="P63" s="10" t="str">
        <f t="shared" si="12"/>
        <v/>
      </c>
      <c r="Q63" s="14" t="str">
        <f t="shared" si="13"/>
        <v/>
      </c>
    </row>
    <row r="64" spans="1:17" x14ac:dyDescent="0.25">
      <c r="A64" s="4">
        <v>46478</v>
      </c>
      <c r="B64" s="5" t="str">
        <f>IF('Catalogo de Variaveis'!H69="","",SUM('Catalogo de Variaveis'!H66:H69))</f>
        <v/>
      </c>
      <c r="C64" s="15" t="str">
        <f>IFERROR(IF($B64="","",AVERAGE('Catalogo de Variaveis'!H69-'Catalogo de Variaveis'!H68,'Catalogo de Variaveis'!H68-'Catalogo de Variaveis'!H67,'Catalogo de Variaveis'!H67-'Catalogo de Variaveis'!H66,'Catalogo de Variaveis'!H66-'Catalogo de Variaveis'!H65)),0)</f>
        <v/>
      </c>
      <c r="D64" s="13" t="str">
        <f t="shared" si="18"/>
        <v/>
      </c>
      <c r="E64" s="10" t="str">
        <f t="shared" si="14"/>
        <v/>
      </c>
      <c r="F64" s="10" t="str">
        <f t="shared" si="15"/>
        <v/>
      </c>
      <c r="G64" s="10" t="str">
        <f t="shared" si="19"/>
        <v/>
      </c>
      <c r="H64" s="10" t="str">
        <f t="shared" si="16"/>
        <v/>
      </c>
      <c r="I64" s="10" t="str">
        <f t="shared" si="20"/>
        <v/>
      </c>
      <c r="J64" s="14" t="str">
        <f t="shared" si="17"/>
        <v/>
      </c>
      <c r="K64" s="13" t="str">
        <f t="shared" si="7"/>
        <v/>
      </c>
      <c r="L64" s="10" t="str">
        <f t="shared" si="8"/>
        <v/>
      </c>
      <c r="M64" s="10" t="str">
        <f t="shared" si="9"/>
        <v/>
      </c>
      <c r="N64" s="10" t="str">
        <f t="shared" si="10"/>
        <v/>
      </c>
      <c r="O64" s="10" t="str">
        <f t="shared" si="11"/>
        <v/>
      </c>
      <c r="P64" s="10" t="str">
        <f t="shared" si="12"/>
        <v/>
      </c>
      <c r="Q64" s="14" t="str">
        <f t="shared" si="13"/>
        <v/>
      </c>
    </row>
    <row r="65" spans="1:17" x14ac:dyDescent="0.25">
      <c r="A65" s="4">
        <v>46508</v>
      </c>
      <c r="B65" s="5" t="str">
        <f>IF('Catalogo de Variaveis'!H70="","",SUM('Catalogo de Variaveis'!H67:H70))</f>
        <v/>
      </c>
      <c r="C65" s="15" t="str">
        <f>IFERROR(IF($B65="","",AVERAGE('Catalogo de Variaveis'!H70-'Catalogo de Variaveis'!H69,'Catalogo de Variaveis'!H69-'Catalogo de Variaveis'!H68,'Catalogo de Variaveis'!H68-'Catalogo de Variaveis'!H67,'Catalogo de Variaveis'!H67-'Catalogo de Variaveis'!H66)),0)</f>
        <v/>
      </c>
      <c r="D65" s="13" t="str">
        <f t="shared" si="18"/>
        <v/>
      </c>
      <c r="E65" s="10" t="str">
        <f t="shared" si="14"/>
        <v/>
      </c>
      <c r="F65" s="10" t="str">
        <f t="shared" si="15"/>
        <v/>
      </c>
      <c r="G65" s="10" t="str">
        <f t="shared" si="19"/>
        <v/>
      </c>
      <c r="H65" s="10" t="str">
        <f t="shared" si="16"/>
        <v/>
      </c>
      <c r="I65" s="10" t="str">
        <f t="shared" si="20"/>
        <v/>
      </c>
      <c r="J65" s="14" t="str">
        <f t="shared" si="17"/>
        <v/>
      </c>
      <c r="K65" s="13" t="str">
        <f t="shared" si="7"/>
        <v/>
      </c>
      <c r="L65" s="10" t="str">
        <f t="shared" si="8"/>
        <v/>
      </c>
      <c r="M65" s="10" t="str">
        <f t="shared" si="9"/>
        <v/>
      </c>
      <c r="N65" s="10" t="str">
        <f t="shared" si="10"/>
        <v/>
      </c>
      <c r="O65" s="10" t="str">
        <f t="shared" si="11"/>
        <v/>
      </c>
      <c r="P65" s="10" t="str">
        <f t="shared" si="12"/>
        <v/>
      </c>
      <c r="Q65" s="14" t="str">
        <f t="shared" si="13"/>
        <v/>
      </c>
    </row>
    <row r="66" spans="1:17" x14ac:dyDescent="0.25">
      <c r="A66" s="4">
        <v>46539</v>
      </c>
      <c r="B66" s="5" t="str">
        <f>IF('Catalogo de Variaveis'!H71="","",SUM('Catalogo de Variaveis'!H68:H71))</f>
        <v/>
      </c>
      <c r="C66" s="15" t="str">
        <f>IFERROR(IF($B66="","",AVERAGE('Catalogo de Variaveis'!H71-'Catalogo de Variaveis'!H70,'Catalogo de Variaveis'!H70-'Catalogo de Variaveis'!H69,'Catalogo de Variaveis'!H69-'Catalogo de Variaveis'!H68,'Catalogo de Variaveis'!H68-'Catalogo de Variaveis'!H67)),0)</f>
        <v/>
      </c>
      <c r="D66" s="13" t="str">
        <f t="shared" si="18"/>
        <v/>
      </c>
      <c r="E66" s="10" t="str">
        <f t="shared" si="14"/>
        <v/>
      </c>
      <c r="F66" s="10" t="str">
        <f t="shared" si="15"/>
        <v/>
      </c>
      <c r="G66" s="10" t="str">
        <f t="shared" si="19"/>
        <v/>
      </c>
      <c r="H66" s="10" t="str">
        <f t="shared" si="16"/>
        <v/>
      </c>
      <c r="I66" s="10" t="str">
        <f t="shared" si="20"/>
        <v/>
      </c>
      <c r="J66" s="14" t="str">
        <f t="shared" si="17"/>
        <v/>
      </c>
      <c r="K66" s="13" t="str">
        <f t="shared" si="7"/>
        <v/>
      </c>
      <c r="L66" s="10" t="str">
        <f t="shared" si="8"/>
        <v/>
      </c>
      <c r="M66" s="10" t="str">
        <f t="shared" si="9"/>
        <v/>
      </c>
      <c r="N66" s="10" t="str">
        <f t="shared" si="10"/>
        <v/>
      </c>
      <c r="O66" s="10" t="str">
        <f t="shared" si="11"/>
        <v/>
      </c>
      <c r="P66" s="10" t="str">
        <f t="shared" si="12"/>
        <v/>
      </c>
      <c r="Q66" s="14" t="str">
        <f t="shared" si="13"/>
        <v/>
      </c>
    </row>
    <row r="67" spans="1:17" x14ac:dyDescent="0.25">
      <c r="A67" s="4">
        <v>46569</v>
      </c>
      <c r="B67" s="5" t="str">
        <f>IF('Catalogo de Variaveis'!H72="","",SUM('Catalogo de Variaveis'!H69:H72))</f>
        <v/>
      </c>
      <c r="C67" s="15" t="str">
        <f>IFERROR(IF($B67="","",AVERAGE('Catalogo de Variaveis'!H72-'Catalogo de Variaveis'!H71,'Catalogo de Variaveis'!H71-'Catalogo de Variaveis'!H70,'Catalogo de Variaveis'!H70-'Catalogo de Variaveis'!H69,'Catalogo de Variaveis'!H69-'Catalogo de Variaveis'!H68)),0)</f>
        <v/>
      </c>
      <c r="D67" s="13" t="str">
        <f t="shared" si="18"/>
        <v/>
      </c>
      <c r="E67" s="10" t="str">
        <f t="shared" si="14"/>
        <v/>
      </c>
      <c r="F67" s="10" t="str">
        <f t="shared" si="15"/>
        <v/>
      </c>
      <c r="G67" s="10" t="str">
        <f t="shared" si="19"/>
        <v/>
      </c>
      <c r="H67" s="10" t="str">
        <f t="shared" si="16"/>
        <v/>
      </c>
      <c r="I67" s="10" t="str">
        <f t="shared" si="20"/>
        <v/>
      </c>
      <c r="J67" s="14" t="str">
        <f t="shared" si="17"/>
        <v/>
      </c>
      <c r="K67" s="13" t="str">
        <f t="shared" si="7"/>
        <v/>
      </c>
      <c r="L67" s="10" t="str">
        <f t="shared" si="8"/>
        <v/>
      </c>
      <c r="M67" s="10" t="str">
        <f t="shared" si="9"/>
        <v/>
      </c>
      <c r="N67" s="10" t="str">
        <f t="shared" si="10"/>
        <v/>
      </c>
      <c r="O67" s="10" t="str">
        <f t="shared" si="11"/>
        <v/>
      </c>
      <c r="P67" s="10" t="str">
        <f t="shared" si="12"/>
        <v/>
      </c>
      <c r="Q67" s="14" t="str">
        <f t="shared" si="13"/>
        <v/>
      </c>
    </row>
    <row r="68" spans="1:17" x14ac:dyDescent="0.25">
      <c r="A68" s="4">
        <v>46600</v>
      </c>
      <c r="B68" s="5" t="str">
        <f>IF('Catalogo de Variaveis'!H73="","",SUM('Catalogo de Variaveis'!H70:H73))</f>
        <v/>
      </c>
      <c r="C68" s="15" t="str">
        <f>IFERROR(IF($B68="","",AVERAGE('Catalogo de Variaveis'!H73-'Catalogo de Variaveis'!H72,'Catalogo de Variaveis'!H72-'Catalogo de Variaveis'!H71,'Catalogo de Variaveis'!H71-'Catalogo de Variaveis'!H70,'Catalogo de Variaveis'!H70-'Catalogo de Variaveis'!H69)),0)</f>
        <v/>
      </c>
      <c r="D68" s="13" t="str">
        <f t="shared" si="18"/>
        <v/>
      </c>
      <c r="E68" s="10" t="str">
        <f t="shared" si="14"/>
        <v/>
      </c>
      <c r="F68" s="10" t="str">
        <f t="shared" si="15"/>
        <v/>
      </c>
      <c r="G68" s="10" t="str">
        <f t="shared" si="19"/>
        <v/>
      </c>
      <c r="H68" s="10" t="str">
        <f t="shared" si="16"/>
        <v/>
      </c>
      <c r="I68" s="10" t="str">
        <f t="shared" si="20"/>
        <v/>
      </c>
      <c r="J68" s="14" t="str">
        <f t="shared" si="17"/>
        <v/>
      </c>
      <c r="K68" s="13" t="str">
        <f t="shared" si="7"/>
        <v/>
      </c>
      <c r="L68" s="10" t="str">
        <f t="shared" si="8"/>
        <v/>
      </c>
      <c r="M68" s="10" t="str">
        <f t="shared" si="9"/>
        <v/>
      </c>
      <c r="N68" s="10" t="str">
        <f t="shared" si="10"/>
        <v/>
      </c>
      <c r="O68" s="10" t="str">
        <f t="shared" si="11"/>
        <v/>
      </c>
      <c r="P68" s="10" t="str">
        <f t="shared" si="12"/>
        <v/>
      </c>
      <c r="Q68" s="14" t="str">
        <f t="shared" si="13"/>
        <v/>
      </c>
    </row>
    <row r="69" spans="1:17" x14ac:dyDescent="0.25">
      <c r="A69" s="4">
        <v>46631</v>
      </c>
      <c r="B69" s="5" t="str">
        <f>IF('Catalogo de Variaveis'!H74="","",SUM('Catalogo de Variaveis'!H71:H74))</f>
        <v/>
      </c>
      <c r="C69" s="15" t="str">
        <f>IFERROR(IF($B69="","",AVERAGE('Catalogo de Variaveis'!H74-'Catalogo de Variaveis'!H73,'Catalogo de Variaveis'!H73-'Catalogo de Variaveis'!H72,'Catalogo de Variaveis'!H72-'Catalogo de Variaveis'!H71,'Catalogo de Variaveis'!H71-'Catalogo de Variaveis'!H70)),0)</f>
        <v/>
      </c>
      <c r="D69" s="13" t="str">
        <f t="shared" si="18"/>
        <v/>
      </c>
      <c r="E69" s="10" t="str">
        <f t="shared" si="14"/>
        <v/>
      </c>
      <c r="F69" s="10" t="str">
        <f t="shared" si="15"/>
        <v/>
      </c>
      <c r="G69" s="10" t="str">
        <f t="shared" si="19"/>
        <v/>
      </c>
      <c r="H69" s="10" t="str">
        <f t="shared" si="16"/>
        <v/>
      </c>
      <c r="I69" s="10" t="str">
        <f t="shared" si="20"/>
        <v/>
      </c>
      <c r="J69" s="14" t="str">
        <f t="shared" si="17"/>
        <v/>
      </c>
      <c r="K69" s="13" t="str">
        <f t="shared" si="7"/>
        <v/>
      </c>
      <c r="L69" s="10" t="str">
        <f t="shared" si="8"/>
        <v/>
      </c>
      <c r="M69" s="10" t="str">
        <f t="shared" si="9"/>
        <v/>
      </c>
      <c r="N69" s="10" t="str">
        <f t="shared" si="10"/>
        <v/>
      </c>
      <c r="O69" s="10" t="str">
        <f t="shared" si="11"/>
        <v/>
      </c>
      <c r="P69" s="10" t="str">
        <f t="shared" si="12"/>
        <v/>
      </c>
      <c r="Q69" s="14" t="str">
        <f t="shared" si="13"/>
        <v/>
      </c>
    </row>
    <row r="70" spans="1:17" x14ac:dyDescent="0.25">
      <c r="A70" s="4">
        <v>46661</v>
      </c>
      <c r="B70" s="5" t="str">
        <f>IF('Catalogo de Variaveis'!H75="","",SUM('Catalogo de Variaveis'!H72:H75))</f>
        <v/>
      </c>
      <c r="C70" s="15" t="str">
        <f>IFERROR(IF($B70="","",AVERAGE('Catalogo de Variaveis'!H75-'Catalogo de Variaveis'!H74,'Catalogo de Variaveis'!H74-'Catalogo de Variaveis'!H73,'Catalogo de Variaveis'!H73-'Catalogo de Variaveis'!H72,'Catalogo de Variaveis'!H72-'Catalogo de Variaveis'!H71)),0)</f>
        <v/>
      </c>
      <c r="D70" s="13" t="str">
        <f t="shared" si="18"/>
        <v/>
      </c>
      <c r="E70" s="10" t="str">
        <f t="shared" si="14"/>
        <v/>
      </c>
      <c r="F70" s="10" t="str">
        <f t="shared" si="15"/>
        <v/>
      </c>
      <c r="G70" s="10" t="str">
        <f t="shared" si="19"/>
        <v/>
      </c>
      <c r="H70" s="10" t="str">
        <f t="shared" si="16"/>
        <v/>
      </c>
      <c r="I70" s="10" t="str">
        <f t="shared" si="20"/>
        <v/>
      </c>
      <c r="J70" s="14" t="str">
        <f t="shared" si="17"/>
        <v/>
      </c>
      <c r="K70" s="13" t="str">
        <f t="shared" si="7"/>
        <v/>
      </c>
      <c r="L70" s="10" t="str">
        <f t="shared" si="8"/>
        <v/>
      </c>
      <c r="M70" s="10" t="str">
        <f t="shared" si="9"/>
        <v/>
      </c>
      <c r="N70" s="10" t="str">
        <f t="shared" si="10"/>
        <v/>
      </c>
      <c r="O70" s="10" t="str">
        <f t="shared" si="11"/>
        <v/>
      </c>
      <c r="P70" s="10" t="str">
        <f t="shared" si="12"/>
        <v/>
      </c>
      <c r="Q70" s="14" t="str">
        <f t="shared" si="13"/>
        <v/>
      </c>
    </row>
    <row r="71" spans="1:17" x14ac:dyDescent="0.25">
      <c r="A71" s="4">
        <v>46692</v>
      </c>
      <c r="B71" s="5" t="str">
        <f>IF('Catalogo de Variaveis'!H76="","",SUM('Catalogo de Variaveis'!H73:H76))</f>
        <v/>
      </c>
      <c r="C71" s="15" t="str">
        <f>IFERROR(IF($B71="","",AVERAGE('Catalogo de Variaveis'!H76-'Catalogo de Variaveis'!H75,'Catalogo de Variaveis'!H75-'Catalogo de Variaveis'!H74,'Catalogo de Variaveis'!H74-'Catalogo de Variaveis'!H73,'Catalogo de Variaveis'!H73-'Catalogo de Variaveis'!H72)),0)</f>
        <v/>
      </c>
      <c r="D71" s="13" t="str">
        <f t="shared" si="18"/>
        <v/>
      </c>
      <c r="E71" s="10" t="str">
        <f t="shared" si="14"/>
        <v/>
      </c>
      <c r="F71" s="10" t="str">
        <f t="shared" si="15"/>
        <v/>
      </c>
      <c r="G71" s="10" t="str">
        <f t="shared" si="19"/>
        <v/>
      </c>
      <c r="H71" s="10" t="str">
        <f t="shared" si="16"/>
        <v/>
      </c>
      <c r="I71" s="10" t="str">
        <f t="shared" si="20"/>
        <v/>
      </c>
      <c r="J71" s="14" t="str">
        <f t="shared" si="17"/>
        <v/>
      </c>
      <c r="K71" s="13" t="str">
        <f t="shared" si="7"/>
        <v/>
      </c>
      <c r="L71" s="10" t="str">
        <f t="shared" si="8"/>
        <v/>
      </c>
      <c r="M71" s="10" t="str">
        <f t="shared" si="9"/>
        <v/>
      </c>
      <c r="N71" s="10" t="str">
        <f t="shared" si="10"/>
        <v/>
      </c>
      <c r="O71" s="10" t="str">
        <f t="shared" si="11"/>
        <v/>
      </c>
      <c r="P71" s="10" t="str">
        <f t="shared" si="12"/>
        <v/>
      </c>
      <c r="Q71" s="14" t="str">
        <f t="shared" si="13"/>
        <v/>
      </c>
    </row>
    <row r="72" spans="1:17" x14ac:dyDescent="0.25">
      <c r="A72" s="4">
        <v>46722</v>
      </c>
      <c r="B72" s="5" t="str">
        <f>IF('Catalogo de Variaveis'!H77="","",SUM('Catalogo de Variaveis'!H74:H77))</f>
        <v/>
      </c>
      <c r="C72" s="15" t="str">
        <f>IFERROR(IF($B72="","",AVERAGE('Catalogo de Variaveis'!H77-'Catalogo de Variaveis'!H76,'Catalogo de Variaveis'!H76-'Catalogo de Variaveis'!H75,'Catalogo de Variaveis'!H75-'Catalogo de Variaveis'!H74,'Catalogo de Variaveis'!H74-'Catalogo de Variaveis'!H73)),0)</f>
        <v/>
      </c>
      <c r="D72" s="13" t="str">
        <f t="shared" si="18"/>
        <v/>
      </c>
      <c r="E72" s="10" t="str">
        <f t="shared" si="14"/>
        <v/>
      </c>
      <c r="F72" s="10" t="str">
        <f t="shared" si="15"/>
        <v/>
      </c>
      <c r="G72" s="10" t="str">
        <f t="shared" si="19"/>
        <v/>
      </c>
      <c r="H72" s="10" t="str">
        <f t="shared" si="16"/>
        <v/>
      </c>
      <c r="I72" s="10" t="str">
        <f t="shared" si="20"/>
        <v/>
      </c>
      <c r="J72" s="14" t="str">
        <f t="shared" si="17"/>
        <v/>
      </c>
      <c r="K72" s="13" t="str">
        <f t="shared" si="7"/>
        <v/>
      </c>
      <c r="L72" s="10" t="str">
        <f t="shared" si="8"/>
        <v/>
      </c>
      <c r="M72" s="10" t="str">
        <f t="shared" si="9"/>
        <v/>
      </c>
      <c r="N72" s="10" t="str">
        <f t="shared" si="10"/>
        <v/>
      </c>
      <c r="O72" s="10" t="str">
        <f t="shared" si="11"/>
        <v/>
      </c>
      <c r="P72" s="10" t="str">
        <f t="shared" si="12"/>
        <v/>
      </c>
      <c r="Q72" s="14" t="str">
        <f t="shared" si="13"/>
        <v/>
      </c>
    </row>
    <row r="73" spans="1:17" x14ac:dyDescent="0.25">
      <c r="A73" s="4">
        <v>46753</v>
      </c>
      <c r="B73" s="5" t="str">
        <f>IF('Catalogo de Variaveis'!H78="","",SUM('Catalogo de Variaveis'!H75:H78))</f>
        <v/>
      </c>
      <c r="C73" s="15" t="str">
        <f>IFERROR(IF($B73="","",AVERAGE('Catalogo de Variaveis'!H78-'Catalogo de Variaveis'!H77,'Catalogo de Variaveis'!H77-'Catalogo de Variaveis'!H76,'Catalogo de Variaveis'!H76-'Catalogo de Variaveis'!H75,'Catalogo de Variaveis'!H75-'Catalogo de Variaveis'!H74)),0)</f>
        <v/>
      </c>
      <c r="D73" s="13" t="str">
        <f t="shared" si="18"/>
        <v/>
      </c>
      <c r="E73" s="10" t="str">
        <f t="shared" si="14"/>
        <v/>
      </c>
      <c r="F73" s="10" t="str">
        <f t="shared" si="15"/>
        <v/>
      </c>
      <c r="G73" s="10" t="str">
        <f t="shared" si="19"/>
        <v/>
      </c>
      <c r="H73" s="10" t="str">
        <f t="shared" si="16"/>
        <v/>
      </c>
      <c r="I73" s="10" t="str">
        <f t="shared" si="20"/>
        <v/>
      </c>
      <c r="J73" s="14" t="str">
        <f t="shared" si="17"/>
        <v/>
      </c>
      <c r="K73" s="13" t="str">
        <f t="shared" ref="K73:K96" si="21">IF($B73="","",$C$1-3*$C$2)</f>
        <v/>
      </c>
      <c r="L73" s="10" t="str">
        <f t="shared" ref="L73:L96" si="22">IF($B73="","",$C$1-2*$C$2)</f>
        <v/>
      </c>
      <c r="M73" s="10" t="str">
        <f t="shared" ref="M73:M96" si="23">IF($B73="","",$C$1-$C$2)</f>
        <v/>
      </c>
      <c r="N73" s="10" t="str">
        <f t="shared" ref="N73:N96" si="24">IF($B73="","",$C$1)</f>
        <v/>
      </c>
      <c r="O73" s="10" t="str">
        <f t="shared" ref="O73:O96" si="25">IF($B73="","",$C$1+1*$C$2)</f>
        <v/>
      </c>
      <c r="P73" s="10" t="str">
        <f t="shared" ref="P73:P96" si="26">IF($B73="","",$C$1+2*$C$2)</f>
        <v/>
      </c>
      <c r="Q73" s="14" t="str">
        <f t="shared" ref="Q73:Q96" si="27">IF($B73="","",$C$1+3*$C$2)</f>
        <v/>
      </c>
    </row>
    <row r="74" spans="1:17" x14ac:dyDescent="0.25">
      <c r="A74" s="4">
        <v>46784</v>
      </c>
      <c r="B74" s="5" t="str">
        <f>IF('Catalogo de Variaveis'!H79="","",SUM('Catalogo de Variaveis'!H76:H79))</f>
        <v/>
      </c>
      <c r="C74" s="15" t="str">
        <f>IFERROR(IF($B74="","",AVERAGE('Catalogo de Variaveis'!H79-'Catalogo de Variaveis'!H78,'Catalogo de Variaveis'!H78-'Catalogo de Variaveis'!H77,'Catalogo de Variaveis'!H77-'Catalogo de Variaveis'!H76,'Catalogo de Variaveis'!H76-'Catalogo de Variaveis'!H75)),0)</f>
        <v/>
      </c>
      <c r="D74" s="13" t="str">
        <f t="shared" si="18"/>
        <v/>
      </c>
      <c r="E74" s="10" t="str">
        <f t="shared" si="14"/>
        <v/>
      </c>
      <c r="F74" s="10" t="str">
        <f t="shared" si="15"/>
        <v/>
      </c>
      <c r="G74" s="10" t="str">
        <f t="shared" si="19"/>
        <v/>
      </c>
      <c r="H74" s="10" t="str">
        <f t="shared" si="16"/>
        <v/>
      </c>
      <c r="I74" s="10" t="str">
        <f t="shared" si="20"/>
        <v/>
      </c>
      <c r="J74" s="14" t="str">
        <f t="shared" si="17"/>
        <v/>
      </c>
      <c r="K74" s="13" t="str">
        <f t="shared" si="21"/>
        <v/>
      </c>
      <c r="L74" s="10" t="str">
        <f t="shared" si="22"/>
        <v/>
      </c>
      <c r="M74" s="10" t="str">
        <f t="shared" si="23"/>
        <v/>
      </c>
      <c r="N74" s="10" t="str">
        <f t="shared" si="24"/>
        <v/>
      </c>
      <c r="O74" s="10" t="str">
        <f t="shared" si="25"/>
        <v/>
      </c>
      <c r="P74" s="10" t="str">
        <f t="shared" si="26"/>
        <v/>
      </c>
      <c r="Q74" s="14" t="str">
        <f t="shared" si="27"/>
        <v/>
      </c>
    </row>
    <row r="75" spans="1:17" x14ac:dyDescent="0.25">
      <c r="A75" s="4">
        <v>46813</v>
      </c>
      <c r="B75" s="5" t="str">
        <f>IF('Catalogo de Variaveis'!H80="","",SUM('Catalogo de Variaveis'!H77:H80))</f>
        <v/>
      </c>
      <c r="C75" s="15" t="str">
        <f>IFERROR(IF($B75="","",AVERAGE('Catalogo de Variaveis'!H80-'Catalogo de Variaveis'!H79,'Catalogo de Variaveis'!H79-'Catalogo de Variaveis'!H78,'Catalogo de Variaveis'!H78-'Catalogo de Variaveis'!H77,'Catalogo de Variaveis'!H77-'Catalogo de Variaveis'!H76)),0)</f>
        <v/>
      </c>
      <c r="D75" s="13" t="str">
        <f t="shared" si="18"/>
        <v/>
      </c>
      <c r="E75" s="10" t="str">
        <f t="shared" si="14"/>
        <v/>
      </c>
      <c r="F75" s="10" t="str">
        <f t="shared" si="15"/>
        <v/>
      </c>
      <c r="G75" s="10" t="str">
        <f t="shared" si="19"/>
        <v/>
      </c>
      <c r="H75" s="10" t="str">
        <f t="shared" si="16"/>
        <v/>
      </c>
      <c r="I75" s="10" t="str">
        <f t="shared" si="20"/>
        <v/>
      </c>
      <c r="J75" s="14" t="str">
        <f t="shared" si="17"/>
        <v/>
      </c>
      <c r="K75" s="13" t="str">
        <f t="shared" si="21"/>
        <v/>
      </c>
      <c r="L75" s="10" t="str">
        <f t="shared" si="22"/>
        <v/>
      </c>
      <c r="M75" s="10" t="str">
        <f t="shared" si="23"/>
        <v/>
      </c>
      <c r="N75" s="10" t="str">
        <f t="shared" si="24"/>
        <v/>
      </c>
      <c r="O75" s="10" t="str">
        <f t="shared" si="25"/>
        <v/>
      </c>
      <c r="P75" s="10" t="str">
        <f t="shared" si="26"/>
        <v/>
      </c>
      <c r="Q75" s="14" t="str">
        <f t="shared" si="27"/>
        <v/>
      </c>
    </row>
    <row r="76" spans="1:17" x14ac:dyDescent="0.25">
      <c r="A76" s="4">
        <v>46844</v>
      </c>
      <c r="B76" s="5" t="str">
        <f>IF('Catalogo de Variaveis'!H81="","",SUM('Catalogo de Variaveis'!H78:H81))</f>
        <v/>
      </c>
      <c r="C76" s="15" t="str">
        <f>IFERROR(IF($B76="","",AVERAGE('Catalogo de Variaveis'!H81-'Catalogo de Variaveis'!H80,'Catalogo de Variaveis'!H80-'Catalogo de Variaveis'!H79,'Catalogo de Variaveis'!H79-'Catalogo de Variaveis'!H78,'Catalogo de Variaveis'!H78-'Catalogo de Variaveis'!H77)),0)</f>
        <v/>
      </c>
      <c r="D76" s="13" t="str">
        <f t="shared" si="18"/>
        <v/>
      </c>
      <c r="E76" s="10" t="str">
        <f t="shared" si="14"/>
        <v/>
      </c>
      <c r="F76" s="10" t="str">
        <f t="shared" si="15"/>
        <v/>
      </c>
      <c r="G76" s="10" t="str">
        <f t="shared" si="19"/>
        <v/>
      </c>
      <c r="H76" s="10" t="str">
        <f t="shared" si="16"/>
        <v/>
      </c>
      <c r="I76" s="10" t="str">
        <f t="shared" si="20"/>
        <v/>
      </c>
      <c r="J76" s="14" t="str">
        <f t="shared" si="17"/>
        <v/>
      </c>
      <c r="K76" s="13" t="str">
        <f t="shared" si="21"/>
        <v/>
      </c>
      <c r="L76" s="10" t="str">
        <f t="shared" si="22"/>
        <v/>
      </c>
      <c r="M76" s="10" t="str">
        <f t="shared" si="23"/>
        <v/>
      </c>
      <c r="N76" s="10" t="str">
        <f t="shared" si="24"/>
        <v/>
      </c>
      <c r="O76" s="10" t="str">
        <f t="shared" si="25"/>
        <v/>
      </c>
      <c r="P76" s="10" t="str">
        <f t="shared" si="26"/>
        <v/>
      </c>
      <c r="Q76" s="14" t="str">
        <f t="shared" si="27"/>
        <v/>
      </c>
    </row>
    <row r="77" spans="1:17" x14ac:dyDescent="0.25">
      <c r="A77" s="4">
        <v>46874</v>
      </c>
      <c r="B77" s="5" t="str">
        <f>IF('Catalogo de Variaveis'!H82="","",SUM('Catalogo de Variaveis'!H79:H82))</f>
        <v/>
      </c>
      <c r="C77" s="15" t="str">
        <f>IFERROR(IF($B77="","",AVERAGE('Catalogo de Variaveis'!H82-'Catalogo de Variaveis'!H81,'Catalogo de Variaveis'!H81-'Catalogo de Variaveis'!H80,'Catalogo de Variaveis'!H80-'Catalogo de Variaveis'!H79,'Catalogo de Variaveis'!H79-'Catalogo de Variaveis'!H78)),0)</f>
        <v/>
      </c>
      <c r="D77" s="13" t="str">
        <f t="shared" si="18"/>
        <v/>
      </c>
      <c r="E77" s="10" t="str">
        <f t="shared" si="14"/>
        <v/>
      </c>
      <c r="F77" s="10" t="str">
        <f t="shared" si="15"/>
        <v/>
      </c>
      <c r="G77" s="10" t="str">
        <f t="shared" si="19"/>
        <v/>
      </c>
      <c r="H77" s="10" t="str">
        <f t="shared" si="16"/>
        <v/>
      </c>
      <c r="I77" s="10" t="str">
        <f t="shared" si="20"/>
        <v/>
      </c>
      <c r="J77" s="14" t="str">
        <f t="shared" si="17"/>
        <v/>
      </c>
      <c r="K77" s="13" t="str">
        <f t="shared" si="21"/>
        <v/>
      </c>
      <c r="L77" s="10" t="str">
        <f t="shared" si="22"/>
        <v/>
      </c>
      <c r="M77" s="10" t="str">
        <f t="shared" si="23"/>
        <v/>
      </c>
      <c r="N77" s="10" t="str">
        <f t="shared" si="24"/>
        <v/>
      </c>
      <c r="O77" s="10" t="str">
        <f t="shared" si="25"/>
        <v/>
      </c>
      <c r="P77" s="10" t="str">
        <f t="shared" si="26"/>
        <v/>
      </c>
      <c r="Q77" s="14" t="str">
        <f t="shared" si="27"/>
        <v/>
      </c>
    </row>
    <row r="78" spans="1:17" x14ac:dyDescent="0.25">
      <c r="A78" s="4">
        <v>46905</v>
      </c>
      <c r="B78" s="5" t="str">
        <f>IF('Catalogo de Variaveis'!H83="","",SUM('Catalogo de Variaveis'!H80:H83))</f>
        <v/>
      </c>
      <c r="C78" s="15" t="str">
        <f>IFERROR(IF($B78="","",AVERAGE('Catalogo de Variaveis'!H83-'Catalogo de Variaveis'!H82,'Catalogo de Variaveis'!H82-'Catalogo de Variaveis'!H81,'Catalogo de Variaveis'!H81-'Catalogo de Variaveis'!H80,'Catalogo de Variaveis'!H80-'Catalogo de Variaveis'!H79)),0)</f>
        <v/>
      </c>
      <c r="D78" s="13" t="str">
        <f t="shared" si="18"/>
        <v/>
      </c>
      <c r="E78" s="10" t="str">
        <f t="shared" si="14"/>
        <v/>
      </c>
      <c r="F78" s="10" t="str">
        <f t="shared" si="15"/>
        <v/>
      </c>
      <c r="G78" s="10" t="str">
        <f t="shared" si="19"/>
        <v/>
      </c>
      <c r="H78" s="10" t="str">
        <f t="shared" si="16"/>
        <v/>
      </c>
      <c r="I78" s="10" t="str">
        <f t="shared" si="20"/>
        <v/>
      </c>
      <c r="J78" s="14" t="str">
        <f t="shared" si="17"/>
        <v/>
      </c>
      <c r="K78" s="13" t="str">
        <f t="shared" si="21"/>
        <v/>
      </c>
      <c r="L78" s="10" t="str">
        <f t="shared" si="22"/>
        <v/>
      </c>
      <c r="M78" s="10" t="str">
        <f t="shared" si="23"/>
        <v/>
      </c>
      <c r="N78" s="10" t="str">
        <f t="shared" si="24"/>
        <v/>
      </c>
      <c r="O78" s="10" t="str">
        <f t="shared" si="25"/>
        <v/>
      </c>
      <c r="P78" s="10" t="str">
        <f t="shared" si="26"/>
        <v/>
      </c>
      <c r="Q78" s="14" t="str">
        <f t="shared" si="27"/>
        <v/>
      </c>
    </row>
    <row r="79" spans="1:17" x14ac:dyDescent="0.25">
      <c r="A79" s="4">
        <v>46935</v>
      </c>
      <c r="B79" s="5" t="str">
        <f>IF('Catalogo de Variaveis'!H84="","",SUM('Catalogo de Variaveis'!H81:H84))</f>
        <v/>
      </c>
      <c r="C79" s="15" t="str">
        <f>IFERROR(IF($B79="","",AVERAGE('Catalogo de Variaveis'!H84-'Catalogo de Variaveis'!H83,'Catalogo de Variaveis'!H83-'Catalogo de Variaveis'!H82,'Catalogo de Variaveis'!H82-'Catalogo de Variaveis'!H81,'Catalogo de Variaveis'!H81-'Catalogo de Variaveis'!H80)),0)</f>
        <v/>
      </c>
      <c r="D79" s="13" t="str">
        <f t="shared" si="18"/>
        <v/>
      </c>
      <c r="E79" s="10" t="str">
        <f t="shared" si="14"/>
        <v/>
      </c>
      <c r="F79" s="10" t="str">
        <f t="shared" si="15"/>
        <v/>
      </c>
      <c r="G79" s="10" t="str">
        <f t="shared" si="19"/>
        <v/>
      </c>
      <c r="H79" s="10" t="str">
        <f t="shared" si="16"/>
        <v/>
      </c>
      <c r="I79" s="10" t="str">
        <f t="shared" si="20"/>
        <v/>
      </c>
      <c r="J79" s="14" t="str">
        <f t="shared" si="17"/>
        <v/>
      </c>
      <c r="K79" s="13" t="str">
        <f t="shared" si="21"/>
        <v/>
      </c>
      <c r="L79" s="10" t="str">
        <f t="shared" si="22"/>
        <v/>
      </c>
      <c r="M79" s="10" t="str">
        <f t="shared" si="23"/>
        <v/>
      </c>
      <c r="N79" s="10" t="str">
        <f t="shared" si="24"/>
        <v/>
      </c>
      <c r="O79" s="10" t="str">
        <f t="shared" si="25"/>
        <v/>
      </c>
      <c r="P79" s="10" t="str">
        <f t="shared" si="26"/>
        <v/>
      </c>
      <c r="Q79" s="14" t="str">
        <f t="shared" si="27"/>
        <v/>
      </c>
    </row>
    <row r="80" spans="1:17" x14ac:dyDescent="0.25">
      <c r="A80" s="4">
        <v>46966</v>
      </c>
      <c r="B80" s="5" t="str">
        <f>IF('Catalogo de Variaveis'!H85="","",SUM('Catalogo de Variaveis'!H82:H85))</f>
        <v/>
      </c>
      <c r="C80" s="15" t="str">
        <f>IFERROR(IF($B80="","",AVERAGE('Catalogo de Variaveis'!H85-'Catalogo de Variaveis'!H84,'Catalogo de Variaveis'!H84-'Catalogo de Variaveis'!H83,'Catalogo de Variaveis'!H83-'Catalogo de Variaveis'!H82,'Catalogo de Variaveis'!H82-'Catalogo de Variaveis'!H81)),0)</f>
        <v/>
      </c>
      <c r="D80" s="13" t="str">
        <f t="shared" si="18"/>
        <v/>
      </c>
      <c r="E80" s="10" t="str">
        <f t="shared" si="14"/>
        <v/>
      </c>
      <c r="F80" s="10" t="str">
        <f t="shared" si="15"/>
        <v/>
      </c>
      <c r="G80" s="10" t="str">
        <f t="shared" si="19"/>
        <v/>
      </c>
      <c r="H80" s="10" t="str">
        <f t="shared" si="16"/>
        <v/>
      </c>
      <c r="I80" s="10" t="str">
        <f t="shared" si="20"/>
        <v/>
      </c>
      <c r="J80" s="14" t="str">
        <f t="shared" si="17"/>
        <v/>
      </c>
      <c r="K80" s="13" t="str">
        <f t="shared" si="21"/>
        <v/>
      </c>
      <c r="L80" s="10" t="str">
        <f t="shared" si="22"/>
        <v/>
      </c>
      <c r="M80" s="10" t="str">
        <f t="shared" si="23"/>
        <v/>
      </c>
      <c r="N80" s="10" t="str">
        <f t="shared" si="24"/>
        <v/>
      </c>
      <c r="O80" s="10" t="str">
        <f t="shared" si="25"/>
        <v/>
      </c>
      <c r="P80" s="10" t="str">
        <f t="shared" si="26"/>
        <v/>
      </c>
      <c r="Q80" s="14" t="str">
        <f t="shared" si="27"/>
        <v/>
      </c>
    </row>
    <row r="81" spans="1:17" x14ac:dyDescent="0.25">
      <c r="A81" s="4">
        <v>46997</v>
      </c>
      <c r="B81" s="5" t="str">
        <f>IF('Catalogo de Variaveis'!H86="","",SUM('Catalogo de Variaveis'!H83:H86))</f>
        <v/>
      </c>
      <c r="C81" s="15" t="str">
        <f>IFERROR(IF($B81="","",AVERAGE('Catalogo de Variaveis'!H86-'Catalogo de Variaveis'!H85,'Catalogo de Variaveis'!H85-'Catalogo de Variaveis'!H84,'Catalogo de Variaveis'!H84-'Catalogo de Variaveis'!H83,'Catalogo de Variaveis'!H83-'Catalogo de Variaveis'!H82)),0)</f>
        <v/>
      </c>
      <c r="D81" s="13" t="str">
        <f t="shared" si="18"/>
        <v/>
      </c>
      <c r="E81" s="10" t="str">
        <f t="shared" si="14"/>
        <v/>
      </c>
      <c r="F81" s="10" t="str">
        <f t="shared" si="15"/>
        <v/>
      </c>
      <c r="G81" s="10" t="str">
        <f t="shared" si="19"/>
        <v/>
      </c>
      <c r="H81" s="10" t="str">
        <f t="shared" si="16"/>
        <v/>
      </c>
      <c r="I81" s="10" t="str">
        <f t="shared" si="20"/>
        <v/>
      </c>
      <c r="J81" s="14" t="str">
        <f t="shared" si="17"/>
        <v/>
      </c>
      <c r="K81" s="13" t="str">
        <f t="shared" si="21"/>
        <v/>
      </c>
      <c r="L81" s="10" t="str">
        <f t="shared" si="22"/>
        <v/>
      </c>
      <c r="M81" s="10" t="str">
        <f t="shared" si="23"/>
        <v/>
      </c>
      <c r="N81" s="10" t="str">
        <f t="shared" si="24"/>
        <v/>
      </c>
      <c r="O81" s="10" t="str">
        <f t="shared" si="25"/>
        <v/>
      </c>
      <c r="P81" s="10" t="str">
        <f t="shared" si="26"/>
        <v/>
      </c>
      <c r="Q81" s="14" t="str">
        <f t="shared" si="27"/>
        <v/>
      </c>
    </row>
    <row r="82" spans="1:17" x14ac:dyDescent="0.25">
      <c r="A82" s="4">
        <v>47027</v>
      </c>
      <c r="B82" s="5" t="str">
        <f>IF('Catalogo de Variaveis'!H87="","",SUM('Catalogo de Variaveis'!H84:H87))</f>
        <v/>
      </c>
      <c r="C82" s="15" t="str">
        <f>IFERROR(IF($B82="","",AVERAGE('Catalogo de Variaveis'!H87-'Catalogo de Variaveis'!H86,'Catalogo de Variaveis'!H86-'Catalogo de Variaveis'!H85,'Catalogo de Variaveis'!H85-'Catalogo de Variaveis'!H84,'Catalogo de Variaveis'!H84-'Catalogo de Variaveis'!H83)),0)</f>
        <v/>
      </c>
      <c r="D82" s="13" t="str">
        <f t="shared" si="18"/>
        <v/>
      </c>
      <c r="E82" s="10" t="str">
        <f t="shared" si="14"/>
        <v/>
      </c>
      <c r="F82" s="10" t="str">
        <f t="shared" si="15"/>
        <v/>
      </c>
      <c r="G82" s="10" t="str">
        <f t="shared" si="19"/>
        <v/>
      </c>
      <c r="H82" s="10" t="str">
        <f t="shared" si="16"/>
        <v/>
      </c>
      <c r="I82" s="10" t="str">
        <f t="shared" si="20"/>
        <v/>
      </c>
      <c r="J82" s="14" t="str">
        <f t="shared" si="17"/>
        <v/>
      </c>
      <c r="K82" s="13" t="str">
        <f t="shared" si="21"/>
        <v/>
      </c>
      <c r="L82" s="10" t="str">
        <f t="shared" si="22"/>
        <v/>
      </c>
      <c r="M82" s="10" t="str">
        <f t="shared" si="23"/>
        <v/>
      </c>
      <c r="N82" s="10" t="str">
        <f t="shared" si="24"/>
        <v/>
      </c>
      <c r="O82" s="10" t="str">
        <f t="shared" si="25"/>
        <v/>
      </c>
      <c r="P82" s="10" t="str">
        <f t="shared" si="26"/>
        <v/>
      </c>
      <c r="Q82" s="14" t="str">
        <f t="shared" si="27"/>
        <v/>
      </c>
    </row>
    <row r="83" spans="1:17" x14ac:dyDescent="0.25">
      <c r="A83" s="4">
        <v>47058</v>
      </c>
      <c r="B83" s="5" t="str">
        <f>IF('Catalogo de Variaveis'!H88="","",SUM('Catalogo de Variaveis'!H85:H88))</f>
        <v/>
      </c>
      <c r="C83" s="15" t="str">
        <f>IFERROR(IF($B83="","",AVERAGE('Catalogo de Variaveis'!H88-'Catalogo de Variaveis'!H87,'Catalogo de Variaveis'!H87-'Catalogo de Variaveis'!H86,'Catalogo de Variaveis'!H86-'Catalogo de Variaveis'!H85,'Catalogo de Variaveis'!H85-'Catalogo de Variaveis'!H84)),0)</f>
        <v/>
      </c>
      <c r="D83" s="13" t="str">
        <f t="shared" si="18"/>
        <v/>
      </c>
      <c r="E83" s="10" t="str">
        <f t="shared" si="14"/>
        <v/>
      </c>
      <c r="F83" s="10" t="str">
        <f t="shared" si="15"/>
        <v/>
      </c>
      <c r="G83" s="10" t="str">
        <f t="shared" si="19"/>
        <v/>
      </c>
      <c r="H83" s="10" t="str">
        <f t="shared" si="16"/>
        <v/>
      </c>
      <c r="I83" s="10" t="str">
        <f t="shared" si="20"/>
        <v/>
      </c>
      <c r="J83" s="14" t="str">
        <f t="shared" si="17"/>
        <v/>
      </c>
      <c r="K83" s="13" t="str">
        <f t="shared" si="21"/>
        <v/>
      </c>
      <c r="L83" s="10" t="str">
        <f t="shared" si="22"/>
        <v/>
      </c>
      <c r="M83" s="10" t="str">
        <f t="shared" si="23"/>
        <v/>
      </c>
      <c r="N83" s="10" t="str">
        <f t="shared" si="24"/>
        <v/>
      </c>
      <c r="O83" s="10" t="str">
        <f t="shared" si="25"/>
        <v/>
      </c>
      <c r="P83" s="10" t="str">
        <f t="shared" si="26"/>
        <v/>
      </c>
      <c r="Q83" s="14" t="str">
        <f t="shared" si="27"/>
        <v/>
      </c>
    </row>
    <row r="84" spans="1:17" x14ac:dyDescent="0.25">
      <c r="A84" s="4">
        <v>47088</v>
      </c>
      <c r="B84" s="5" t="str">
        <f>IF('Catalogo de Variaveis'!H89="","",SUM('Catalogo de Variaveis'!H86:H89))</f>
        <v/>
      </c>
      <c r="C84" s="15" t="str">
        <f>IFERROR(IF($B84="","",AVERAGE('Catalogo de Variaveis'!H89-'Catalogo de Variaveis'!H88,'Catalogo de Variaveis'!H88-'Catalogo de Variaveis'!H87,'Catalogo de Variaveis'!H87-'Catalogo de Variaveis'!H86,'Catalogo de Variaveis'!H86-'Catalogo de Variaveis'!H85)),0)</f>
        <v/>
      </c>
      <c r="D84" s="13" t="str">
        <f t="shared" si="18"/>
        <v/>
      </c>
      <c r="E84" s="10" t="str">
        <f t="shared" si="14"/>
        <v/>
      </c>
      <c r="F84" s="10" t="str">
        <f t="shared" si="15"/>
        <v/>
      </c>
      <c r="G84" s="10" t="str">
        <f t="shared" si="19"/>
        <v/>
      </c>
      <c r="H84" s="10" t="str">
        <f t="shared" si="16"/>
        <v/>
      </c>
      <c r="I84" s="10" t="str">
        <f t="shared" si="20"/>
        <v/>
      </c>
      <c r="J84" s="14" t="str">
        <f t="shared" si="17"/>
        <v/>
      </c>
      <c r="K84" s="13" t="str">
        <f t="shared" si="21"/>
        <v/>
      </c>
      <c r="L84" s="10" t="str">
        <f t="shared" si="22"/>
        <v/>
      </c>
      <c r="M84" s="10" t="str">
        <f t="shared" si="23"/>
        <v/>
      </c>
      <c r="N84" s="10" t="str">
        <f t="shared" si="24"/>
        <v/>
      </c>
      <c r="O84" s="10" t="str">
        <f t="shared" si="25"/>
        <v/>
      </c>
      <c r="P84" s="10" t="str">
        <f t="shared" si="26"/>
        <v/>
      </c>
      <c r="Q84" s="14" t="str">
        <f t="shared" si="27"/>
        <v/>
      </c>
    </row>
    <row r="85" spans="1:17" x14ac:dyDescent="0.25">
      <c r="A85" s="4">
        <v>47119</v>
      </c>
      <c r="B85" s="5" t="str">
        <f>IF('Catalogo de Variaveis'!H90="","",SUM('Catalogo de Variaveis'!H87:H90))</f>
        <v/>
      </c>
      <c r="C85" s="15" t="str">
        <f>IFERROR(IF($B85="","",AVERAGE('Catalogo de Variaveis'!H90-'Catalogo de Variaveis'!H89,'Catalogo de Variaveis'!H89-'Catalogo de Variaveis'!H88,'Catalogo de Variaveis'!H88-'Catalogo de Variaveis'!H87,'Catalogo de Variaveis'!H87-'Catalogo de Variaveis'!H86)),0)</f>
        <v/>
      </c>
      <c r="D85" s="13" t="str">
        <f t="shared" si="18"/>
        <v/>
      </c>
      <c r="E85" s="10" t="str">
        <f t="shared" si="14"/>
        <v/>
      </c>
      <c r="F85" s="10" t="str">
        <f t="shared" si="15"/>
        <v/>
      </c>
      <c r="G85" s="10" t="str">
        <f t="shared" si="19"/>
        <v/>
      </c>
      <c r="H85" s="10" t="str">
        <f t="shared" si="16"/>
        <v/>
      </c>
      <c r="I85" s="10" t="str">
        <f t="shared" si="20"/>
        <v/>
      </c>
      <c r="J85" s="14" t="str">
        <f t="shared" si="17"/>
        <v/>
      </c>
      <c r="K85" s="13" t="str">
        <f t="shared" si="21"/>
        <v/>
      </c>
      <c r="L85" s="10" t="str">
        <f t="shared" si="22"/>
        <v/>
      </c>
      <c r="M85" s="10" t="str">
        <f t="shared" si="23"/>
        <v/>
      </c>
      <c r="N85" s="10" t="str">
        <f t="shared" si="24"/>
        <v/>
      </c>
      <c r="O85" s="10" t="str">
        <f t="shared" si="25"/>
        <v/>
      </c>
      <c r="P85" s="10" t="str">
        <f t="shared" si="26"/>
        <v/>
      </c>
      <c r="Q85" s="14" t="str">
        <f t="shared" si="27"/>
        <v/>
      </c>
    </row>
    <row r="86" spans="1:17" x14ac:dyDescent="0.25">
      <c r="A86" s="4">
        <v>47150</v>
      </c>
      <c r="B86" s="5" t="str">
        <f>IF('Catalogo de Variaveis'!H91="","",SUM('Catalogo de Variaveis'!H88:H91))</f>
        <v/>
      </c>
      <c r="C86" s="15" t="str">
        <f>IFERROR(IF($B86="","",AVERAGE('Catalogo de Variaveis'!H91-'Catalogo de Variaveis'!H90,'Catalogo de Variaveis'!H90-'Catalogo de Variaveis'!H89,'Catalogo de Variaveis'!H89-'Catalogo de Variaveis'!H88,'Catalogo de Variaveis'!H88-'Catalogo de Variaveis'!H87)),0)</f>
        <v/>
      </c>
      <c r="D86" s="13" t="str">
        <f t="shared" si="18"/>
        <v/>
      </c>
      <c r="E86" s="10" t="str">
        <f t="shared" si="14"/>
        <v/>
      </c>
      <c r="F86" s="10" t="str">
        <f t="shared" si="15"/>
        <v/>
      </c>
      <c r="G86" s="10" t="str">
        <f t="shared" si="19"/>
        <v/>
      </c>
      <c r="H86" s="10" t="str">
        <f t="shared" si="16"/>
        <v/>
      </c>
      <c r="I86" s="10" t="str">
        <f t="shared" si="20"/>
        <v/>
      </c>
      <c r="J86" s="14" t="str">
        <f t="shared" si="17"/>
        <v/>
      </c>
      <c r="K86" s="13" t="str">
        <f t="shared" si="21"/>
        <v/>
      </c>
      <c r="L86" s="10" t="str">
        <f t="shared" si="22"/>
        <v/>
      </c>
      <c r="M86" s="10" t="str">
        <f t="shared" si="23"/>
        <v/>
      </c>
      <c r="N86" s="10" t="str">
        <f t="shared" si="24"/>
        <v/>
      </c>
      <c r="O86" s="10" t="str">
        <f t="shared" si="25"/>
        <v/>
      </c>
      <c r="P86" s="10" t="str">
        <f t="shared" si="26"/>
        <v/>
      </c>
      <c r="Q86" s="14" t="str">
        <f t="shared" si="27"/>
        <v/>
      </c>
    </row>
    <row r="87" spans="1:17" x14ac:dyDescent="0.25">
      <c r="A87" s="4">
        <v>47178</v>
      </c>
      <c r="B87" s="5" t="str">
        <f>IF('Catalogo de Variaveis'!H92="","",SUM('Catalogo de Variaveis'!H89:H92))</f>
        <v/>
      </c>
      <c r="C87" s="15" t="str">
        <f>IFERROR(IF($B87="","",AVERAGE('Catalogo de Variaveis'!H92-'Catalogo de Variaveis'!H91,'Catalogo de Variaveis'!H91-'Catalogo de Variaveis'!H90,'Catalogo de Variaveis'!H90-'Catalogo de Variaveis'!H89,'Catalogo de Variaveis'!H89-'Catalogo de Variaveis'!H88)),0)</f>
        <v/>
      </c>
      <c r="D87" s="13" t="str">
        <f t="shared" si="18"/>
        <v/>
      </c>
      <c r="E87" s="10" t="str">
        <f t="shared" si="14"/>
        <v/>
      </c>
      <c r="F87" s="10" t="str">
        <f t="shared" si="15"/>
        <v/>
      </c>
      <c r="G87" s="10" t="str">
        <f t="shared" si="19"/>
        <v/>
      </c>
      <c r="H87" s="10" t="str">
        <f t="shared" si="16"/>
        <v/>
      </c>
      <c r="I87" s="10" t="str">
        <f t="shared" si="20"/>
        <v/>
      </c>
      <c r="J87" s="14" t="str">
        <f t="shared" si="17"/>
        <v/>
      </c>
      <c r="K87" s="13" t="str">
        <f t="shared" si="21"/>
        <v/>
      </c>
      <c r="L87" s="10" t="str">
        <f t="shared" si="22"/>
        <v/>
      </c>
      <c r="M87" s="10" t="str">
        <f t="shared" si="23"/>
        <v/>
      </c>
      <c r="N87" s="10" t="str">
        <f t="shared" si="24"/>
        <v/>
      </c>
      <c r="O87" s="10" t="str">
        <f t="shared" si="25"/>
        <v/>
      </c>
      <c r="P87" s="10" t="str">
        <f t="shared" si="26"/>
        <v/>
      </c>
      <c r="Q87" s="14" t="str">
        <f t="shared" si="27"/>
        <v/>
      </c>
    </row>
    <row r="88" spans="1:17" x14ac:dyDescent="0.25">
      <c r="A88" s="4">
        <v>47209</v>
      </c>
      <c r="B88" s="5" t="str">
        <f>IF('Catalogo de Variaveis'!H93="","",SUM('Catalogo de Variaveis'!H90:H93))</f>
        <v/>
      </c>
      <c r="C88" s="15" t="str">
        <f>IFERROR(IF($B88="","",AVERAGE('Catalogo de Variaveis'!H93-'Catalogo de Variaveis'!H92,'Catalogo de Variaveis'!H92-'Catalogo de Variaveis'!H91,'Catalogo de Variaveis'!H91-'Catalogo de Variaveis'!H90,'Catalogo de Variaveis'!H90-'Catalogo de Variaveis'!H89)),0)</f>
        <v/>
      </c>
      <c r="D88" s="13" t="str">
        <f t="shared" si="18"/>
        <v/>
      </c>
      <c r="E88" s="10" t="str">
        <f t="shared" si="14"/>
        <v/>
      </c>
      <c r="F88" s="10" t="str">
        <f t="shared" si="15"/>
        <v/>
      </c>
      <c r="G88" s="10" t="str">
        <f t="shared" si="19"/>
        <v/>
      </c>
      <c r="H88" s="10" t="str">
        <f t="shared" si="16"/>
        <v/>
      </c>
      <c r="I88" s="10" t="str">
        <f t="shared" si="20"/>
        <v/>
      </c>
      <c r="J88" s="14" t="str">
        <f t="shared" si="17"/>
        <v/>
      </c>
      <c r="K88" s="13" t="str">
        <f t="shared" si="21"/>
        <v/>
      </c>
      <c r="L88" s="10" t="str">
        <f t="shared" si="22"/>
        <v/>
      </c>
      <c r="M88" s="10" t="str">
        <f t="shared" si="23"/>
        <v/>
      </c>
      <c r="N88" s="10" t="str">
        <f t="shared" si="24"/>
        <v/>
      </c>
      <c r="O88" s="10" t="str">
        <f t="shared" si="25"/>
        <v/>
      </c>
      <c r="P88" s="10" t="str">
        <f t="shared" si="26"/>
        <v/>
      </c>
      <c r="Q88" s="14" t="str">
        <f t="shared" si="27"/>
        <v/>
      </c>
    </row>
    <row r="89" spans="1:17" x14ac:dyDescent="0.25">
      <c r="A89" s="4">
        <v>47239</v>
      </c>
      <c r="B89" s="5" t="str">
        <f>IF('Catalogo de Variaveis'!H94="","",SUM('Catalogo de Variaveis'!H91:H94))</f>
        <v/>
      </c>
      <c r="C89" s="15" t="str">
        <f>IFERROR(IF($B89="","",AVERAGE('Catalogo de Variaveis'!H94-'Catalogo de Variaveis'!H93,'Catalogo de Variaveis'!H93-'Catalogo de Variaveis'!H92,'Catalogo de Variaveis'!H92-'Catalogo de Variaveis'!H91,'Catalogo de Variaveis'!H91-'Catalogo de Variaveis'!H90)),0)</f>
        <v/>
      </c>
      <c r="D89" s="13" t="str">
        <f t="shared" si="18"/>
        <v/>
      </c>
      <c r="E89" s="10" t="str">
        <f t="shared" si="14"/>
        <v/>
      </c>
      <c r="F89" s="10" t="str">
        <f t="shared" si="15"/>
        <v/>
      </c>
      <c r="G89" s="10" t="str">
        <f t="shared" si="19"/>
        <v/>
      </c>
      <c r="H89" s="10" t="str">
        <f t="shared" si="16"/>
        <v/>
      </c>
      <c r="I89" s="10" t="str">
        <f t="shared" si="20"/>
        <v/>
      </c>
      <c r="J89" s="14" t="str">
        <f t="shared" si="17"/>
        <v/>
      </c>
      <c r="K89" s="13" t="str">
        <f t="shared" si="21"/>
        <v/>
      </c>
      <c r="L89" s="10" t="str">
        <f t="shared" si="22"/>
        <v/>
      </c>
      <c r="M89" s="10" t="str">
        <f t="shared" si="23"/>
        <v/>
      </c>
      <c r="N89" s="10" t="str">
        <f t="shared" si="24"/>
        <v/>
      </c>
      <c r="O89" s="10" t="str">
        <f t="shared" si="25"/>
        <v/>
      </c>
      <c r="P89" s="10" t="str">
        <f t="shared" si="26"/>
        <v/>
      </c>
      <c r="Q89" s="14" t="str">
        <f t="shared" si="27"/>
        <v/>
      </c>
    </row>
    <row r="90" spans="1:17" x14ac:dyDescent="0.25">
      <c r="A90" s="4">
        <v>47270</v>
      </c>
      <c r="B90" s="5" t="str">
        <f>IF('Catalogo de Variaveis'!H95="","",SUM('Catalogo de Variaveis'!H92:H95))</f>
        <v/>
      </c>
      <c r="C90" s="15" t="str">
        <f>IFERROR(IF($B90="","",AVERAGE('Catalogo de Variaveis'!H95-'Catalogo de Variaveis'!H94,'Catalogo de Variaveis'!H94-'Catalogo de Variaveis'!H93,'Catalogo de Variaveis'!H93-'Catalogo de Variaveis'!H92,'Catalogo de Variaveis'!H92-'Catalogo de Variaveis'!H91)),0)</f>
        <v/>
      </c>
      <c r="D90" s="13" t="str">
        <f t="shared" si="18"/>
        <v/>
      </c>
      <c r="E90" s="10" t="str">
        <f t="shared" si="14"/>
        <v/>
      </c>
      <c r="F90" s="10" t="str">
        <f t="shared" si="15"/>
        <v/>
      </c>
      <c r="G90" s="10" t="str">
        <f t="shared" si="19"/>
        <v/>
      </c>
      <c r="H90" s="10" t="str">
        <f t="shared" si="16"/>
        <v/>
      </c>
      <c r="I90" s="10" t="str">
        <f t="shared" si="20"/>
        <v/>
      </c>
      <c r="J90" s="14" t="str">
        <f t="shared" si="17"/>
        <v/>
      </c>
      <c r="K90" s="13" t="str">
        <f t="shared" si="21"/>
        <v/>
      </c>
      <c r="L90" s="10" t="str">
        <f t="shared" si="22"/>
        <v/>
      </c>
      <c r="M90" s="10" t="str">
        <f t="shared" si="23"/>
        <v/>
      </c>
      <c r="N90" s="10" t="str">
        <f t="shared" si="24"/>
        <v/>
      </c>
      <c r="O90" s="10" t="str">
        <f t="shared" si="25"/>
        <v/>
      </c>
      <c r="P90" s="10" t="str">
        <f t="shared" si="26"/>
        <v/>
      </c>
      <c r="Q90" s="14" t="str">
        <f t="shared" si="27"/>
        <v/>
      </c>
    </row>
    <row r="91" spans="1:17" x14ac:dyDescent="0.25">
      <c r="A91" s="4">
        <v>47300</v>
      </c>
      <c r="B91" s="5" t="str">
        <f>IF('Catalogo de Variaveis'!H96="","",SUM('Catalogo de Variaveis'!H93:H96))</f>
        <v/>
      </c>
      <c r="C91" s="15" t="str">
        <f>IFERROR(IF($B91="","",AVERAGE('Catalogo de Variaveis'!H96-'Catalogo de Variaveis'!H95,'Catalogo de Variaveis'!H95-'Catalogo de Variaveis'!H94,'Catalogo de Variaveis'!H94-'Catalogo de Variaveis'!H93,'Catalogo de Variaveis'!H93-'Catalogo de Variaveis'!H92)),0)</f>
        <v/>
      </c>
      <c r="D91" s="13" t="str">
        <f t="shared" si="18"/>
        <v/>
      </c>
      <c r="E91" s="10" t="str">
        <f t="shared" si="14"/>
        <v/>
      </c>
      <c r="F91" s="10" t="str">
        <f t="shared" si="15"/>
        <v/>
      </c>
      <c r="G91" s="10" t="str">
        <f t="shared" si="19"/>
        <v/>
      </c>
      <c r="H91" s="10" t="str">
        <f t="shared" si="16"/>
        <v/>
      </c>
      <c r="I91" s="10" t="str">
        <f t="shared" si="20"/>
        <v/>
      </c>
      <c r="J91" s="14" t="str">
        <f t="shared" si="17"/>
        <v/>
      </c>
      <c r="K91" s="13" t="str">
        <f t="shared" si="21"/>
        <v/>
      </c>
      <c r="L91" s="10" t="str">
        <f t="shared" si="22"/>
        <v/>
      </c>
      <c r="M91" s="10" t="str">
        <f t="shared" si="23"/>
        <v/>
      </c>
      <c r="N91" s="10" t="str">
        <f t="shared" si="24"/>
        <v/>
      </c>
      <c r="O91" s="10" t="str">
        <f t="shared" si="25"/>
        <v/>
      </c>
      <c r="P91" s="10" t="str">
        <f t="shared" si="26"/>
        <v/>
      </c>
      <c r="Q91" s="14" t="str">
        <f t="shared" si="27"/>
        <v/>
      </c>
    </row>
    <row r="92" spans="1:17" x14ac:dyDescent="0.25">
      <c r="A92" s="4">
        <v>47331</v>
      </c>
      <c r="B92" s="5" t="str">
        <f>IF('Catalogo de Variaveis'!H97="","",SUM('Catalogo de Variaveis'!H94:H97))</f>
        <v/>
      </c>
      <c r="C92" s="15" t="str">
        <f>IFERROR(IF($B92="","",AVERAGE('Catalogo de Variaveis'!H97-'Catalogo de Variaveis'!H96,'Catalogo de Variaveis'!H96-'Catalogo de Variaveis'!H95,'Catalogo de Variaveis'!H95-'Catalogo de Variaveis'!H94,'Catalogo de Variaveis'!H94-'Catalogo de Variaveis'!H93)),0)</f>
        <v/>
      </c>
      <c r="D92" s="13" t="str">
        <f t="shared" si="18"/>
        <v/>
      </c>
      <c r="E92" s="10" t="str">
        <f t="shared" si="14"/>
        <v/>
      </c>
      <c r="F92" s="10" t="str">
        <f t="shared" si="15"/>
        <v/>
      </c>
      <c r="G92" s="10" t="str">
        <f t="shared" si="19"/>
        <v/>
      </c>
      <c r="H92" s="10" t="str">
        <f t="shared" si="16"/>
        <v/>
      </c>
      <c r="I92" s="10" t="str">
        <f t="shared" si="20"/>
        <v/>
      </c>
      <c r="J92" s="14" t="str">
        <f t="shared" si="17"/>
        <v/>
      </c>
      <c r="K92" s="13" t="str">
        <f t="shared" si="21"/>
        <v/>
      </c>
      <c r="L92" s="10" t="str">
        <f t="shared" si="22"/>
        <v/>
      </c>
      <c r="M92" s="10" t="str">
        <f t="shared" si="23"/>
        <v/>
      </c>
      <c r="N92" s="10" t="str">
        <f t="shared" si="24"/>
        <v/>
      </c>
      <c r="O92" s="10" t="str">
        <f t="shared" si="25"/>
        <v/>
      </c>
      <c r="P92" s="10" t="str">
        <f t="shared" si="26"/>
        <v/>
      </c>
      <c r="Q92" s="14" t="str">
        <f t="shared" si="27"/>
        <v/>
      </c>
    </row>
    <row r="93" spans="1:17" x14ac:dyDescent="0.25">
      <c r="A93" s="4">
        <v>47362</v>
      </c>
      <c r="B93" s="5" t="str">
        <f>IF('Catalogo de Variaveis'!H98="","",SUM('Catalogo de Variaveis'!H95:H98))</f>
        <v/>
      </c>
      <c r="C93" s="15" t="str">
        <f>IFERROR(IF($B93="","",AVERAGE('Catalogo de Variaveis'!H98-'Catalogo de Variaveis'!H97,'Catalogo de Variaveis'!H97-'Catalogo de Variaveis'!H96,'Catalogo de Variaveis'!H96-'Catalogo de Variaveis'!H95,'Catalogo de Variaveis'!H95-'Catalogo de Variaveis'!H94)),0)</f>
        <v/>
      </c>
      <c r="D93" s="13" t="str">
        <f t="shared" si="18"/>
        <v/>
      </c>
      <c r="E93" s="10" t="str">
        <f t="shared" si="14"/>
        <v/>
      </c>
      <c r="F93" s="10" t="str">
        <f t="shared" si="15"/>
        <v/>
      </c>
      <c r="G93" s="10" t="str">
        <f t="shared" si="19"/>
        <v/>
      </c>
      <c r="H93" s="10" t="str">
        <f t="shared" si="16"/>
        <v/>
      </c>
      <c r="I93" s="10" t="str">
        <f t="shared" si="20"/>
        <v/>
      </c>
      <c r="J93" s="14" t="str">
        <f t="shared" si="17"/>
        <v/>
      </c>
      <c r="K93" s="13" t="str">
        <f t="shared" si="21"/>
        <v/>
      </c>
      <c r="L93" s="10" t="str">
        <f t="shared" si="22"/>
        <v/>
      </c>
      <c r="M93" s="10" t="str">
        <f t="shared" si="23"/>
        <v/>
      </c>
      <c r="N93" s="10" t="str">
        <f t="shared" si="24"/>
        <v/>
      </c>
      <c r="O93" s="10" t="str">
        <f t="shared" si="25"/>
        <v/>
      </c>
      <c r="P93" s="10" t="str">
        <f t="shared" si="26"/>
        <v/>
      </c>
      <c r="Q93" s="14" t="str">
        <f t="shared" si="27"/>
        <v/>
      </c>
    </row>
    <row r="94" spans="1:17" x14ac:dyDescent="0.25">
      <c r="A94" s="4">
        <v>47392</v>
      </c>
      <c r="B94" s="5" t="str">
        <f>IF('Catalogo de Variaveis'!H99="","",SUM('Catalogo de Variaveis'!H96:H99))</f>
        <v/>
      </c>
      <c r="C94" s="15" t="str">
        <f>IFERROR(IF($B94="","",AVERAGE('Catalogo de Variaveis'!H99-'Catalogo de Variaveis'!H98,'Catalogo de Variaveis'!H98-'Catalogo de Variaveis'!H97,'Catalogo de Variaveis'!H97-'Catalogo de Variaveis'!H96,'Catalogo de Variaveis'!H96-'Catalogo de Variaveis'!H95)),0)</f>
        <v/>
      </c>
      <c r="D94" s="13" t="str">
        <f t="shared" si="18"/>
        <v/>
      </c>
      <c r="E94" s="10" t="str">
        <f t="shared" si="14"/>
        <v/>
      </c>
      <c r="F94" s="10" t="str">
        <f t="shared" si="15"/>
        <v/>
      </c>
      <c r="G94" s="10" t="str">
        <f t="shared" si="19"/>
        <v/>
      </c>
      <c r="H94" s="10" t="str">
        <f t="shared" si="16"/>
        <v/>
      </c>
      <c r="I94" s="10" t="str">
        <f t="shared" si="20"/>
        <v/>
      </c>
      <c r="J94" s="14" t="str">
        <f t="shared" si="17"/>
        <v/>
      </c>
      <c r="K94" s="13" t="str">
        <f t="shared" si="21"/>
        <v/>
      </c>
      <c r="L94" s="10" t="str">
        <f t="shared" si="22"/>
        <v/>
      </c>
      <c r="M94" s="10" t="str">
        <f t="shared" si="23"/>
        <v/>
      </c>
      <c r="N94" s="10" t="str">
        <f t="shared" si="24"/>
        <v/>
      </c>
      <c r="O94" s="10" t="str">
        <f t="shared" si="25"/>
        <v/>
      </c>
      <c r="P94" s="10" t="str">
        <f t="shared" si="26"/>
        <v/>
      </c>
      <c r="Q94" s="14" t="str">
        <f t="shared" si="27"/>
        <v/>
      </c>
    </row>
    <row r="95" spans="1:17" x14ac:dyDescent="0.25">
      <c r="A95" s="4">
        <v>47423</v>
      </c>
      <c r="B95" s="5" t="str">
        <f>IF('Catalogo de Variaveis'!H100="","",SUM('Catalogo de Variaveis'!H97:H100))</f>
        <v/>
      </c>
      <c r="C95" s="15" t="str">
        <f>IFERROR(IF($B95="","",AVERAGE('Catalogo de Variaveis'!H100-'Catalogo de Variaveis'!H99,'Catalogo de Variaveis'!H99-'Catalogo de Variaveis'!H98,'Catalogo de Variaveis'!H98-'Catalogo de Variaveis'!H97,'Catalogo de Variaveis'!H97-'Catalogo de Variaveis'!H96)),0)</f>
        <v/>
      </c>
      <c r="D95" s="13" t="str">
        <f t="shared" si="18"/>
        <v/>
      </c>
      <c r="E95" s="10" t="str">
        <f t="shared" ref="E95:E96" si="28">IF($B95="","",IF(OR($J$1="",$J$2=""),$B$1-2*$B$2,$J$1-2*$J$2))</f>
        <v/>
      </c>
      <c r="F95" s="10" t="str">
        <f t="shared" ref="F95:F96" si="29">IF($B95="","",IF(OR($J$1="",$J$2=""),$B$1-$B$2,$J$1-$J$2))</f>
        <v/>
      </c>
      <c r="G95" s="10" t="str">
        <f t="shared" si="19"/>
        <v/>
      </c>
      <c r="H95" s="10" t="str">
        <f t="shared" ref="H95:H96" si="30">IF($B95="","",IF(OR($J$1="",$J$2=""),$B$1+$B$2,$J$1+$J$2))</f>
        <v/>
      </c>
      <c r="I95" s="10" t="str">
        <f t="shared" si="20"/>
        <v/>
      </c>
      <c r="J95" s="14" t="str">
        <f t="shared" ref="J95:J96" si="31">IF($B95="","",IF(OR($J$1="",$J$2=""),$B$1+3*$B$2,$J$1+3*$J$2))</f>
        <v/>
      </c>
      <c r="K95" s="13" t="str">
        <f t="shared" si="21"/>
        <v/>
      </c>
      <c r="L95" s="10" t="str">
        <f t="shared" si="22"/>
        <v/>
      </c>
      <c r="M95" s="10" t="str">
        <f t="shared" si="23"/>
        <v/>
      </c>
      <c r="N95" s="10" t="str">
        <f t="shared" si="24"/>
        <v/>
      </c>
      <c r="O95" s="10" t="str">
        <f t="shared" si="25"/>
        <v/>
      </c>
      <c r="P95" s="10" t="str">
        <f t="shared" si="26"/>
        <v/>
      </c>
      <c r="Q95" s="14" t="str">
        <f t="shared" si="27"/>
        <v/>
      </c>
    </row>
    <row r="96" spans="1:17" x14ac:dyDescent="0.25">
      <c r="A96" s="4">
        <v>47453</v>
      </c>
      <c r="B96" s="5" t="str">
        <f>IF('Catalogo de Variaveis'!H101="","",SUM('Catalogo de Variaveis'!H98:H101))</f>
        <v/>
      </c>
      <c r="C96" s="15" t="str">
        <f>IFERROR(IF($B96="","",AVERAGE('Catalogo de Variaveis'!H101-'Catalogo de Variaveis'!H100,'Catalogo de Variaveis'!H100-'Catalogo de Variaveis'!H99,'Catalogo de Variaveis'!H99-'Catalogo de Variaveis'!H98,'Catalogo de Variaveis'!H98-'Catalogo de Variaveis'!H97)),0)</f>
        <v/>
      </c>
      <c r="D96" s="13" t="str">
        <f t="shared" si="18"/>
        <v/>
      </c>
      <c r="E96" s="10" t="str">
        <f t="shared" si="28"/>
        <v/>
      </c>
      <c r="F96" s="10" t="str">
        <f t="shared" si="29"/>
        <v/>
      </c>
      <c r="G96" s="10" t="str">
        <f t="shared" si="19"/>
        <v/>
      </c>
      <c r="H96" s="10" t="str">
        <f t="shared" si="30"/>
        <v/>
      </c>
      <c r="I96" s="10" t="str">
        <f t="shared" si="20"/>
        <v/>
      </c>
      <c r="J96" s="14" t="str">
        <f t="shared" si="31"/>
        <v/>
      </c>
      <c r="K96" s="13" t="str">
        <f t="shared" si="21"/>
        <v/>
      </c>
      <c r="L96" s="10" t="str">
        <f t="shared" si="22"/>
        <v/>
      </c>
      <c r="M96" s="10" t="str">
        <f t="shared" si="23"/>
        <v/>
      </c>
      <c r="N96" s="10" t="str">
        <f t="shared" si="24"/>
        <v/>
      </c>
      <c r="O96" s="10" t="str">
        <f t="shared" si="25"/>
        <v/>
      </c>
      <c r="P96" s="10" t="str">
        <f t="shared" si="26"/>
        <v/>
      </c>
      <c r="Q96" s="14" t="str">
        <f t="shared" si="27"/>
        <v/>
      </c>
    </row>
  </sheetData>
  <mergeCells count="4">
    <mergeCell ref="A5:Q6"/>
    <mergeCell ref="A7:C7"/>
    <mergeCell ref="D7:J7"/>
    <mergeCell ref="K7:Q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02D1-37BA-4EF2-9029-B0E05BBFA232}">
  <dimension ref="A1:Q96"/>
  <sheetViews>
    <sheetView topLeftCell="A5" zoomScale="161" zoomScaleNormal="161" workbookViewId="0">
      <selection activeCell="B9" sqref="B9"/>
    </sheetView>
  </sheetViews>
  <sheetFormatPr defaultColWidth="0" defaultRowHeight="15" x14ac:dyDescent="0.25"/>
  <cols>
    <col min="1" max="1" width="13.85546875" style="2" bestFit="1" customWidth="1"/>
    <col min="2" max="3" width="10.7109375" customWidth="1"/>
    <col min="4" max="17" width="9.140625" customWidth="1"/>
    <col min="18" max="16384" width="9.140625" hidden="1"/>
  </cols>
  <sheetData>
    <row r="1" spans="1:17" hidden="1" x14ac:dyDescent="0.25">
      <c r="A1" s="7" t="s">
        <v>0</v>
      </c>
      <c r="B1" s="9">
        <f>AVERAGE(B9:B1048576)</f>
        <v>1.4210526315789473</v>
      </c>
      <c r="C1" s="9">
        <f>AVERAGE(C9:C1048576)</f>
        <v>1.3157894736842105E-2</v>
      </c>
      <c r="I1" s="7" t="s">
        <v>25</v>
      </c>
      <c r="J1" s="16" t="str">
        <f>IF(LME="","",LME)</f>
        <v/>
      </c>
    </row>
    <row r="2" spans="1:17" hidden="1" x14ac:dyDescent="0.25">
      <c r="A2" s="7" t="s">
        <v>1</v>
      </c>
      <c r="B2" s="9">
        <f>_xlfn.STDEV.S(B9:B1048576)</f>
        <v>1.0301293266320894</v>
      </c>
      <c r="C2" s="9">
        <f>_xlfn.STDEV.S(C9:C1048576)</f>
        <v>0.20914375326694129</v>
      </c>
      <c r="I2" s="7" t="s">
        <v>26</v>
      </c>
      <c r="J2" s="16" t="str">
        <f>IF(VME="","",VME/3)</f>
        <v/>
      </c>
    </row>
    <row r="3" spans="1:17" hidden="1" x14ac:dyDescent="0.25">
      <c r="A3" s="7" t="s">
        <v>2</v>
      </c>
      <c r="B3" s="9">
        <f>MAX(B9:B1048576)</f>
        <v>4</v>
      </c>
      <c r="C3" s="9">
        <f>MAX(C9:C1048576)</f>
        <v>0.5</v>
      </c>
    </row>
    <row r="4" spans="1:17" hidden="1" x14ac:dyDescent="0.25">
      <c r="A4" s="7" t="s">
        <v>3</v>
      </c>
      <c r="B4" s="9">
        <f>MIN(B9:B1048576)</f>
        <v>0</v>
      </c>
      <c r="C4" s="9">
        <f>MIN(C9:C1048576)</f>
        <v>-0.25</v>
      </c>
    </row>
    <row r="5" spans="1:17" ht="15" customHeight="1" x14ac:dyDescent="0.25">
      <c r="A5" s="22" t="s">
        <v>42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ht="15" customHeight="1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>
        <v>44805</v>
      </c>
      <c r="B9" s="5">
        <f>IF('Catalogo de Variaveis'!I14="","",SUM('Catalogo de Variaveis'!I11:I14))</f>
        <v>0</v>
      </c>
      <c r="C9" s="15">
        <f>IFERROR(IF($B9="","",AVERAGE('Catalogo de Variaveis'!I14-'Catalogo de Variaveis'!I13,'Catalogo de Variaveis'!I13-'Catalogo de Variaveis'!I12,'Catalogo de Variaveis'!I12-'Catalogo de Variaveis'!I11,'Catalogo de Variaveis'!I11-'Catalogo de Variaveis'!I10)),0)</f>
        <v>0</v>
      </c>
      <c r="D9" s="13">
        <f t="shared" ref="D9:D59" si="0">IF($B9="","",IF(OR($J$1="",$J$2=""),$B$1-3*$B$2,$J$1-3*$J$2))</f>
        <v>-1.669335348317321</v>
      </c>
      <c r="E9" s="10">
        <f t="shared" ref="E9:E29" si="1">IF($B9="","",IF(OR($J$1="",$J$2=""),$B$1-2*$B$2,$J$1-2*$J$2))</f>
        <v>-0.63920602168523155</v>
      </c>
      <c r="F9" s="10">
        <f t="shared" ref="F9:F29" si="2">IF($B9="","",IF(OR($J$1="",$J$2=""),$B$1-$B$2,$J$1-$J$2))</f>
        <v>0.3909233049468579</v>
      </c>
      <c r="G9" s="10">
        <f t="shared" ref="G9:G59" si="3">IF($B9="","",IF(OR($J$1="",$J$2=""),$B$1,$J$1))</f>
        <v>1.4210526315789473</v>
      </c>
      <c r="H9" s="10">
        <f t="shared" ref="H9:H29" si="4">IF($B9="","",IF(OR($J$1="",$J$2=""),$B$1+$B$2,$J$1+$J$2))</f>
        <v>2.4511819582110368</v>
      </c>
      <c r="I9" s="10">
        <f t="shared" ref="I9:I59" si="5">IF($B9="","",IF(OR($J$1="",$J$2=""),$B$1+2*$B$2,$J$1+2*$J$2))</f>
        <v>3.4813112848431262</v>
      </c>
      <c r="J9" s="14">
        <f t="shared" ref="J9:J29" si="6">IF($B9="","",IF(OR($J$1="",$J$2=""),$B$1+3*$B$2,$J$1+3*$J$2))</f>
        <v>4.5114406114752157</v>
      </c>
      <c r="K9" s="13">
        <f t="shared" ref="K9:K72" si="7">IF($B9="","",$C$1-3*$C$2)</f>
        <v>-0.61427336506398167</v>
      </c>
      <c r="L9" s="10">
        <f t="shared" ref="L9:L72" si="8">IF($B9="","",$C$1-2*$C$2)</f>
        <v>-0.40512961179704049</v>
      </c>
      <c r="M9" s="10">
        <f t="shared" ref="M9:M72" si="9">IF($B9="","",$C$1-$C$2)</f>
        <v>-0.1959858585300992</v>
      </c>
      <c r="N9" s="10">
        <f t="shared" ref="N9:N72" si="10">IF($B9="","",$C$1)</f>
        <v>1.3157894736842105E-2</v>
      </c>
      <c r="O9" s="10">
        <f t="shared" ref="O9:O72" si="11">IF($B9="","",$C$1+1*$C$2)</f>
        <v>0.22230164800378338</v>
      </c>
      <c r="P9" s="10">
        <f t="shared" ref="P9:P72" si="12">IF($B9="","",$C$1+2*$C$2)</f>
        <v>0.43144540127072467</v>
      </c>
      <c r="Q9" s="14">
        <f t="shared" ref="Q9:Q72" si="13">IF($B9="","",$C$1+3*$C$2)</f>
        <v>0.64058915453766596</v>
      </c>
    </row>
    <row r="10" spans="1:17" x14ac:dyDescent="0.25">
      <c r="A10" s="4">
        <v>44835</v>
      </c>
      <c r="B10" s="5">
        <f>IF('Catalogo de Variaveis'!I15="","",SUM('Catalogo de Variaveis'!I12:I15))</f>
        <v>1</v>
      </c>
      <c r="C10" s="15">
        <f>IFERROR(IF($B10="","",AVERAGE('Catalogo de Variaveis'!I15-'Catalogo de Variaveis'!I14,'Catalogo de Variaveis'!I14-'Catalogo de Variaveis'!I13,'Catalogo de Variaveis'!I13-'Catalogo de Variaveis'!I12,'Catalogo de Variaveis'!I12-'Catalogo de Variaveis'!I11)),0)</f>
        <v>0.25</v>
      </c>
      <c r="D10" s="13">
        <f t="shared" si="0"/>
        <v>-1.669335348317321</v>
      </c>
      <c r="E10" s="10">
        <f t="shared" si="1"/>
        <v>-0.63920602168523155</v>
      </c>
      <c r="F10" s="10">
        <f t="shared" si="2"/>
        <v>0.3909233049468579</v>
      </c>
      <c r="G10" s="10">
        <f t="shared" si="3"/>
        <v>1.4210526315789473</v>
      </c>
      <c r="H10" s="10">
        <f t="shared" si="4"/>
        <v>2.4511819582110368</v>
      </c>
      <c r="I10" s="10">
        <f t="shared" si="5"/>
        <v>3.4813112848431262</v>
      </c>
      <c r="J10" s="14">
        <f t="shared" si="6"/>
        <v>4.5114406114752157</v>
      </c>
      <c r="K10" s="13">
        <f t="shared" si="7"/>
        <v>-0.61427336506398167</v>
      </c>
      <c r="L10" s="10">
        <f t="shared" si="8"/>
        <v>-0.40512961179704049</v>
      </c>
      <c r="M10" s="10">
        <f t="shared" si="9"/>
        <v>-0.1959858585300992</v>
      </c>
      <c r="N10" s="10">
        <f t="shared" si="10"/>
        <v>1.3157894736842105E-2</v>
      </c>
      <c r="O10" s="10">
        <f t="shared" si="11"/>
        <v>0.22230164800378338</v>
      </c>
      <c r="P10" s="10">
        <f t="shared" si="12"/>
        <v>0.43144540127072467</v>
      </c>
      <c r="Q10" s="14">
        <f t="shared" si="13"/>
        <v>0.64058915453766596</v>
      </c>
    </row>
    <row r="11" spans="1:17" x14ac:dyDescent="0.25">
      <c r="A11" s="4">
        <v>44866</v>
      </c>
      <c r="B11" s="5">
        <f>IF('Catalogo de Variaveis'!I16="","",SUM('Catalogo de Variaveis'!I13:I16))</f>
        <v>1</v>
      </c>
      <c r="C11" s="15">
        <f>IFERROR(IF($B11="","",AVERAGE('Catalogo de Variaveis'!I16-'Catalogo de Variaveis'!I15,'Catalogo de Variaveis'!I15-'Catalogo de Variaveis'!I14,'Catalogo de Variaveis'!I14-'Catalogo de Variaveis'!I13,'Catalogo de Variaveis'!I13-'Catalogo de Variaveis'!I12)),0)</f>
        <v>0</v>
      </c>
      <c r="D11" s="13">
        <f t="shared" si="0"/>
        <v>-1.669335348317321</v>
      </c>
      <c r="E11" s="10">
        <f t="shared" si="1"/>
        <v>-0.63920602168523155</v>
      </c>
      <c r="F11" s="10">
        <f t="shared" si="2"/>
        <v>0.3909233049468579</v>
      </c>
      <c r="G11" s="10">
        <f t="shared" si="3"/>
        <v>1.4210526315789473</v>
      </c>
      <c r="H11" s="10">
        <f t="shared" si="4"/>
        <v>2.4511819582110368</v>
      </c>
      <c r="I11" s="10">
        <f t="shared" si="5"/>
        <v>3.4813112848431262</v>
      </c>
      <c r="J11" s="14">
        <f t="shared" si="6"/>
        <v>4.5114406114752157</v>
      </c>
      <c r="K11" s="13">
        <f t="shared" si="7"/>
        <v>-0.61427336506398167</v>
      </c>
      <c r="L11" s="10">
        <f t="shared" si="8"/>
        <v>-0.40512961179704049</v>
      </c>
      <c r="M11" s="10">
        <f t="shared" si="9"/>
        <v>-0.1959858585300992</v>
      </c>
      <c r="N11" s="10">
        <f t="shared" si="10"/>
        <v>1.3157894736842105E-2</v>
      </c>
      <c r="O11" s="10">
        <f t="shared" si="11"/>
        <v>0.22230164800378338</v>
      </c>
      <c r="P11" s="10">
        <f t="shared" si="12"/>
        <v>0.43144540127072467</v>
      </c>
      <c r="Q11" s="14">
        <f t="shared" si="13"/>
        <v>0.64058915453766596</v>
      </c>
    </row>
    <row r="12" spans="1:17" x14ac:dyDescent="0.25">
      <c r="A12" s="4">
        <v>44896</v>
      </c>
      <c r="B12" s="5">
        <f>IF('Catalogo de Variaveis'!I17="","",SUM('Catalogo de Variaveis'!I14:I17))</f>
        <v>2</v>
      </c>
      <c r="C12" s="15">
        <f>IFERROR(IF($B12="","",AVERAGE('Catalogo de Variaveis'!I17-'Catalogo de Variaveis'!I16,'Catalogo de Variaveis'!I16-'Catalogo de Variaveis'!I15,'Catalogo de Variaveis'!I15-'Catalogo de Variaveis'!I14,'Catalogo de Variaveis'!I14-'Catalogo de Variaveis'!I13)),0)</f>
        <v>0.25</v>
      </c>
      <c r="D12" s="13">
        <f t="shared" si="0"/>
        <v>-1.669335348317321</v>
      </c>
      <c r="E12" s="10">
        <f t="shared" si="1"/>
        <v>-0.63920602168523155</v>
      </c>
      <c r="F12" s="10">
        <f t="shared" si="2"/>
        <v>0.3909233049468579</v>
      </c>
      <c r="G12" s="10">
        <f t="shared" si="3"/>
        <v>1.4210526315789473</v>
      </c>
      <c r="H12" s="10">
        <f t="shared" si="4"/>
        <v>2.4511819582110368</v>
      </c>
      <c r="I12" s="10">
        <f t="shared" si="5"/>
        <v>3.4813112848431262</v>
      </c>
      <c r="J12" s="14">
        <f t="shared" si="6"/>
        <v>4.5114406114752157</v>
      </c>
      <c r="K12" s="13">
        <f t="shared" si="7"/>
        <v>-0.61427336506398167</v>
      </c>
      <c r="L12" s="10">
        <f t="shared" si="8"/>
        <v>-0.40512961179704049</v>
      </c>
      <c r="M12" s="10">
        <f t="shared" si="9"/>
        <v>-0.1959858585300992</v>
      </c>
      <c r="N12" s="10">
        <f t="shared" si="10"/>
        <v>1.3157894736842105E-2</v>
      </c>
      <c r="O12" s="10">
        <f t="shared" si="11"/>
        <v>0.22230164800378338</v>
      </c>
      <c r="P12" s="10">
        <f t="shared" si="12"/>
        <v>0.43144540127072467</v>
      </c>
      <c r="Q12" s="14">
        <f t="shared" si="13"/>
        <v>0.64058915453766596</v>
      </c>
    </row>
    <row r="13" spans="1:17" x14ac:dyDescent="0.25">
      <c r="A13" s="4">
        <v>44927</v>
      </c>
      <c r="B13" s="5">
        <f>IF('Catalogo de Variaveis'!I18="","",SUM('Catalogo de Variaveis'!I15:I18))</f>
        <v>2</v>
      </c>
      <c r="C13" s="15">
        <f>IFERROR(IF($B13="","",AVERAGE('Catalogo de Variaveis'!I18-'Catalogo de Variaveis'!I17,'Catalogo de Variaveis'!I17-'Catalogo de Variaveis'!I16,'Catalogo de Variaveis'!I16-'Catalogo de Variaveis'!I15,'Catalogo de Variaveis'!I15-'Catalogo de Variaveis'!I14)),0)</f>
        <v>0</v>
      </c>
      <c r="D13" s="13">
        <f t="shared" si="0"/>
        <v>-1.669335348317321</v>
      </c>
      <c r="E13" s="10">
        <f t="shared" si="1"/>
        <v>-0.63920602168523155</v>
      </c>
      <c r="F13" s="10">
        <f t="shared" si="2"/>
        <v>0.3909233049468579</v>
      </c>
      <c r="G13" s="10">
        <f t="shared" si="3"/>
        <v>1.4210526315789473</v>
      </c>
      <c r="H13" s="10">
        <f t="shared" si="4"/>
        <v>2.4511819582110368</v>
      </c>
      <c r="I13" s="10">
        <f t="shared" si="5"/>
        <v>3.4813112848431262</v>
      </c>
      <c r="J13" s="14">
        <f t="shared" si="6"/>
        <v>4.5114406114752157</v>
      </c>
      <c r="K13" s="13">
        <f t="shared" si="7"/>
        <v>-0.61427336506398167</v>
      </c>
      <c r="L13" s="10">
        <f t="shared" si="8"/>
        <v>-0.40512961179704049</v>
      </c>
      <c r="M13" s="10">
        <f t="shared" si="9"/>
        <v>-0.1959858585300992</v>
      </c>
      <c r="N13" s="10">
        <f t="shared" si="10"/>
        <v>1.3157894736842105E-2</v>
      </c>
      <c r="O13" s="10">
        <f t="shared" si="11"/>
        <v>0.22230164800378338</v>
      </c>
      <c r="P13" s="10">
        <f t="shared" si="12"/>
        <v>0.43144540127072467</v>
      </c>
      <c r="Q13" s="14">
        <f t="shared" si="13"/>
        <v>0.64058915453766596</v>
      </c>
    </row>
    <row r="14" spans="1:17" x14ac:dyDescent="0.25">
      <c r="A14" s="4">
        <v>44958</v>
      </c>
      <c r="B14" s="5">
        <f>IF('Catalogo de Variaveis'!I19="","",SUM('Catalogo de Variaveis'!I16:I19))</f>
        <v>1</v>
      </c>
      <c r="C14" s="15">
        <f>IFERROR(IF($B14="","",AVERAGE('Catalogo de Variaveis'!I19-'Catalogo de Variaveis'!I18,'Catalogo de Variaveis'!I18-'Catalogo de Variaveis'!I17,'Catalogo de Variaveis'!I17-'Catalogo de Variaveis'!I16,'Catalogo de Variaveis'!I16-'Catalogo de Variaveis'!I15)),0)</f>
        <v>-0.25</v>
      </c>
      <c r="D14" s="13">
        <f t="shared" si="0"/>
        <v>-1.669335348317321</v>
      </c>
      <c r="E14" s="10">
        <f t="shared" si="1"/>
        <v>-0.63920602168523155</v>
      </c>
      <c r="F14" s="10">
        <f t="shared" si="2"/>
        <v>0.3909233049468579</v>
      </c>
      <c r="G14" s="10">
        <f t="shared" si="3"/>
        <v>1.4210526315789473</v>
      </c>
      <c r="H14" s="10">
        <f t="shared" si="4"/>
        <v>2.4511819582110368</v>
      </c>
      <c r="I14" s="10">
        <f t="shared" si="5"/>
        <v>3.4813112848431262</v>
      </c>
      <c r="J14" s="14">
        <f t="shared" si="6"/>
        <v>4.5114406114752157</v>
      </c>
      <c r="K14" s="13">
        <f t="shared" si="7"/>
        <v>-0.61427336506398167</v>
      </c>
      <c r="L14" s="10">
        <f t="shared" si="8"/>
        <v>-0.40512961179704049</v>
      </c>
      <c r="M14" s="10">
        <f t="shared" si="9"/>
        <v>-0.1959858585300992</v>
      </c>
      <c r="N14" s="10">
        <f t="shared" si="10"/>
        <v>1.3157894736842105E-2</v>
      </c>
      <c r="O14" s="10">
        <f t="shared" si="11"/>
        <v>0.22230164800378338</v>
      </c>
      <c r="P14" s="10">
        <f t="shared" si="12"/>
        <v>0.43144540127072467</v>
      </c>
      <c r="Q14" s="14">
        <f t="shared" si="13"/>
        <v>0.64058915453766596</v>
      </c>
    </row>
    <row r="15" spans="1:17" x14ac:dyDescent="0.25">
      <c r="A15" s="4">
        <v>44986</v>
      </c>
      <c r="B15" s="5">
        <f>IF('Catalogo de Variaveis'!I20="","",SUM('Catalogo de Variaveis'!I17:I20))</f>
        <v>1</v>
      </c>
      <c r="C15" s="15">
        <f>IFERROR(IF($B15="","",AVERAGE('Catalogo de Variaveis'!I20-'Catalogo de Variaveis'!I19,'Catalogo de Variaveis'!I19-'Catalogo de Variaveis'!I18,'Catalogo de Variaveis'!I18-'Catalogo de Variaveis'!I17,'Catalogo de Variaveis'!I17-'Catalogo de Variaveis'!I16)),0)</f>
        <v>0</v>
      </c>
      <c r="D15" s="13">
        <f t="shared" si="0"/>
        <v>-1.669335348317321</v>
      </c>
      <c r="E15" s="10">
        <f t="shared" si="1"/>
        <v>-0.63920602168523155</v>
      </c>
      <c r="F15" s="10">
        <f t="shared" si="2"/>
        <v>0.3909233049468579</v>
      </c>
      <c r="G15" s="10">
        <f t="shared" si="3"/>
        <v>1.4210526315789473</v>
      </c>
      <c r="H15" s="10">
        <f t="shared" si="4"/>
        <v>2.4511819582110368</v>
      </c>
      <c r="I15" s="10">
        <f t="shared" si="5"/>
        <v>3.4813112848431262</v>
      </c>
      <c r="J15" s="14">
        <f t="shared" si="6"/>
        <v>4.5114406114752157</v>
      </c>
      <c r="K15" s="13">
        <f t="shared" si="7"/>
        <v>-0.61427336506398167</v>
      </c>
      <c r="L15" s="10">
        <f t="shared" si="8"/>
        <v>-0.40512961179704049</v>
      </c>
      <c r="M15" s="10">
        <f t="shared" si="9"/>
        <v>-0.1959858585300992</v>
      </c>
      <c r="N15" s="10">
        <f t="shared" si="10"/>
        <v>1.3157894736842105E-2</v>
      </c>
      <c r="O15" s="10">
        <f t="shared" si="11"/>
        <v>0.22230164800378338</v>
      </c>
      <c r="P15" s="10">
        <f t="shared" si="12"/>
        <v>0.43144540127072467</v>
      </c>
      <c r="Q15" s="14">
        <f t="shared" si="13"/>
        <v>0.64058915453766596</v>
      </c>
    </row>
    <row r="16" spans="1:17" x14ac:dyDescent="0.25">
      <c r="A16" s="4">
        <v>45017</v>
      </c>
      <c r="B16" s="5">
        <f>IF('Catalogo de Variaveis'!I21="","",SUM('Catalogo de Variaveis'!I18:I21))</f>
        <v>0</v>
      </c>
      <c r="C16" s="15">
        <f>IFERROR(IF($B16="","",AVERAGE('Catalogo de Variaveis'!I21-'Catalogo de Variaveis'!I20,'Catalogo de Variaveis'!I20-'Catalogo de Variaveis'!I19,'Catalogo de Variaveis'!I19-'Catalogo de Variaveis'!I18,'Catalogo de Variaveis'!I18-'Catalogo de Variaveis'!I17)),0)</f>
        <v>-0.25</v>
      </c>
      <c r="D16" s="13">
        <f t="shared" si="0"/>
        <v>-1.669335348317321</v>
      </c>
      <c r="E16" s="10">
        <f t="shared" si="1"/>
        <v>-0.63920602168523155</v>
      </c>
      <c r="F16" s="10">
        <f t="shared" si="2"/>
        <v>0.3909233049468579</v>
      </c>
      <c r="G16" s="10">
        <f t="shared" si="3"/>
        <v>1.4210526315789473</v>
      </c>
      <c r="H16" s="10">
        <f t="shared" si="4"/>
        <v>2.4511819582110368</v>
      </c>
      <c r="I16" s="10">
        <f t="shared" si="5"/>
        <v>3.4813112848431262</v>
      </c>
      <c r="J16" s="14">
        <f t="shared" si="6"/>
        <v>4.5114406114752157</v>
      </c>
      <c r="K16" s="13">
        <f t="shared" si="7"/>
        <v>-0.61427336506398167</v>
      </c>
      <c r="L16" s="10">
        <f t="shared" si="8"/>
        <v>-0.40512961179704049</v>
      </c>
      <c r="M16" s="10">
        <f t="shared" si="9"/>
        <v>-0.1959858585300992</v>
      </c>
      <c r="N16" s="10">
        <f t="shared" si="10"/>
        <v>1.3157894736842105E-2</v>
      </c>
      <c r="O16" s="10">
        <f t="shared" si="11"/>
        <v>0.22230164800378338</v>
      </c>
      <c r="P16" s="10">
        <f t="shared" si="12"/>
        <v>0.43144540127072467</v>
      </c>
      <c r="Q16" s="14">
        <f t="shared" si="13"/>
        <v>0.64058915453766596</v>
      </c>
    </row>
    <row r="17" spans="1:17" x14ac:dyDescent="0.25">
      <c r="A17" s="4">
        <v>45047</v>
      </c>
      <c r="B17" s="5">
        <f>IF('Catalogo de Variaveis'!I22="","",SUM('Catalogo de Variaveis'!I19:I22))</f>
        <v>0</v>
      </c>
      <c r="C17" s="15">
        <f>IFERROR(IF($B17="","",AVERAGE('Catalogo de Variaveis'!I22-'Catalogo de Variaveis'!I21,'Catalogo de Variaveis'!I21-'Catalogo de Variaveis'!I20,'Catalogo de Variaveis'!I20-'Catalogo de Variaveis'!I19,'Catalogo de Variaveis'!I19-'Catalogo de Variaveis'!I18)),0)</f>
        <v>0</v>
      </c>
      <c r="D17" s="13">
        <f t="shared" si="0"/>
        <v>-1.669335348317321</v>
      </c>
      <c r="E17" s="10">
        <f t="shared" si="1"/>
        <v>-0.63920602168523155</v>
      </c>
      <c r="F17" s="10">
        <f t="shared" si="2"/>
        <v>0.3909233049468579</v>
      </c>
      <c r="G17" s="10">
        <f t="shared" si="3"/>
        <v>1.4210526315789473</v>
      </c>
      <c r="H17" s="10">
        <f t="shared" si="4"/>
        <v>2.4511819582110368</v>
      </c>
      <c r="I17" s="10">
        <f t="shared" si="5"/>
        <v>3.4813112848431262</v>
      </c>
      <c r="J17" s="14">
        <f t="shared" si="6"/>
        <v>4.5114406114752157</v>
      </c>
      <c r="K17" s="13">
        <f t="shared" si="7"/>
        <v>-0.61427336506398167</v>
      </c>
      <c r="L17" s="10">
        <f t="shared" si="8"/>
        <v>-0.40512961179704049</v>
      </c>
      <c r="M17" s="10">
        <f t="shared" si="9"/>
        <v>-0.1959858585300992</v>
      </c>
      <c r="N17" s="10">
        <f t="shared" si="10"/>
        <v>1.3157894736842105E-2</v>
      </c>
      <c r="O17" s="10">
        <f t="shared" si="11"/>
        <v>0.22230164800378338</v>
      </c>
      <c r="P17" s="10">
        <f t="shared" si="12"/>
        <v>0.43144540127072467</v>
      </c>
      <c r="Q17" s="14">
        <f t="shared" si="13"/>
        <v>0.64058915453766596</v>
      </c>
    </row>
    <row r="18" spans="1:17" x14ac:dyDescent="0.25">
      <c r="A18" s="4">
        <v>45078</v>
      </c>
      <c r="B18" s="5">
        <f>IF('Catalogo de Variaveis'!I23="","",SUM('Catalogo de Variaveis'!I20:I23))</f>
        <v>2</v>
      </c>
      <c r="C18" s="15">
        <f>IFERROR(IF($B18="","",AVERAGE('Catalogo de Variaveis'!I23-'Catalogo de Variaveis'!I22,'Catalogo de Variaveis'!I22-'Catalogo de Variaveis'!I21,'Catalogo de Variaveis'!I21-'Catalogo de Variaveis'!I20,'Catalogo de Variaveis'!I20-'Catalogo de Variaveis'!I19)),0)</f>
        <v>0.5</v>
      </c>
      <c r="D18" s="13">
        <f t="shared" si="0"/>
        <v>-1.669335348317321</v>
      </c>
      <c r="E18" s="10">
        <f t="shared" si="1"/>
        <v>-0.63920602168523155</v>
      </c>
      <c r="F18" s="10">
        <f t="shared" si="2"/>
        <v>0.3909233049468579</v>
      </c>
      <c r="G18" s="10">
        <f t="shared" si="3"/>
        <v>1.4210526315789473</v>
      </c>
      <c r="H18" s="10">
        <f t="shared" si="4"/>
        <v>2.4511819582110368</v>
      </c>
      <c r="I18" s="10">
        <f t="shared" si="5"/>
        <v>3.4813112848431262</v>
      </c>
      <c r="J18" s="14">
        <f t="shared" si="6"/>
        <v>4.5114406114752157</v>
      </c>
      <c r="K18" s="13">
        <f t="shared" si="7"/>
        <v>-0.61427336506398167</v>
      </c>
      <c r="L18" s="10">
        <f t="shared" si="8"/>
        <v>-0.40512961179704049</v>
      </c>
      <c r="M18" s="10">
        <f t="shared" si="9"/>
        <v>-0.1959858585300992</v>
      </c>
      <c r="N18" s="10">
        <f t="shared" si="10"/>
        <v>1.3157894736842105E-2</v>
      </c>
      <c r="O18" s="10">
        <f t="shared" si="11"/>
        <v>0.22230164800378338</v>
      </c>
      <c r="P18" s="10">
        <f t="shared" si="12"/>
        <v>0.43144540127072467</v>
      </c>
      <c r="Q18" s="14">
        <f t="shared" si="13"/>
        <v>0.64058915453766596</v>
      </c>
    </row>
    <row r="19" spans="1:17" x14ac:dyDescent="0.25">
      <c r="A19" s="4">
        <v>45108</v>
      </c>
      <c r="B19" s="5">
        <f>IF('Catalogo de Variaveis'!I24="","",SUM('Catalogo de Variaveis'!I21:I24))</f>
        <v>3</v>
      </c>
      <c r="C19" s="15">
        <f>IFERROR(IF($B19="","",AVERAGE('Catalogo de Variaveis'!I24-'Catalogo de Variaveis'!I23,'Catalogo de Variaveis'!I23-'Catalogo de Variaveis'!I22,'Catalogo de Variaveis'!I22-'Catalogo de Variaveis'!I21,'Catalogo de Variaveis'!I21-'Catalogo de Variaveis'!I20)),0)</f>
        <v>0.25</v>
      </c>
      <c r="D19" s="13">
        <f t="shared" si="0"/>
        <v>-1.669335348317321</v>
      </c>
      <c r="E19" s="10">
        <f t="shared" si="1"/>
        <v>-0.63920602168523155</v>
      </c>
      <c r="F19" s="10">
        <f t="shared" si="2"/>
        <v>0.3909233049468579</v>
      </c>
      <c r="G19" s="10">
        <f t="shared" si="3"/>
        <v>1.4210526315789473</v>
      </c>
      <c r="H19" s="10">
        <f t="shared" si="4"/>
        <v>2.4511819582110368</v>
      </c>
      <c r="I19" s="10">
        <f t="shared" si="5"/>
        <v>3.4813112848431262</v>
      </c>
      <c r="J19" s="14">
        <f t="shared" si="6"/>
        <v>4.5114406114752157</v>
      </c>
      <c r="K19" s="13">
        <f t="shared" si="7"/>
        <v>-0.61427336506398167</v>
      </c>
      <c r="L19" s="10">
        <f t="shared" si="8"/>
        <v>-0.40512961179704049</v>
      </c>
      <c r="M19" s="10">
        <f t="shared" si="9"/>
        <v>-0.1959858585300992</v>
      </c>
      <c r="N19" s="10">
        <f t="shared" si="10"/>
        <v>1.3157894736842105E-2</v>
      </c>
      <c r="O19" s="10">
        <f t="shared" si="11"/>
        <v>0.22230164800378338</v>
      </c>
      <c r="P19" s="10">
        <f t="shared" si="12"/>
        <v>0.43144540127072467</v>
      </c>
      <c r="Q19" s="14">
        <f t="shared" si="13"/>
        <v>0.64058915453766596</v>
      </c>
    </row>
    <row r="20" spans="1:17" x14ac:dyDescent="0.25">
      <c r="A20" s="4">
        <v>45139</v>
      </c>
      <c r="B20" s="5">
        <f>IF('Catalogo de Variaveis'!I25="","",SUM('Catalogo de Variaveis'!I22:I25))</f>
        <v>3</v>
      </c>
      <c r="C20" s="15">
        <f>IFERROR(IF($B20="","",AVERAGE('Catalogo de Variaveis'!I25-'Catalogo de Variaveis'!I24,'Catalogo de Variaveis'!I24-'Catalogo de Variaveis'!I23,'Catalogo de Variaveis'!I23-'Catalogo de Variaveis'!I22,'Catalogo de Variaveis'!I22-'Catalogo de Variaveis'!I21)),0)</f>
        <v>0</v>
      </c>
      <c r="D20" s="13">
        <f t="shared" si="0"/>
        <v>-1.669335348317321</v>
      </c>
      <c r="E20" s="10">
        <f t="shared" si="1"/>
        <v>-0.63920602168523155</v>
      </c>
      <c r="F20" s="10">
        <f t="shared" si="2"/>
        <v>0.3909233049468579</v>
      </c>
      <c r="G20" s="10">
        <f t="shared" si="3"/>
        <v>1.4210526315789473</v>
      </c>
      <c r="H20" s="10">
        <f t="shared" si="4"/>
        <v>2.4511819582110368</v>
      </c>
      <c r="I20" s="10">
        <f t="shared" si="5"/>
        <v>3.4813112848431262</v>
      </c>
      <c r="J20" s="14">
        <f t="shared" si="6"/>
        <v>4.5114406114752157</v>
      </c>
      <c r="K20" s="13">
        <f t="shared" si="7"/>
        <v>-0.61427336506398167</v>
      </c>
      <c r="L20" s="10">
        <f t="shared" si="8"/>
        <v>-0.40512961179704049</v>
      </c>
      <c r="M20" s="10">
        <f t="shared" si="9"/>
        <v>-0.1959858585300992</v>
      </c>
      <c r="N20" s="10">
        <f t="shared" si="10"/>
        <v>1.3157894736842105E-2</v>
      </c>
      <c r="O20" s="10">
        <f t="shared" si="11"/>
        <v>0.22230164800378338</v>
      </c>
      <c r="P20" s="10">
        <f t="shared" si="12"/>
        <v>0.43144540127072467</v>
      </c>
      <c r="Q20" s="14">
        <f t="shared" si="13"/>
        <v>0.64058915453766596</v>
      </c>
    </row>
    <row r="21" spans="1:17" x14ac:dyDescent="0.25">
      <c r="A21" s="4">
        <v>45170</v>
      </c>
      <c r="B21" s="5">
        <f>IF('Catalogo de Variaveis'!I26="","",SUM('Catalogo de Variaveis'!I23:I26))</f>
        <v>4</v>
      </c>
      <c r="C21" s="15">
        <f>IFERROR(IF($B21="","",AVERAGE('Catalogo de Variaveis'!I26-'Catalogo de Variaveis'!I25,'Catalogo de Variaveis'!I25-'Catalogo de Variaveis'!I24,'Catalogo de Variaveis'!I24-'Catalogo de Variaveis'!I23,'Catalogo de Variaveis'!I23-'Catalogo de Variaveis'!I22)),0)</f>
        <v>0.25</v>
      </c>
      <c r="D21" s="13">
        <f t="shared" si="0"/>
        <v>-1.669335348317321</v>
      </c>
      <c r="E21" s="10">
        <f t="shared" si="1"/>
        <v>-0.63920602168523155</v>
      </c>
      <c r="F21" s="10">
        <f t="shared" si="2"/>
        <v>0.3909233049468579</v>
      </c>
      <c r="G21" s="10">
        <f t="shared" si="3"/>
        <v>1.4210526315789473</v>
      </c>
      <c r="H21" s="10">
        <f t="shared" si="4"/>
        <v>2.4511819582110368</v>
      </c>
      <c r="I21" s="10">
        <f t="shared" si="5"/>
        <v>3.4813112848431262</v>
      </c>
      <c r="J21" s="14">
        <f t="shared" si="6"/>
        <v>4.5114406114752157</v>
      </c>
      <c r="K21" s="13">
        <f t="shared" si="7"/>
        <v>-0.61427336506398167</v>
      </c>
      <c r="L21" s="10">
        <f t="shared" si="8"/>
        <v>-0.40512961179704049</v>
      </c>
      <c r="M21" s="10">
        <f t="shared" si="9"/>
        <v>-0.1959858585300992</v>
      </c>
      <c r="N21" s="10">
        <f t="shared" si="10"/>
        <v>1.3157894736842105E-2</v>
      </c>
      <c r="O21" s="10">
        <f t="shared" si="11"/>
        <v>0.22230164800378338</v>
      </c>
      <c r="P21" s="10">
        <f t="shared" si="12"/>
        <v>0.43144540127072467</v>
      </c>
      <c r="Q21" s="14">
        <f t="shared" si="13"/>
        <v>0.64058915453766596</v>
      </c>
    </row>
    <row r="22" spans="1:17" x14ac:dyDescent="0.25">
      <c r="A22" s="4">
        <v>45200</v>
      </c>
      <c r="B22" s="5">
        <f>IF('Catalogo de Variaveis'!I27="","",SUM('Catalogo de Variaveis'!I24:I27))</f>
        <v>3</v>
      </c>
      <c r="C22" s="15">
        <f>IFERROR(IF($B22="","",AVERAGE('Catalogo de Variaveis'!I27-'Catalogo de Variaveis'!I26,'Catalogo de Variaveis'!I26-'Catalogo de Variaveis'!I25,'Catalogo de Variaveis'!I25-'Catalogo de Variaveis'!I24,'Catalogo de Variaveis'!I24-'Catalogo de Variaveis'!I23)),0)</f>
        <v>-0.25</v>
      </c>
      <c r="D22" s="13">
        <f t="shared" si="0"/>
        <v>-1.669335348317321</v>
      </c>
      <c r="E22" s="10">
        <f t="shared" si="1"/>
        <v>-0.63920602168523155</v>
      </c>
      <c r="F22" s="10">
        <f t="shared" si="2"/>
        <v>0.3909233049468579</v>
      </c>
      <c r="G22" s="10">
        <f t="shared" si="3"/>
        <v>1.4210526315789473</v>
      </c>
      <c r="H22" s="10">
        <f t="shared" si="4"/>
        <v>2.4511819582110368</v>
      </c>
      <c r="I22" s="10">
        <f t="shared" si="5"/>
        <v>3.4813112848431262</v>
      </c>
      <c r="J22" s="14">
        <f t="shared" si="6"/>
        <v>4.5114406114752157</v>
      </c>
      <c r="K22" s="13">
        <f t="shared" si="7"/>
        <v>-0.61427336506398167</v>
      </c>
      <c r="L22" s="10">
        <f t="shared" si="8"/>
        <v>-0.40512961179704049</v>
      </c>
      <c r="M22" s="10">
        <f t="shared" si="9"/>
        <v>-0.1959858585300992</v>
      </c>
      <c r="N22" s="10">
        <f t="shared" si="10"/>
        <v>1.3157894736842105E-2</v>
      </c>
      <c r="O22" s="10">
        <f t="shared" si="11"/>
        <v>0.22230164800378338</v>
      </c>
      <c r="P22" s="10">
        <f t="shared" si="12"/>
        <v>0.43144540127072467</v>
      </c>
      <c r="Q22" s="14">
        <f t="shared" si="13"/>
        <v>0.64058915453766596</v>
      </c>
    </row>
    <row r="23" spans="1:17" x14ac:dyDescent="0.25">
      <c r="A23" s="4">
        <v>45231</v>
      </c>
      <c r="B23" s="5">
        <f>IF('Catalogo de Variaveis'!I28="","",SUM('Catalogo de Variaveis'!I25:I28))</f>
        <v>2</v>
      </c>
      <c r="C23" s="15">
        <f>IFERROR(IF($B23="","",AVERAGE('Catalogo de Variaveis'!I28-'Catalogo de Variaveis'!I27,'Catalogo de Variaveis'!I27-'Catalogo de Variaveis'!I26,'Catalogo de Variaveis'!I26-'Catalogo de Variaveis'!I25,'Catalogo de Variaveis'!I25-'Catalogo de Variaveis'!I24)),0)</f>
        <v>-0.25</v>
      </c>
      <c r="D23" s="13">
        <f t="shared" si="0"/>
        <v>-1.669335348317321</v>
      </c>
      <c r="E23" s="10">
        <f t="shared" si="1"/>
        <v>-0.63920602168523155</v>
      </c>
      <c r="F23" s="10">
        <f t="shared" si="2"/>
        <v>0.3909233049468579</v>
      </c>
      <c r="G23" s="10">
        <f t="shared" si="3"/>
        <v>1.4210526315789473</v>
      </c>
      <c r="H23" s="10">
        <f t="shared" si="4"/>
        <v>2.4511819582110368</v>
      </c>
      <c r="I23" s="10">
        <f t="shared" si="5"/>
        <v>3.4813112848431262</v>
      </c>
      <c r="J23" s="14">
        <f t="shared" si="6"/>
        <v>4.5114406114752157</v>
      </c>
      <c r="K23" s="13">
        <f t="shared" si="7"/>
        <v>-0.61427336506398167</v>
      </c>
      <c r="L23" s="10">
        <f t="shared" si="8"/>
        <v>-0.40512961179704049</v>
      </c>
      <c r="M23" s="10">
        <f t="shared" si="9"/>
        <v>-0.1959858585300992</v>
      </c>
      <c r="N23" s="10">
        <f t="shared" si="10"/>
        <v>1.3157894736842105E-2</v>
      </c>
      <c r="O23" s="10">
        <f t="shared" si="11"/>
        <v>0.22230164800378338</v>
      </c>
      <c r="P23" s="10">
        <f t="shared" si="12"/>
        <v>0.43144540127072467</v>
      </c>
      <c r="Q23" s="14">
        <f t="shared" si="13"/>
        <v>0.64058915453766596</v>
      </c>
    </row>
    <row r="24" spans="1:17" x14ac:dyDescent="0.25">
      <c r="A24" s="4">
        <v>45261</v>
      </c>
      <c r="B24" s="5">
        <f>IF('Catalogo de Variaveis'!I29="","",SUM('Catalogo de Variaveis'!I26:I29))</f>
        <v>2</v>
      </c>
      <c r="C24" s="15">
        <f>IFERROR(IF($B24="","",AVERAGE('Catalogo de Variaveis'!I29-'Catalogo de Variaveis'!I28,'Catalogo de Variaveis'!I28-'Catalogo de Variaveis'!I27,'Catalogo de Variaveis'!I27-'Catalogo de Variaveis'!I26,'Catalogo de Variaveis'!I26-'Catalogo de Variaveis'!I25)),0)</f>
        <v>0</v>
      </c>
      <c r="D24" s="13">
        <f t="shared" si="0"/>
        <v>-1.669335348317321</v>
      </c>
      <c r="E24" s="10">
        <f t="shared" si="1"/>
        <v>-0.63920602168523155</v>
      </c>
      <c r="F24" s="10">
        <f t="shared" si="2"/>
        <v>0.3909233049468579</v>
      </c>
      <c r="G24" s="10">
        <f t="shared" si="3"/>
        <v>1.4210526315789473</v>
      </c>
      <c r="H24" s="10">
        <f t="shared" si="4"/>
        <v>2.4511819582110368</v>
      </c>
      <c r="I24" s="10">
        <f t="shared" si="5"/>
        <v>3.4813112848431262</v>
      </c>
      <c r="J24" s="14">
        <f t="shared" si="6"/>
        <v>4.5114406114752157</v>
      </c>
      <c r="K24" s="13">
        <f t="shared" si="7"/>
        <v>-0.61427336506398167</v>
      </c>
      <c r="L24" s="10">
        <f t="shared" si="8"/>
        <v>-0.40512961179704049</v>
      </c>
      <c r="M24" s="10">
        <f t="shared" si="9"/>
        <v>-0.1959858585300992</v>
      </c>
      <c r="N24" s="10">
        <f t="shared" si="10"/>
        <v>1.3157894736842105E-2</v>
      </c>
      <c r="O24" s="10">
        <f t="shared" si="11"/>
        <v>0.22230164800378338</v>
      </c>
      <c r="P24" s="10">
        <f t="shared" si="12"/>
        <v>0.43144540127072467</v>
      </c>
      <c r="Q24" s="14">
        <f t="shared" si="13"/>
        <v>0.64058915453766596</v>
      </c>
    </row>
    <row r="25" spans="1:17" x14ac:dyDescent="0.25">
      <c r="A25" s="4">
        <v>45292</v>
      </c>
      <c r="B25" s="5">
        <f>IF('Catalogo de Variaveis'!I30="","",SUM('Catalogo de Variaveis'!I27:I30))</f>
        <v>1</v>
      </c>
      <c r="C25" s="15">
        <f>IFERROR(IF($B25="","",AVERAGE('Catalogo de Variaveis'!I30-'Catalogo de Variaveis'!I29,'Catalogo de Variaveis'!I29-'Catalogo de Variaveis'!I28,'Catalogo de Variaveis'!I28-'Catalogo de Variaveis'!I27,'Catalogo de Variaveis'!I27-'Catalogo de Variaveis'!I26)),0)</f>
        <v>-0.25</v>
      </c>
      <c r="D25" s="13">
        <f t="shared" si="0"/>
        <v>-1.669335348317321</v>
      </c>
      <c r="E25" s="10">
        <f t="shared" si="1"/>
        <v>-0.63920602168523155</v>
      </c>
      <c r="F25" s="10">
        <f t="shared" si="2"/>
        <v>0.3909233049468579</v>
      </c>
      <c r="G25" s="10">
        <f t="shared" si="3"/>
        <v>1.4210526315789473</v>
      </c>
      <c r="H25" s="10">
        <f t="shared" si="4"/>
        <v>2.4511819582110368</v>
      </c>
      <c r="I25" s="10">
        <f t="shared" si="5"/>
        <v>3.4813112848431262</v>
      </c>
      <c r="J25" s="14">
        <f t="shared" si="6"/>
        <v>4.5114406114752157</v>
      </c>
      <c r="K25" s="13">
        <f t="shared" si="7"/>
        <v>-0.61427336506398167</v>
      </c>
      <c r="L25" s="10">
        <f t="shared" si="8"/>
        <v>-0.40512961179704049</v>
      </c>
      <c r="M25" s="10">
        <f t="shared" si="9"/>
        <v>-0.1959858585300992</v>
      </c>
      <c r="N25" s="10">
        <f t="shared" si="10"/>
        <v>1.3157894736842105E-2</v>
      </c>
      <c r="O25" s="10">
        <f t="shared" si="11"/>
        <v>0.22230164800378338</v>
      </c>
      <c r="P25" s="10">
        <f t="shared" si="12"/>
        <v>0.43144540127072467</v>
      </c>
      <c r="Q25" s="14">
        <f t="shared" si="13"/>
        <v>0.64058915453766596</v>
      </c>
    </row>
    <row r="26" spans="1:17" x14ac:dyDescent="0.25">
      <c r="A26" s="4">
        <v>45323</v>
      </c>
      <c r="B26" s="5">
        <f>IF('Catalogo de Variaveis'!I31="","",SUM('Catalogo de Variaveis'!I28:I31))</f>
        <v>0</v>
      </c>
      <c r="C26" s="15">
        <f>IFERROR(IF($B26="","",AVERAGE('Catalogo de Variaveis'!I31-'Catalogo de Variaveis'!I30,'Catalogo de Variaveis'!I30-'Catalogo de Variaveis'!I29,'Catalogo de Variaveis'!I29-'Catalogo de Variaveis'!I28,'Catalogo de Variaveis'!I28-'Catalogo de Variaveis'!I27)),0)</f>
        <v>-0.25</v>
      </c>
      <c r="D26" s="13">
        <f t="shared" si="0"/>
        <v>-1.669335348317321</v>
      </c>
      <c r="E26" s="10">
        <f t="shared" si="1"/>
        <v>-0.63920602168523155</v>
      </c>
      <c r="F26" s="10">
        <f t="shared" si="2"/>
        <v>0.3909233049468579</v>
      </c>
      <c r="G26" s="10">
        <f t="shared" si="3"/>
        <v>1.4210526315789473</v>
      </c>
      <c r="H26" s="10">
        <f t="shared" si="4"/>
        <v>2.4511819582110368</v>
      </c>
      <c r="I26" s="10">
        <f t="shared" si="5"/>
        <v>3.4813112848431262</v>
      </c>
      <c r="J26" s="14">
        <f t="shared" si="6"/>
        <v>4.5114406114752157</v>
      </c>
      <c r="K26" s="13">
        <f t="shared" si="7"/>
        <v>-0.61427336506398167</v>
      </c>
      <c r="L26" s="10">
        <f t="shared" si="8"/>
        <v>-0.40512961179704049</v>
      </c>
      <c r="M26" s="10">
        <f t="shared" si="9"/>
        <v>-0.1959858585300992</v>
      </c>
      <c r="N26" s="10">
        <f t="shared" si="10"/>
        <v>1.3157894736842105E-2</v>
      </c>
      <c r="O26" s="10">
        <f t="shared" si="11"/>
        <v>0.22230164800378338</v>
      </c>
      <c r="P26" s="10">
        <f t="shared" si="12"/>
        <v>0.43144540127072467</v>
      </c>
      <c r="Q26" s="14">
        <f t="shared" si="13"/>
        <v>0.64058915453766596</v>
      </c>
    </row>
    <row r="27" spans="1:17" x14ac:dyDescent="0.25">
      <c r="A27" s="4">
        <v>45352</v>
      </c>
      <c r="B27" s="5">
        <f>IF('Catalogo de Variaveis'!I32="","",SUM('Catalogo de Variaveis'!I29:I32))</f>
        <v>0</v>
      </c>
      <c r="C27" s="15">
        <f>IFERROR(IF($B27="","",AVERAGE('Catalogo de Variaveis'!I32-'Catalogo de Variaveis'!I31,'Catalogo de Variaveis'!I31-'Catalogo de Variaveis'!I30,'Catalogo de Variaveis'!I30-'Catalogo de Variaveis'!I29,'Catalogo de Variaveis'!I29-'Catalogo de Variaveis'!I28)),0)</f>
        <v>0</v>
      </c>
      <c r="D27" s="13">
        <f t="shared" si="0"/>
        <v>-1.669335348317321</v>
      </c>
      <c r="E27" s="10">
        <f t="shared" si="1"/>
        <v>-0.63920602168523155</v>
      </c>
      <c r="F27" s="10">
        <f t="shared" si="2"/>
        <v>0.3909233049468579</v>
      </c>
      <c r="G27" s="10">
        <f t="shared" si="3"/>
        <v>1.4210526315789473</v>
      </c>
      <c r="H27" s="10">
        <f t="shared" si="4"/>
        <v>2.4511819582110368</v>
      </c>
      <c r="I27" s="10">
        <f t="shared" si="5"/>
        <v>3.4813112848431262</v>
      </c>
      <c r="J27" s="14">
        <f t="shared" si="6"/>
        <v>4.5114406114752157</v>
      </c>
      <c r="K27" s="13">
        <f t="shared" si="7"/>
        <v>-0.61427336506398167</v>
      </c>
      <c r="L27" s="10">
        <f t="shared" si="8"/>
        <v>-0.40512961179704049</v>
      </c>
      <c r="M27" s="10">
        <f t="shared" si="9"/>
        <v>-0.1959858585300992</v>
      </c>
      <c r="N27" s="10">
        <f t="shared" si="10"/>
        <v>1.3157894736842105E-2</v>
      </c>
      <c r="O27" s="10">
        <f t="shared" si="11"/>
        <v>0.22230164800378338</v>
      </c>
      <c r="P27" s="10">
        <f t="shared" si="12"/>
        <v>0.43144540127072467</v>
      </c>
      <c r="Q27" s="14">
        <f t="shared" si="13"/>
        <v>0.64058915453766596</v>
      </c>
    </row>
    <row r="28" spans="1:17" x14ac:dyDescent="0.25">
      <c r="A28" s="4">
        <v>45383</v>
      </c>
      <c r="B28" s="5">
        <f>IF('Catalogo de Variaveis'!I33="","",SUM('Catalogo de Variaveis'!I30:I33))</f>
        <v>0</v>
      </c>
      <c r="C28" s="15">
        <f>IFERROR(IF($B28="","",AVERAGE('Catalogo de Variaveis'!I33-'Catalogo de Variaveis'!I32,'Catalogo de Variaveis'!I32-'Catalogo de Variaveis'!I31,'Catalogo de Variaveis'!I31-'Catalogo de Variaveis'!I30,'Catalogo de Variaveis'!I30-'Catalogo de Variaveis'!I29)),0)</f>
        <v>0</v>
      </c>
      <c r="D28" s="13">
        <f t="shared" si="0"/>
        <v>-1.669335348317321</v>
      </c>
      <c r="E28" s="10">
        <f t="shared" si="1"/>
        <v>-0.63920602168523155</v>
      </c>
      <c r="F28" s="10">
        <f t="shared" si="2"/>
        <v>0.3909233049468579</v>
      </c>
      <c r="G28" s="10">
        <f t="shared" si="3"/>
        <v>1.4210526315789473</v>
      </c>
      <c r="H28" s="10">
        <f t="shared" si="4"/>
        <v>2.4511819582110368</v>
      </c>
      <c r="I28" s="10">
        <f t="shared" si="5"/>
        <v>3.4813112848431262</v>
      </c>
      <c r="J28" s="14">
        <f t="shared" si="6"/>
        <v>4.5114406114752157</v>
      </c>
      <c r="K28" s="13">
        <f t="shared" si="7"/>
        <v>-0.61427336506398167</v>
      </c>
      <c r="L28" s="10">
        <f t="shared" si="8"/>
        <v>-0.40512961179704049</v>
      </c>
      <c r="M28" s="10">
        <f t="shared" si="9"/>
        <v>-0.1959858585300992</v>
      </c>
      <c r="N28" s="10">
        <f t="shared" si="10"/>
        <v>1.3157894736842105E-2</v>
      </c>
      <c r="O28" s="10">
        <f t="shared" si="11"/>
        <v>0.22230164800378338</v>
      </c>
      <c r="P28" s="10">
        <f t="shared" si="12"/>
        <v>0.43144540127072467</v>
      </c>
      <c r="Q28" s="14">
        <f t="shared" si="13"/>
        <v>0.64058915453766596</v>
      </c>
    </row>
    <row r="29" spans="1:17" x14ac:dyDescent="0.25">
      <c r="A29" s="4">
        <v>45413</v>
      </c>
      <c r="B29" s="5">
        <f>IF('Catalogo de Variaveis'!I34="","",SUM('Catalogo de Variaveis'!I31:I34))</f>
        <v>1</v>
      </c>
      <c r="C29" s="15">
        <f>IFERROR(IF($B29="","",AVERAGE('Catalogo de Variaveis'!I34-'Catalogo de Variaveis'!I33,'Catalogo de Variaveis'!I33-'Catalogo de Variaveis'!I32,'Catalogo de Variaveis'!I32-'Catalogo de Variaveis'!I31,'Catalogo de Variaveis'!I31-'Catalogo de Variaveis'!I30)),0)</f>
        <v>0.25</v>
      </c>
      <c r="D29" s="13">
        <f t="shared" si="0"/>
        <v>-1.669335348317321</v>
      </c>
      <c r="E29" s="10">
        <f t="shared" si="1"/>
        <v>-0.63920602168523155</v>
      </c>
      <c r="F29" s="10">
        <f t="shared" si="2"/>
        <v>0.3909233049468579</v>
      </c>
      <c r="G29" s="10">
        <f t="shared" si="3"/>
        <v>1.4210526315789473</v>
      </c>
      <c r="H29" s="10">
        <f t="shared" si="4"/>
        <v>2.4511819582110368</v>
      </c>
      <c r="I29" s="10">
        <f t="shared" si="5"/>
        <v>3.4813112848431262</v>
      </c>
      <c r="J29" s="14">
        <f t="shared" si="6"/>
        <v>4.5114406114752157</v>
      </c>
      <c r="K29" s="13">
        <f t="shared" si="7"/>
        <v>-0.61427336506398167</v>
      </c>
      <c r="L29" s="10">
        <f t="shared" si="8"/>
        <v>-0.40512961179704049</v>
      </c>
      <c r="M29" s="10">
        <f t="shared" si="9"/>
        <v>-0.1959858585300992</v>
      </c>
      <c r="N29" s="10">
        <f t="shared" si="10"/>
        <v>1.3157894736842105E-2</v>
      </c>
      <c r="O29" s="10">
        <f t="shared" si="11"/>
        <v>0.22230164800378338</v>
      </c>
      <c r="P29" s="10">
        <f t="shared" si="12"/>
        <v>0.43144540127072467</v>
      </c>
      <c r="Q29" s="14">
        <f t="shared" si="13"/>
        <v>0.64058915453766596</v>
      </c>
    </row>
    <row r="30" spans="1:17" x14ac:dyDescent="0.25">
      <c r="A30" s="4">
        <v>45444</v>
      </c>
      <c r="B30" s="5">
        <f>IF('Catalogo de Variaveis'!I35="","",SUM('Catalogo de Variaveis'!I32:I35))</f>
        <v>1</v>
      </c>
      <c r="C30" s="15">
        <f>IFERROR(IF($B30="","",AVERAGE('Catalogo de Variaveis'!I35-'Catalogo de Variaveis'!I34,'Catalogo de Variaveis'!I34-'Catalogo de Variaveis'!I33,'Catalogo de Variaveis'!I33-'Catalogo de Variaveis'!I32,'Catalogo de Variaveis'!I32-'Catalogo de Variaveis'!I31)),0)</f>
        <v>0</v>
      </c>
      <c r="D30" s="13">
        <f>IF($B30="","",IF(OR($J$1="",$J$2=""),$B$1-3*$B$2,$J$1-3*$J$2))</f>
        <v>-1.669335348317321</v>
      </c>
      <c r="E30" s="10">
        <f>IF($B30="","",IF(OR($J$1="",$J$2=""),$B$1-2*$B$2,$J$1-2*$J$2))</f>
        <v>-0.63920602168523155</v>
      </c>
      <c r="F30" s="10">
        <f>IF($B30="","",IF(OR($J$1="",$J$2=""),$B$1-$B$2,$J$1-$J$2))</f>
        <v>0.3909233049468579</v>
      </c>
      <c r="G30" s="10">
        <f>IF($B30="","",IF(OR($J$1="",$J$2=""),$B$1,$J$1))</f>
        <v>1.4210526315789473</v>
      </c>
      <c r="H30" s="10">
        <f>IF($B30="","",IF(OR($J$1="",$J$2=""),$B$1+$B$2,$J$1+$J$2))</f>
        <v>2.4511819582110368</v>
      </c>
      <c r="I30" s="10">
        <f>IF($B30="","",IF(OR($J$1="",$J$2=""),$B$1+2*$B$2,$J$1+2*$J$2))</f>
        <v>3.4813112848431262</v>
      </c>
      <c r="J30" s="14">
        <f>IF($B30="","",IF(OR($J$1="",$J$2=""),$B$1+3*$B$2,$J$1+3*$J$2))</f>
        <v>4.5114406114752157</v>
      </c>
      <c r="K30" s="13">
        <f t="shared" si="7"/>
        <v>-0.61427336506398167</v>
      </c>
      <c r="L30" s="10">
        <f t="shared" si="8"/>
        <v>-0.40512961179704049</v>
      </c>
      <c r="M30" s="10">
        <f t="shared" si="9"/>
        <v>-0.1959858585300992</v>
      </c>
      <c r="N30" s="10">
        <f t="shared" si="10"/>
        <v>1.3157894736842105E-2</v>
      </c>
      <c r="O30" s="10">
        <f t="shared" si="11"/>
        <v>0.22230164800378338</v>
      </c>
      <c r="P30" s="10">
        <f t="shared" si="12"/>
        <v>0.43144540127072467</v>
      </c>
      <c r="Q30" s="14">
        <f t="shared" si="13"/>
        <v>0.64058915453766596</v>
      </c>
    </row>
    <row r="31" spans="1:17" x14ac:dyDescent="0.25">
      <c r="A31" s="4">
        <v>45474</v>
      </c>
      <c r="B31" s="5">
        <f>IF('Catalogo de Variaveis'!I36="","",SUM('Catalogo de Variaveis'!I33:I36))</f>
        <v>1</v>
      </c>
      <c r="C31" s="15">
        <f>IFERROR(IF($B31="","",AVERAGE('Catalogo de Variaveis'!I36-'Catalogo de Variaveis'!I35,'Catalogo de Variaveis'!I35-'Catalogo de Variaveis'!I34,'Catalogo de Variaveis'!I34-'Catalogo de Variaveis'!I33,'Catalogo de Variaveis'!I33-'Catalogo de Variaveis'!I32)),0)</f>
        <v>0</v>
      </c>
      <c r="D31" s="13">
        <f t="shared" si="0"/>
        <v>-1.669335348317321</v>
      </c>
      <c r="E31" s="10">
        <f t="shared" ref="E31:E94" si="14">IF($B31="","",IF(OR($J$1="",$J$2=""),$B$1-2*$B$2,$J$1-2*$J$2))</f>
        <v>-0.63920602168523155</v>
      </c>
      <c r="F31" s="10">
        <f t="shared" ref="F31:F94" si="15">IF($B31="","",IF(OR($J$1="",$J$2=""),$B$1-$B$2,$J$1-$J$2))</f>
        <v>0.3909233049468579</v>
      </c>
      <c r="G31" s="10">
        <f t="shared" si="3"/>
        <v>1.4210526315789473</v>
      </c>
      <c r="H31" s="10">
        <f t="shared" ref="H31:H94" si="16">IF($B31="","",IF(OR($J$1="",$J$2=""),$B$1+$B$2,$J$1+$J$2))</f>
        <v>2.4511819582110368</v>
      </c>
      <c r="I31" s="10">
        <f t="shared" si="5"/>
        <v>3.4813112848431262</v>
      </c>
      <c r="J31" s="14">
        <f t="shared" ref="J31:J94" si="17">IF($B31="","",IF(OR($J$1="",$J$2=""),$B$1+3*$B$2,$J$1+3*$J$2))</f>
        <v>4.5114406114752157</v>
      </c>
      <c r="K31" s="13">
        <f t="shared" si="7"/>
        <v>-0.61427336506398167</v>
      </c>
      <c r="L31" s="10">
        <f t="shared" si="8"/>
        <v>-0.40512961179704049</v>
      </c>
      <c r="M31" s="10">
        <f t="shared" si="9"/>
        <v>-0.1959858585300992</v>
      </c>
      <c r="N31" s="10">
        <f t="shared" si="10"/>
        <v>1.3157894736842105E-2</v>
      </c>
      <c r="O31" s="10">
        <f t="shared" si="11"/>
        <v>0.22230164800378338</v>
      </c>
      <c r="P31" s="10">
        <f t="shared" si="12"/>
        <v>0.43144540127072467</v>
      </c>
      <c r="Q31" s="14">
        <f t="shared" si="13"/>
        <v>0.64058915453766596</v>
      </c>
    </row>
    <row r="32" spans="1:17" x14ac:dyDescent="0.25">
      <c r="A32" s="4">
        <v>45505</v>
      </c>
      <c r="B32" s="5">
        <f>IF('Catalogo de Variaveis'!I37="","",SUM('Catalogo de Variaveis'!I34:I37))</f>
        <v>2</v>
      </c>
      <c r="C32" s="15">
        <f>IFERROR(IF($B32="","",AVERAGE('Catalogo de Variaveis'!I37-'Catalogo de Variaveis'!I36,'Catalogo de Variaveis'!I36-'Catalogo de Variaveis'!I35,'Catalogo de Variaveis'!I35-'Catalogo de Variaveis'!I34,'Catalogo de Variaveis'!I34-'Catalogo de Variaveis'!I33)),0)</f>
        <v>0.25</v>
      </c>
      <c r="D32" s="13">
        <f t="shared" si="0"/>
        <v>-1.669335348317321</v>
      </c>
      <c r="E32" s="10">
        <f t="shared" si="14"/>
        <v>-0.63920602168523155</v>
      </c>
      <c r="F32" s="10">
        <f t="shared" si="15"/>
        <v>0.3909233049468579</v>
      </c>
      <c r="G32" s="10">
        <f t="shared" si="3"/>
        <v>1.4210526315789473</v>
      </c>
      <c r="H32" s="10">
        <f t="shared" si="16"/>
        <v>2.4511819582110368</v>
      </c>
      <c r="I32" s="10">
        <f t="shared" si="5"/>
        <v>3.4813112848431262</v>
      </c>
      <c r="J32" s="14">
        <f t="shared" si="17"/>
        <v>4.5114406114752157</v>
      </c>
      <c r="K32" s="13">
        <f t="shared" si="7"/>
        <v>-0.61427336506398167</v>
      </c>
      <c r="L32" s="10">
        <f t="shared" si="8"/>
        <v>-0.40512961179704049</v>
      </c>
      <c r="M32" s="10">
        <f t="shared" si="9"/>
        <v>-0.1959858585300992</v>
      </c>
      <c r="N32" s="10">
        <f t="shared" si="10"/>
        <v>1.3157894736842105E-2</v>
      </c>
      <c r="O32" s="10">
        <f t="shared" si="11"/>
        <v>0.22230164800378338</v>
      </c>
      <c r="P32" s="10">
        <f t="shared" si="12"/>
        <v>0.43144540127072467</v>
      </c>
      <c r="Q32" s="14">
        <f t="shared" si="13"/>
        <v>0.64058915453766596</v>
      </c>
    </row>
    <row r="33" spans="1:17" x14ac:dyDescent="0.25">
      <c r="A33" s="4">
        <v>45536</v>
      </c>
      <c r="B33" s="5">
        <f>IF('Catalogo de Variaveis'!I38="","",SUM('Catalogo de Variaveis'!I35:I38))</f>
        <v>2</v>
      </c>
      <c r="C33" s="15">
        <f>IFERROR(IF($B33="","",AVERAGE('Catalogo de Variaveis'!I38-'Catalogo de Variaveis'!I37,'Catalogo de Variaveis'!I37-'Catalogo de Variaveis'!I36,'Catalogo de Variaveis'!I36-'Catalogo de Variaveis'!I35,'Catalogo de Variaveis'!I35-'Catalogo de Variaveis'!I34)),0)</f>
        <v>0</v>
      </c>
      <c r="D33" s="13">
        <f t="shared" si="0"/>
        <v>-1.669335348317321</v>
      </c>
      <c r="E33" s="10">
        <f t="shared" si="14"/>
        <v>-0.63920602168523155</v>
      </c>
      <c r="F33" s="10">
        <f t="shared" si="15"/>
        <v>0.3909233049468579</v>
      </c>
      <c r="G33" s="10">
        <f t="shared" si="3"/>
        <v>1.4210526315789473</v>
      </c>
      <c r="H33" s="10">
        <f t="shared" si="16"/>
        <v>2.4511819582110368</v>
      </c>
      <c r="I33" s="10">
        <f t="shared" si="5"/>
        <v>3.4813112848431262</v>
      </c>
      <c r="J33" s="14">
        <f t="shared" si="17"/>
        <v>4.5114406114752157</v>
      </c>
      <c r="K33" s="13">
        <f t="shared" si="7"/>
        <v>-0.61427336506398167</v>
      </c>
      <c r="L33" s="10">
        <f t="shared" si="8"/>
        <v>-0.40512961179704049</v>
      </c>
      <c r="M33" s="10">
        <f t="shared" si="9"/>
        <v>-0.1959858585300992</v>
      </c>
      <c r="N33" s="10">
        <f t="shared" si="10"/>
        <v>1.3157894736842105E-2</v>
      </c>
      <c r="O33" s="10">
        <f t="shared" si="11"/>
        <v>0.22230164800378338</v>
      </c>
      <c r="P33" s="10">
        <f t="shared" si="12"/>
        <v>0.43144540127072467</v>
      </c>
      <c r="Q33" s="14">
        <f t="shared" si="13"/>
        <v>0.64058915453766596</v>
      </c>
    </row>
    <row r="34" spans="1:17" x14ac:dyDescent="0.25">
      <c r="A34" s="4">
        <v>45566</v>
      </c>
      <c r="B34" s="5">
        <f>IF('Catalogo de Variaveis'!I39="","",SUM('Catalogo de Variaveis'!I36:I39))</f>
        <v>2</v>
      </c>
      <c r="C34" s="15">
        <f>IFERROR(IF($B34="","",AVERAGE('Catalogo de Variaveis'!I39-'Catalogo de Variaveis'!I38,'Catalogo de Variaveis'!I38-'Catalogo de Variaveis'!I37,'Catalogo de Variaveis'!I37-'Catalogo de Variaveis'!I36,'Catalogo de Variaveis'!I36-'Catalogo de Variaveis'!I35)),0)</f>
        <v>0</v>
      </c>
      <c r="D34" s="13">
        <f t="shared" si="0"/>
        <v>-1.669335348317321</v>
      </c>
      <c r="E34" s="10">
        <f t="shared" si="14"/>
        <v>-0.63920602168523155</v>
      </c>
      <c r="F34" s="10">
        <f t="shared" si="15"/>
        <v>0.3909233049468579</v>
      </c>
      <c r="G34" s="10">
        <f t="shared" si="3"/>
        <v>1.4210526315789473</v>
      </c>
      <c r="H34" s="10">
        <f t="shared" si="16"/>
        <v>2.4511819582110368</v>
      </c>
      <c r="I34" s="10">
        <f t="shared" si="5"/>
        <v>3.4813112848431262</v>
      </c>
      <c r="J34" s="14">
        <f t="shared" si="17"/>
        <v>4.5114406114752157</v>
      </c>
      <c r="K34" s="13">
        <f t="shared" si="7"/>
        <v>-0.61427336506398167</v>
      </c>
      <c r="L34" s="10">
        <f t="shared" si="8"/>
        <v>-0.40512961179704049</v>
      </c>
      <c r="M34" s="10">
        <f t="shared" si="9"/>
        <v>-0.1959858585300992</v>
      </c>
      <c r="N34" s="10">
        <f t="shared" si="10"/>
        <v>1.3157894736842105E-2</v>
      </c>
      <c r="O34" s="10">
        <f t="shared" si="11"/>
        <v>0.22230164800378338</v>
      </c>
      <c r="P34" s="10">
        <f t="shared" si="12"/>
        <v>0.43144540127072467</v>
      </c>
      <c r="Q34" s="14">
        <f t="shared" si="13"/>
        <v>0.64058915453766596</v>
      </c>
    </row>
    <row r="35" spans="1:17" x14ac:dyDescent="0.25">
      <c r="A35" s="4">
        <v>45597</v>
      </c>
      <c r="B35" s="5">
        <f>IF('Catalogo de Variaveis'!I40="","",SUM('Catalogo de Variaveis'!I37:I40))</f>
        <v>2</v>
      </c>
      <c r="C35" s="15">
        <f>IFERROR(IF($B35="","",AVERAGE('Catalogo de Variaveis'!I40-'Catalogo de Variaveis'!I39,'Catalogo de Variaveis'!I39-'Catalogo de Variaveis'!I38,'Catalogo de Variaveis'!I38-'Catalogo de Variaveis'!I37,'Catalogo de Variaveis'!I37-'Catalogo de Variaveis'!I36)),0)</f>
        <v>0</v>
      </c>
      <c r="D35" s="13">
        <f t="shared" si="0"/>
        <v>-1.669335348317321</v>
      </c>
      <c r="E35" s="10">
        <f t="shared" si="14"/>
        <v>-0.63920602168523155</v>
      </c>
      <c r="F35" s="10">
        <f t="shared" si="15"/>
        <v>0.3909233049468579</v>
      </c>
      <c r="G35" s="10">
        <f t="shared" si="3"/>
        <v>1.4210526315789473</v>
      </c>
      <c r="H35" s="10">
        <f t="shared" si="16"/>
        <v>2.4511819582110368</v>
      </c>
      <c r="I35" s="10">
        <f t="shared" si="5"/>
        <v>3.4813112848431262</v>
      </c>
      <c r="J35" s="14">
        <f t="shared" si="17"/>
        <v>4.5114406114752157</v>
      </c>
      <c r="K35" s="13">
        <f t="shared" si="7"/>
        <v>-0.61427336506398167</v>
      </c>
      <c r="L35" s="10">
        <f t="shared" si="8"/>
        <v>-0.40512961179704049</v>
      </c>
      <c r="M35" s="10">
        <f t="shared" si="9"/>
        <v>-0.1959858585300992</v>
      </c>
      <c r="N35" s="10">
        <f t="shared" si="10"/>
        <v>1.3157894736842105E-2</v>
      </c>
      <c r="O35" s="10">
        <f t="shared" si="11"/>
        <v>0.22230164800378338</v>
      </c>
      <c r="P35" s="10">
        <f t="shared" si="12"/>
        <v>0.43144540127072467</v>
      </c>
      <c r="Q35" s="14">
        <f t="shared" si="13"/>
        <v>0.64058915453766596</v>
      </c>
    </row>
    <row r="36" spans="1:17" x14ac:dyDescent="0.25">
      <c r="A36" s="4">
        <v>45627</v>
      </c>
      <c r="B36" s="5">
        <f>IF('Catalogo de Variaveis'!I41="","",SUM('Catalogo de Variaveis'!I38:I41))</f>
        <v>1</v>
      </c>
      <c r="C36" s="15">
        <f>IFERROR(IF($B36="","",AVERAGE('Catalogo de Variaveis'!I41-'Catalogo de Variaveis'!I40,'Catalogo de Variaveis'!I40-'Catalogo de Variaveis'!I39,'Catalogo de Variaveis'!I39-'Catalogo de Variaveis'!I38,'Catalogo de Variaveis'!I38-'Catalogo de Variaveis'!I37)),0)</f>
        <v>-0.25</v>
      </c>
      <c r="D36" s="13">
        <f t="shared" si="0"/>
        <v>-1.669335348317321</v>
      </c>
      <c r="E36" s="10">
        <f t="shared" si="14"/>
        <v>-0.63920602168523155</v>
      </c>
      <c r="F36" s="10">
        <f t="shared" si="15"/>
        <v>0.3909233049468579</v>
      </c>
      <c r="G36" s="10">
        <f t="shared" si="3"/>
        <v>1.4210526315789473</v>
      </c>
      <c r="H36" s="10">
        <f t="shared" si="16"/>
        <v>2.4511819582110368</v>
      </c>
      <c r="I36" s="10">
        <f t="shared" si="5"/>
        <v>3.4813112848431262</v>
      </c>
      <c r="J36" s="14">
        <f t="shared" si="17"/>
        <v>4.5114406114752157</v>
      </c>
      <c r="K36" s="13">
        <f t="shared" si="7"/>
        <v>-0.61427336506398167</v>
      </c>
      <c r="L36" s="10">
        <f t="shared" si="8"/>
        <v>-0.40512961179704049</v>
      </c>
      <c r="M36" s="10">
        <f t="shared" si="9"/>
        <v>-0.1959858585300992</v>
      </c>
      <c r="N36" s="10">
        <f t="shared" si="10"/>
        <v>1.3157894736842105E-2</v>
      </c>
      <c r="O36" s="10">
        <f t="shared" si="11"/>
        <v>0.22230164800378338</v>
      </c>
      <c r="P36" s="10">
        <f t="shared" si="12"/>
        <v>0.43144540127072467</v>
      </c>
      <c r="Q36" s="14">
        <f t="shared" si="13"/>
        <v>0.64058915453766596</v>
      </c>
    </row>
    <row r="37" spans="1:17" x14ac:dyDescent="0.25">
      <c r="A37" s="4">
        <v>45658</v>
      </c>
      <c r="B37" s="5">
        <f>IF('Catalogo de Variaveis'!I42="","",SUM('Catalogo de Variaveis'!I39:I42))</f>
        <v>1</v>
      </c>
      <c r="C37" s="15">
        <f>IFERROR(IF($B37="","",AVERAGE('Catalogo de Variaveis'!I42-'Catalogo de Variaveis'!I41,'Catalogo de Variaveis'!I41-'Catalogo de Variaveis'!I40,'Catalogo de Variaveis'!I40-'Catalogo de Variaveis'!I39,'Catalogo de Variaveis'!I39-'Catalogo de Variaveis'!I38)),0)</f>
        <v>0</v>
      </c>
      <c r="D37" s="13">
        <f t="shared" si="0"/>
        <v>-1.669335348317321</v>
      </c>
      <c r="E37" s="10">
        <f t="shared" si="14"/>
        <v>-0.63920602168523155</v>
      </c>
      <c r="F37" s="10">
        <f t="shared" si="15"/>
        <v>0.3909233049468579</v>
      </c>
      <c r="G37" s="10">
        <f t="shared" si="3"/>
        <v>1.4210526315789473</v>
      </c>
      <c r="H37" s="10">
        <f t="shared" si="16"/>
        <v>2.4511819582110368</v>
      </c>
      <c r="I37" s="10">
        <f t="shared" si="5"/>
        <v>3.4813112848431262</v>
      </c>
      <c r="J37" s="14">
        <f t="shared" si="17"/>
        <v>4.5114406114752157</v>
      </c>
      <c r="K37" s="13">
        <f t="shared" si="7"/>
        <v>-0.61427336506398167</v>
      </c>
      <c r="L37" s="10">
        <f t="shared" si="8"/>
        <v>-0.40512961179704049</v>
      </c>
      <c r="M37" s="10">
        <f t="shared" si="9"/>
        <v>-0.1959858585300992</v>
      </c>
      <c r="N37" s="10">
        <f t="shared" si="10"/>
        <v>1.3157894736842105E-2</v>
      </c>
      <c r="O37" s="10">
        <f t="shared" si="11"/>
        <v>0.22230164800378338</v>
      </c>
      <c r="P37" s="10">
        <f t="shared" si="12"/>
        <v>0.43144540127072467</v>
      </c>
      <c r="Q37" s="14">
        <f t="shared" si="13"/>
        <v>0.64058915453766596</v>
      </c>
    </row>
    <row r="38" spans="1:17" x14ac:dyDescent="0.25">
      <c r="A38" s="4">
        <v>45689</v>
      </c>
      <c r="B38" s="5">
        <f>IF('Catalogo de Variaveis'!I43="","",SUM('Catalogo de Variaveis'!I40:I43))</f>
        <v>1</v>
      </c>
      <c r="C38" s="15">
        <f>IFERROR(IF($B38="","",AVERAGE('Catalogo de Variaveis'!I43-'Catalogo de Variaveis'!I42,'Catalogo de Variaveis'!I42-'Catalogo de Variaveis'!I41,'Catalogo de Variaveis'!I41-'Catalogo de Variaveis'!I40,'Catalogo de Variaveis'!I40-'Catalogo de Variaveis'!I39)),0)</f>
        <v>0</v>
      </c>
      <c r="D38" s="13">
        <f t="shared" si="0"/>
        <v>-1.669335348317321</v>
      </c>
      <c r="E38" s="10">
        <f t="shared" si="14"/>
        <v>-0.63920602168523155</v>
      </c>
      <c r="F38" s="10">
        <f t="shared" si="15"/>
        <v>0.3909233049468579</v>
      </c>
      <c r="G38" s="10">
        <f t="shared" si="3"/>
        <v>1.4210526315789473</v>
      </c>
      <c r="H38" s="10">
        <f t="shared" si="16"/>
        <v>2.4511819582110368</v>
      </c>
      <c r="I38" s="10">
        <f t="shared" si="5"/>
        <v>3.4813112848431262</v>
      </c>
      <c r="J38" s="14">
        <f t="shared" si="17"/>
        <v>4.5114406114752157</v>
      </c>
      <c r="K38" s="13">
        <f t="shared" si="7"/>
        <v>-0.61427336506398167</v>
      </c>
      <c r="L38" s="10">
        <f t="shared" si="8"/>
        <v>-0.40512961179704049</v>
      </c>
      <c r="M38" s="10">
        <f t="shared" si="9"/>
        <v>-0.1959858585300992</v>
      </c>
      <c r="N38" s="10">
        <f t="shared" si="10"/>
        <v>1.3157894736842105E-2</v>
      </c>
      <c r="O38" s="10">
        <f t="shared" si="11"/>
        <v>0.22230164800378338</v>
      </c>
      <c r="P38" s="10">
        <f t="shared" si="12"/>
        <v>0.43144540127072467</v>
      </c>
      <c r="Q38" s="14">
        <f t="shared" si="13"/>
        <v>0.64058915453766596</v>
      </c>
    </row>
    <row r="39" spans="1:17" x14ac:dyDescent="0.25">
      <c r="A39" s="4">
        <v>45717</v>
      </c>
      <c r="B39" s="5">
        <f>IF('Catalogo de Variaveis'!I44="","",SUM('Catalogo de Variaveis'!I41:I44))</f>
        <v>2</v>
      </c>
      <c r="C39" s="15">
        <f>IFERROR(IF($B39="","",AVERAGE('Catalogo de Variaveis'!I44-'Catalogo de Variaveis'!I43,'Catalogo de Variaveis'!I43-'Catalogo de Variaveis'!I42,'Catalogo de Variaveis'!I42-'Catalogo de Variaveis'!I41,'Catalogo de Variaveis'!I41-'Catalogo de Variaveis'!I40)),0)</f>
        <v>0.25</v>
      </c>
      <c r="D39" s="13">
        <f t="shared" si="0"/>
        <v>-1.669335348317321</v>
      </c>
      <c r="E39" s="10">
        <f t="shared" si="14"/>
        <v>-0.63920602168523155</v>
      </c>
      <c r="F39" s="10">
        <f t="shared" si="15"/>
        <v>0.3909233049468579</v>
      </c>
      <c r="G39" s="10">
        <f t="shared" si="3"/>
        <v>1.4210526315789473</v>
      </c>
      <c r="H39" s="10">
        <f t="shared" si="16"/>
        <v>2.4511819582110368</v>
      </c>
      <c r="I39" s="10">
        <f t="shared" si="5"/>
        <v>3.4813112848431262</v>
      </c>
      <c r="J39" s="14">
        <f t="shared" si="17"/>
        <v>4.5114406114752157</v>
      </c>
      <c r="K39" s="13">
        <f t="shared" si="7"/>
        <v>-0.61427336506398167</v>
      </c>
      <c r="L39" s="10">
        <f t="shared" si="8"/>
        <v>-0.40512961179704049</v>
      </c>
      <c r="M39" s="10">
        <f t="shared" si="9"/>
        <v>-0.1959858585300992</v>
      </c>
      <c r="N39" s="10">
        <f t="shared" si="10"/>
        <v>1.3157894736842105E-2</v>
      </c>
      <c r="O39" s="10">
        <f t="shared" si="11"/>
        <v>0.22230164800378338</v>
      </c>
      <c r="P39" s="10">
        <f t="shared" si="12"/>
        <v>0.43144540127072467</v>
      </c>
      <c r="Q39" s="14">
        <f t="shared" si="13"/>
        <v>0.64058915453766596</v>
      </c>
    </row>
    <row r="40" spans="1:17" x14ac:dyDescent="0.25">
      <c r="A40" s="4">
        <v>45748</v>
      </c>
      <c r="B40" s="5">
        <f>IF('Catalogo de Variaveis'!I45="","",SUM('Catalogo de Variaveis'!I42:I45))</f>
        <v>3</v>
      </c>
      <c r="C40" s="15">
        <f>IFERROR(IF($B40="","",AVERAGE('Catalogo de Variaveis'!I45-'Catalogo de Variaveis'!I44,'Catalogo de Variaveis'!I44-'Catalogo de Variaveis'!I43,'Catalogo de Variaveis'!I43-'Catalogo de Variaveis'!I42,'Catalogo de Variaveis'!I42-'Catalogo de Variaveis'!I41)),0)</f>
        <v>0.25</v>
      </c>
      <c r="D40" s="13">
        <f t="shared" si="0"/>
        <v>-1.669335348317321</v>
      </c>
      <c r="E40" s="10">
        <f t="shared" si="14"/>
        <v>-0.63920602168523155</v>
      </c>
      <c r="F40" s="10">
        <f t="shared" si="15"/>
        <v>0.3909233049468579</v>
      </c>
      <c r="G40" s="10">
        <f t="shared" si="3"/>
        <v>1.4210526315789473</v>
      </c>
      <c r="H40" s="10">
        <f t="shared" si="16"/>
        <v>2.4511819582110368</v>
      </c>
      <c r="I40" s="10">
        <f t="shared" si="5"/>
        <v>3.4813112848431262</v>
      </c>
      <c r="J40" s="14">
        <f t="shared" si="17"/>
        <v>4.5114406114752157</v>
      </c>
      <c r="K40" s="13">
        <f t="shared" si="7"/>
        <v>-0.61427336506398167</v>
      </c>
      <c r="L40" s="10">
        <f t="shared" si="8"/>
        <v>-0.40512961179704049</v>
      </c>
      <c r="M40" s="10">
        <f t="shared" si="9"/>
        <v>-0.1959858585300992</v>
      </c>
      <c r="N40" s="10">
        <f t="shared" si="10"/>
        <v>1.3157894736842105E-2</v>
      </c>
      <c r="O40" s="10">
        <f t="shared" si="11"/>
        <v>0.22230164800378338</v>
      </c>
      <c r="P40" s="10">
        <f t="shared" si="12"/>
        <v>0.43144540127072467</v>
      </c>
      <c r="Q40" s="14">
        <f t="shared" si="13"/>
        <v>0.64058915453766596</v>
      </c>
    </row>
    <row r="41" spans="1:17" x14ac:dyDescent="0.25">
      <c r="A41" s="4">
        <v>45778</v>
      </c>
      <c r="B41" s="5">
        <f>IF('Catalogo de Variaveis'!I46="","",SUM('Catalogo de Variaveis'!I43:I46))</f>
        <v>2</v>
      </c>
      <c r="C41" s="15">
        <f>IFERROR(IF($B41="","",AVERAGE('Catalogo de Variaveis'!I46-'Catalogo de Variaveis'!I45,'Catalogo de Variaveis'!I45-'Catalogo de Variaveis'!I44,'Catalogo de Variaveis'!I44-'Catalogo de Variaveis'!I43,'Catalogo de Variaveis'!I43-'Catalogo de Variaveis'!I42)),0)</f>
        <v>-0.25</v>
      </c>
      <c r="D41" s="13">
        <f t="shared" si="0"/>
        <v>-1.669335348317321</v>
      </c>
      <c r="E41" s="10">
        <f t="shared" si="14"/>
        <v>-0.63920602168523155</v>
      </c>
      <c r="F41" s="10">
        <f t="shared" si="15"/>
        <v>0.3909233049468579</v>
      </c>
      <c r="G41" s="10">
        <f t="shared" si="3"/>
        <v>1.4210526315789473</v>
      </c>
      <c r="H41" s="10">
        <f t="shared" si="16"/>
        <v>2.4511819582110368</v>
      </c>
      <c r="I41" s="10">
        <f t="shared" si="5"/>
        <v>3.4813112848431262</v>
      </c>
      <c r="J41" s="14">
        <f t="shared" si="17"/>
        <v>4.5114406114752157</v>
      </c>
      <c r="K41" s="13">
        <f t="shared" si="7"/>
        <v>-0.61427336506398167</v>
      </c>
      <c r="L41" s="10">
        <f t="shared" si="8"/>
        <v>-0.40512961179704049</v>
      </c>
      <c r="M41" s="10">
        <f t="shared" si="9"/>
        <v>-0.1959858585300992</v>
      </c>
      <c r="N41" s="10">
        <f t="shared" si="10"/>
        <v>1.3157894736842105E-2</v>
      </c>
      <c r="O41" s="10">
        <f t="shared" si="11"/>
        <v>0.22230164800378338</v>
      </c>
      <c r="P41" s="10">
        <f t="shared" si="12"/>
        <v>0.43144540127072467</v>
      </c>
      <c r="Q41" s="14">
        <f t="shared" si="13"/>
        <v>0.64058915453766596</v>
      </c>
    </row>
    <row r="42" spans="1:17" x14ac:dyDescent="0.25">
      <c r="A42" s="4">
        <v>45809</v>
      </c>
      <c r="B42" s="5">
        <f>IF('Catalogo de Variaveis'!I47="","",SUM('Catalogo de Variaveis'!I44:I47))</f>
        <v>2</v>
      </c>
      <c r="C42" s="15">
        <f>IFERROR(IF($B42="","",AVERAGE('Catalogo de Variaveis'!I47-'Catalogo de Variaveis'!I46,'Catalogo de Variaveis'!I46-'Catalogo de Variaveis'!I45,'Catalogo de Variaveis'!I45-'Catalogo de Variaveis'!I44,'Catalogo de Variaveis'!I44-'Catalogo de Variaveis'!I43)),0)</f>
        <v>0</v>
      </c>
      <c r="D42" s="13">
        <f t="shared" si="0"/>
        <v>-1.669335348317321</v>
      </c>
      <c r="E42" s="10">
        <f t="shared" si="14"/>
        <v>-0.63920602168523155</v>
      </c>
      <c r="F42" s="10">
        <f t="shared" si="15"/>
        <v>0.3909233049468579</v>
      </c>
      <c r="G42" s="10">
        <f t="shared" si="3"/>
        <v>1.4210526315789473</v>
      </c>
      <c r="H42" s="10">
        <f t="shared" si="16"/>
        <v>2.4511819582110368</v>
      </c>
      <c r="I42" s="10">
        <f t="shared" si="5"/>
        <v>3.4813112848431262</v>
      </c>
      <c r="J42" s="14">
        <f t="shared" si="17"/>
        <v>4.5114406114752157</v>
      </c>
      <c r="K42" s="13">
        <f t="shared" si="7"/>
        <v>-0.61427336506398167</v>
      </c>
      <c r="L42" s="10">
        <f t="shared" si="8"/>
        <v>-0.40512961179704049</v>
      </c>
      <c r="M42" s="10">
        <f t="shared" si="9"/>
        <v>-0.1959858585300992</v>
      </c>
      <c r="N42" s="10">
        <f t="shared" si="10"/>
        <v>1.3157894736842105E-2</v>
      </c>
      <c r="O42" s="10">
        <f t="shared" si="11"/>
        <v>0.22230164800378338</v>
      </c>
      <c r="P42" s="10">
        <f t="shared" si="12"/>
        <v>0.43144540127072467</v>
      </c>
      <c r="Q42" s="14">
        <f t="shared" si="13"/>
        <v>0.64058915453766596</v>
      </c>
    </row>
    <row r="43" spans="1:17" x14ac:dyDescent="0.25">
      <c r="A43" s="4">
        <v>45839</v>
      </c>
      <c r="B43" s="5">
        <f>IF('Catalogo de Variaveis'!I48="","",SUM('Catalogo de Variaveis'!I45:I48))</f>
        <v>1</v>
      </c>
      <c r="C43" s="15">
        <f>IFERROR(IF($B43="","",AVERAGE('Catalogo de Variaveis'!I48-'Catalogo de Variaveis'!I47,'Catalogo de Variaveis'!I47-'Catalogo de Variaveis'!I46,'Catalogo de Variaveis'!I46-'Catalogo de Variaveis'!I45,'Catalogo de Variaveis'!I45-'Catalogo de Variaveis'!I44)),0)</f>
        <v>-0.25</v>
      </c>
      <c r="D43" s="13">
        <f t="shared" si="0"/>
        <v>-1.669335348317321</v>
      </c>
      <c r="E43" s="10">
        <f t="shared" si="14"/>
        <v>-0.63920602168523155</v>
      </c>
      <c r="F43" s="10">
        <f t="shared" si="15"/>
        <v>0.3909233049468579</v>
      </c>
      <c r="G43" s="10">
        <f t="shared" si="3"/>
        <v>1.4210526315789473</v>
      </c>
      <c r="H43" s="10">
        <f t="shared" si="16"/>
        <v>2.4511819582110368</v>
      </c>
      <c r="I43" s="10">
        <f t="shared" si="5"/>
        <v>3.4813112848431262</v>
      </c>
      <c r="J43" s="14">
        <f t="shared" si="17"/>
        <v>4.5114406114752157</v>
      </c>
      <c r="K43" s="13">
        <f t="shared" si="7"/>
        <v>-0.61427336506398167</v>
      </c>
      <c r="L43" s="10">
        <f t="shared" si="8"/>
        <v>-0.40512961179704049</v>
      </c>
      <c r="M43" s="10">
        <f t="shared" si="9"/>
        <v>-0.1959858585300992</v>
      </c>
      <c r="N43" s="10">
        <f t="shared" si="10"/>
        <v>1.3157894736842105E-2</v>
      </c>
      <c r="O43" s="10">
        <f t="shared" si="11"/>
        <v>0.22230164800378338</v>
      </c>
      <c r="P43" s="10">
        <f t="shared" si="12"/>
        <v>0.43144540127072467</v>
      </c>
      <c r="Q43" s="14">
        <f t="shared" si="13"/>
        <v>0.64058915453766596</v>
      </c>
    </row>
    <row r="44" spans="1:17" x14ac:dyDescent="0.25">
      <c r="A44" s="4">
        <v>45870</v>
      </c>
      <c r="B44" s="5">
        <f>IF('Catalogo de Variaveis'!I49="","",SUM('Catalogo de Variaveis'!I46:I49))</f>
        <v>0</v>
      </c>
      <c r="C44" s="15">
        <f>IFERROR(IF($B44="","",AVERAGE('Catalogo de Variaveis'!I49-'Catalogo de Variaveis'!I48,'Catalogo de Variaveis'!I48-'Catalogo de Variaveis'!I47,'Catalogo de Variaveis'!I47-'Catalogo de Variaveis'!I46,'Catalogo de Variaveis'!I46-'Catalogo de Variaveis'!I45)),0)</f>
        <v>-0.25</v>
      </c>
      <c r="D44" s="13">
        <f t="shared" si="0"/>
        <v>-1.669335348317321</v>
      </c>
      <c r="E44" s="10">
        <f t="shared" si="14"/>
        <v>-0.63920602168523155</v>
      </c>
      <c r="F44" s="10">
        <f t="shared" si="15"/>
        <v>0.3909233049468579</v>
      </c>
      <c r="G44" s="10">
        <f t="shared" si="3"/>
        <v>1.4210526315789473</v>
      </c>
      <c r="H44" s="10">
        <f t="shared" si="16"/>
        <v>2.4511819582110368</v>
      </c>
      <c r="I44" s="10">
        <f t="shared" si="5"/>
        <v>3.4813112848431262</v>
      </c>
      <c r="J44" s="14">
        <f t="shared" si="17"/>
        <v>4.5114406114752157</v>
      </c>
      <c r="K44" s="13">
        <f t="shared" si="7"/>
        <v>-0.61427336506398167</v>
      </c>
      <c r="L44" s="10">
        <f t="shared" si="8"/>
        <v>-0.40512961179704049</v>
      </c>
      <c r="M44" s="10">
        <f t="shared" si="9"/>
        <v>-0.1959858585300992</v>
      </c>
      <c r="N44" s="10">
        <f t="shared" si="10"/>
        <v>1.3157894736842105E-2</v>
      </c>
      <c r="O44" s="10">
        <f t="shared" si="11"/>
        <v>0.22230164800378338</v>
      </c>
      <c r="P44" s="10">
        <f t="shared" si="12"/>
        <v>0.43144540127072467</v>
      </c>
      <c r="Q44" s="14">
        <f t="shared" si="13"/>
        <v>0.64058915453766596</v>
      </c>
    </row>
    <row r="45" spans="1:17" x14ac:dyDescent="0.25">
      <c r="A45" s="4">
        <v>45901</v>
      </c>
      <c r="B45" s="5">
        <f>IF('Catalogo de Variaveis'!I50="","",SUM('Catalogo de Variaveis'!I47:I50))</f>
        <v>0</v>
      </c>
      <c r="C45" s="15">
        <f>IFERROR(IF($B45="","",AVERAGE('Catalogo de Variaveis'!I50-'Catalogo de Variaveis'!I49,'Catalogo de Variaveis'!I49-'Catalogo de Variaveis'!I48,'Catalogo de Variaveis'!I48-'Catalogo de Variaveis'!I47,'Catalogo de Variaveis'!I47-'Catalogo de Variaveis'!I46)),0)</f>
        <v>0</v>
      </c>
      <c r="D45" s="13">
        <f t="shared" si="0"/>
        <v>-1.669335348317321</v>
      </c>
      <c r="E45" s="10">
        <f t="shared" si="14"/>
        <v>-0.63920602168523155</v>
      </c>
      <c r="F45" s="10">
        <f t="shared" si="15"/>
        <v>0.3909233049468579</v>
      </c>
      <c r="G45" s="10">
        <f t="shared" si="3"/>
        <v>1.4210526315789473</v>
      </c>
      <c r="H45" s="10">
        <f t="shared" si="16"/>
        <v>2.4511819582110368</v>
      </c>
      <c r="I45" s="10">
        <f t="shared" si="5"/>
        <v>3.4813112848431262</v>
      </c>
      <c r="J45" s="14">
        <f t="shared" si="17"/>
        <v>4.5114406114752157</v>
      </c>
      <c r="K45" s="13">
        <f t="shared" si="7"/>
        <v>-0.61427336506398167</v>
      </c>
      <c r="L45" s="10">
        <f t="shared" si="8"/>
        <v>-0.40512961179704049</v>
      </c>
      <c r="M45" s="10">
        <f t="shared" si="9"/>
        <v>-0.1959858585300992</v>
      </c>
      <c r="N45" s="10">
        <f t="shared" si="10"/>
        <v>1.3157894736842105E-2</v>
      </c>
      <c r="O45" s="10">
        <f t="shared" si="11"/>
        <v>0.22230164800378338</v>
      </c>
      <c r="P45" s="10">
        <f t="shared" si="12"/>
        <v>0.43144540127072467</v>
      </c>
      <c r="Q45" s="14">
        <f t="shared" si="13"/>
        <v>0.64058915453766596</v>
      </c>
    </row>
    <row r="46" spans="1:17" x14ac:dyDescent="0.25">
      <c r="A46" s="4">
        <v>45931</v>
      </c>
      <c r="B46" s="5">
        <f>IF('Catalogo de Variaveis'!I51="","",SUM('Catalogo de Variaveis'!I48:I51))</f>
        <v>2</v>
      </c>
      <c r="C46" s="15">
        <f>IFERROR(IF($B46="","",AVERAGE('Catalogo de Variaveis'!I51-'Catalogo de Variaveis'!I50,'Catalogo de Variaveis'!I50-'Catalogo de Variaveis'!I49,'Catalogo de Variaveis'!I49-'Catalogo de Variaveis'!I48,'Catalogo de Variaveis'!I48-'Catalogo de Variaveis'!I47)),0)</f>
        <v>0.5</v>
      </c>
      <c r="D46" s="13">
        <f t="shared" si="0"/>
        <v>-1.669335348317321</v>
      </c>
      <c r="E46" s="10">
        <f t="shared" si="14"/>
        <v>-0.63920602168523155</v>
      </c>
      <c r="F46" s="10">
        <f t="shared" si="15"/>
        <v>0.3909233049468579</v>
      </c>
      <c r="G46" s="10">
        <f t="shared" si="3"/>
        <v>1.4210526315789473</v>
      </c>
      <c r="H46" s="10">
        <f t="shared" si="16"/>
        <v>2.4511819582110368</v>
      </c>
      <c r="I46" s="10">
        <f t="shared" si="5"/>
        <v>3.4813112848431262</v>
      </c>
      <c r="J46" s="14">
        <f t="shared" si="17"/>
        <v>4.5114406114752157</v>
      </c>
      <c r="K46" s="13">
        <f t="shared" si="7"/>
        <v>-0.61427336506398167</v>
      </c>
      <c r="L46" s="10">
        <f t="shared" si="8"/>
        <v>-0.40512961179704049</v>
      </c>
      <c r="M46" s="10">
        <f t="shared" si="9"/>
        <v>-0.1959858585300992</v>
      </c>
      <c r="N46" s="10">
        <f t="shared" si="10"/>
        <v>1.3157894736842105E-2</v>
      </c>
      <c r="O46" s="10">
        <f t="shared" si="11"/>
        <v>0.22230164800378338</v>
      </c>
      <c r="P46" s="10">
        <f t="shared" si="12"/>
        <v>0.43144540127072467</v>
      </c>
      <c r="Q46" s="14">
        <f t="shared" si="13"/>
        <v>0.64058915453766596</v>
      </c>
    </row>
    <row r="47" spans="1:17" x14ac:dyDescent="0.25">
      <c r="A47" s="4">
        <v>45962</v>
      </c>
      <c r="B47" s="5" t="str">
        <f>IF('Catalogo de Variaveis'!I52="","",SUM('Catalogo de Variaveis'!I49:I52))</f>
        <v/>
      </c>
      <c r="C47" s="15" t="str">
        <f>IFERROR(IF($B47="","",AVERAGE('Catalogo de Variaveis'!I52-'Catalogo de Variaveis'!I51,'Catalogo de Variaveis'!I51-'Catalogo de Variaveis'!I50,'Catalogo de Variaveis'!I50-'Catalogo de Variaveis'!I49,'Catalogo de Variaveis'!I49-'Catalogo de Variaveis'!I48)),0)</f>
        <v/>
      </c>
      <c r="D47" s="13" t="str">
        <f t="shared" si="0"/>
        <v/>
      </c>
      <c r="E47" s="10" t="str">
        <f t="shared" si="14"/>
        <v/>
      </c>
      <c r="F47" s="10" t="str">
        <f t="shared" si="15"/>
        <v/>
      </c>
      <c r="G47" s="10" t="str">
        <f t="shared" si="3"/>
        <v/>
      </c>
      <c r="H47" s="10" t="str">
        <f t="shared" si="16"/>
        <v/>
      </c>
      <c r="I47" s="10" t="str">
        <f t="shared" si="5"/>
        <v/>
      </c>
      <c r="J47" s="14" t="str">
        <f t="shared" si="17"/>
        <v/>
      </c>
      <c r="K47" s="13" t="str">
        <f t="shared" si="7"/>
        <v/>
      </c>
      <c r="L47" s="10" t="str">
        <f t="shared" si="8"/>
        <v/>
      </c>
      <c r="M47" s="10" t="str">
        <f t="shared" si="9"/>
        <v/>
      </c>
      <c r="N47" s="10" t="str">
        <f t="shared" si="10"/>
        <v/>
      </c>
      <c r="O47" s="10" t="str">
        <f t="shared" si="11"/>
        <v/>
      </c>
      <c r="P47" s="10" t="str">
        <f t="shared" si="12"/>
        <v/>
      </c>
      <c r="Q47" s="14" t="str">
        <f t="shared" si="13"/>
        <v/>
      </c>
    </row>
    <row r="48" spans="1:17" x14ac:dyDescent="0.25">
      <c r="A48" s="4">
        <v>45992</v>
      </c>
      <c r="B48" s="5" t="str">
        <f>IF('Catalogo de Variaveis'!I53="","",SUM('Catalogo de Variaveis'!I50:I53))</f>
        <v/>
      </c>
      <c r="C48" s="15" t="str">
        <f>IFERROR(IF($B48="","",AVERAGE('Catalogo de Variaveis'!I53-'Catalogo de Variaveis'!I52,'Catalogo de Variaveis'!I52-'Catalogo de Variaveis'!I51,'Catalogo de Variaveis'!I51-'Catalogo de Variaveis'!I50,'Catalogo de Variaveis'!I50-'Catalogo de Variaveis'!I49)),0)</f>
        <v/>
      </c>
      <c r="D48" s="13" t="str">
        <f t="shared" si="0"/>
        <v/>
      </c>
      <c r="E48" s="10" t="str">
        <f t="shared" si="14"/>
        <v/>
      </c>
      <c r="F48" s="10" t="str">
        <f t="shared" si="15"/>
        <v/>
      </c>
      <c r="G48" s="10" t="str">
        <f t="shared" si="3"/>
        <v/>
      </c>
      <c r="H48" s="10" t="str">
        <f t="shared" si="16"/>
        <v/>
      </c>
      <c r="I48" s="10" t="str">
        <f t="shared" si="5"/>
        <v/>
      </c>
      <c r="J48" s="14" t="str">
        <f t="shared" si="17"/>
        <v/>
      </c>
      <c r="K48" s="13" t="str">
        <f t="shared" si="7"/>
        <v/>
      </c>
      <c r="L48" s="10" t="str">
        <f t="shared" si="8"/>
        <v/>
      </c>
      <c r="M48" s="10" t="str">
        <f t="shared" si="9"/>
        <v/>
      </c>
      <c r="N48" s="10" t="str">
        <f t="shared" si="10"/>
        <v/>
      </c>
      <c r="O48" s="10" t="str">
        <f t="shared" si="11"/>
        <v/>
      </c>
      <c r="P48" s="10" t="str">
        <f t="shared" si="12"/>
        <v/>
      </c>
      <c r="Q48" s="14" t="str">
        <f t="shared" si="13"/>
        <v/>
      </c>
    </row>
    <row r="49" spans="1:17" x14ac:dyDescent="0.25">
      <c r="A49" s="4">
        <v>46023</v>
      </c>
      <c r="B49" s="5" t="str">
        <f>IF('Catalogo de Variaveis'!I54="","",SUM('Catalogo de Variaveis'!I51:I54))</f>
        <v/>
      </c>
      <c r="C49" s="15" t="str">
        <f>IFERROR(IF($B49="","",AVERAGE('Catalogo de Variaveis'!I54-'Catalogo de Variaveis'!I53,'Catalogo de Variaveis'!I53-'Catalogo de Variaveis'!I52,'Catalogo de Variaveis'!I52-'Catalogo de Variaveis'!I51,'Catalogo de Variaveis'!I51-'Catalogo de Variaveis'!I50)),0)</f>
        <v/>
      </c>
      <c r="D49" s="13" t="str">
        <f t="shared" si="0"/>
        <v/>
      </c>
      <c r="E49" s="10" t="str">
        <f t="shared" si="14"/>
        <v/>
      </c>
      <c r="F49" s="10" t="str">
        <f t="shared" si="15"/>
        <v/>
      </c>
      <c r="G49" s="10" t="str">
        <f t="shared" si="3"/>
        <v/>
      </c>
      <c r="H49" s="10" t="str">
        <f t="shared" si="16"/>
        <v/>
      </c>
      <c r="I49" s="10" t="str">
        <f t="shared" si="5"/>
        <v/>
      </c>
      <c r="J49" s="14" t="str">
        <f t="shared" si="17"/>
        <v/>
      </c>
      <c r="K49" s="13" t="str">
        <f t="shared" si="7"/>
        <v/>
      </c>
      <c r="L49" s="10" t="str">
        <f t="shared" si="8"/>
        <v/>
      </c>
      <c r="M49" s="10" t="str">
        <f t="shared" si="9"/>
        <v/>
      </c>
      <c r="N49" s="10" t="str">
        <f t="shared" si="10"/>
        <v/>
      </c>
      <c r="O49" s="10" t="str">
        <f t="shared" si="11"/>
        <v/>
      </c>
      <c r="P49" s="10" t="str">
        <f t="shared" si="12"/>
        <v/>
      </c>
      <c r="Q49" s="14" t="str">
        <f t="shared" si="13"/>
        <v/>
      </c>
    </row>
    <row r="50" spans="1:17" x14ac:dyDescent="0.25">
      <c r="A50" s="4">
        <v>46054</v>
      </c>
      <c r="B50" s="5" t="str">
        <f>IF('Catalogo de Variaveis'!I55="","",SUM('Catalogo de Variaveis'!I52:I55))</f>
        <v/>
      </c>
      <c r="C50" s="15" t="str">
        <f>IFERROR(IF($B50="","",AVERAGE('Catalogo de Variaveis'!I55-'Catalogo de Variaveis'!I54,'Catalogo de Variaveis'!I54-'Catalogo de Variaveis'!I53,'Catalogo de Variaveis'!I53-'Catalogo de Variaveis'!I52,'Catalogo de Variaveis'!I52-'Catalogo de Variaveis'!I51)),0)</f>
        <v/>
      </c>
      <c r="D50" s="13" t="str">
        <f t="shared" si="0"/>
        <v/>
      </c>
      <c r="E50" s="10" t="str">
        <f t="shared" si="14"/>
        <v/>
      </c>
      <c r="F50" s="10" t="str">
        <f t="shared" si="15"/>
        <v/>
      </c>
      <c r="G50" s="10" t="str">
        <f t="shared" si="3"/>
        <v/>
      </c>
      <c r="H50" s="10" t="str">
        <f t="shared" si="16"/>
        <v/>
      </c>
      <c r="I50" s="10" t="str">
        <f t="shared" si="5"/>
        <v/>
      </c>
      <c r="J50" s="14" t="str">
        <f t="shared" si="17"/>
        <v/>
      </c>
      <c r="K50" s="13" t="str">
        <f t="shared" si="7"/>
        <v/>
      </c>
      <c r="L50" s="10" t="str">
        <f t="shared" si="8"/>
        <v/>
      </c>
      <c r="M50" s="10" t="str">
        <f t="shared" si="9"/>
        <v/>
      </c>
      <c r="N50" s="10" t="str">
        <f t="shared" si="10"/>
        <v/>
      </c>
      <c r="O50" s="10" t="str">
        <f t="shared" si="11"/>
        <v/>
      </c>
      <c r="P50" s="10" t="str">
        <f t="shared" si="12"/>
        <v/>
      </c>
      <c r="Q50" s="14" t="str">
        <f t="shared" si="13"/>
        <v/>
      </c>
    </row>
    <row r="51" spans="1:17" x14ac:dyDescent="0.25">
      <c r="A51" s="4">
        <v>46082</v>
      </c>
      <c r="B51" s="5" t="str">
        <f>IF('Catalogo de Variaveis'!I56="","",SUM('Catalogo de Variaveis'!I53:I56))</f>
        <v/>
      </c>
      <c r="C51" s="15" t="str">
        <f>IFERROR(IF($B51="","",AVERAGE('Catalogo de Variaveis'!I56-'Catalogo de Variaveis'!I55,'Catalogo de Variaveis'!I55-'Catalogo de Variaveis'!I54,'Catalogo de Variaveis'!I54-'Catalogo de Variaveis'!I53,'Catalogo de Variaveis'!I53-'Catalogo de Variaveis'!I52)),0)</f>
        <v/>
      </c>
      <c r="D51" s="13" t="str">
        <f t="shared" si="0"/>
        <v/>
      </c>
      <c r="E51" s="10" t="str">
        <f t="shared" si="14"/>
        <v/>
      </c>
      <c r="F51" s="10" t="str">
        <f t="shared" si="15"/>
        <v/>
      </c>
      <c r="G51" s="10" t="str">
        <f t="shared" si="3"/>
        <v/>
      </c>
      <c r="H51" s="10" t="str">
        <f t="shared" si="16"/>
        <v/>
      </c>
      <c r="I51" s="10" t="str">
        <f t="shared" si="5"/>
        <v/>
      </c>
      <c r="J51" s="14" t="str">
        <f t="shared" si="17"/>
        <v/>
      </c>
      <c r="K51" s="13" t="str">
        <f t="shared" si="7"/>
        <v/>
      </c>
      <c r="L51" s="10" t="str">
        <f t="shared" si="8"/>
        <v/>
      </c>
      <c r="M51" s="10" t="str">
        <f t="shared" si="9"/>
        <v/>
      </c>
      <c r="N51" s="10" t="str">
        <f t="shared" si="10"/>
        <v/>
      </c>
      <c r="O51" s="10" t="str">
        <f t="shared" si="11"/>
        <v/>
      </c>
      <c r="P51" s="10" t="str">
        <f t="shared" si="12"/>
        <v/>
      </c>
      <c r="Q51" s="14" t="str">
        <f t="shared" si="13"/>
        <v/>
      </c>
    </row>
    <row r="52" spans="1:17" x14ac:dyDescent="0.25">
      <c r="A52" s="4">
        <v>46113</v>
      </c>
      <c r="B52" s="5" t="str">
        <f>IF('Catalogo de Variaveis'!I57="","",SUM('Catalogo de Variaveis'!I54:I57))</f>
        <v/>
      </c>
      <c r="C52" s="15" t="str">
        <f>IFERROR(IF($B52="","",AVERAGE('Catalogo de Variaveis'!I57-'Catalogo de Variaveis'!I56,'Catalogo de Variaveis'!I56-'Catalogo de Variaveis'!I55,'Catalogo de Variaveis'!I55-'Catalogo de Variaveis'!I54,'Catalogo de Variaveis'!I54-'Catalogo de Variaveis'!I53)),0)</f>
        <v/>
      </c>
      <c r="D52" s="13" t="str">
        <f t="shared" si="0"/>
        <v/>
      </c>
      <c r="E52" s="10" t="str">
        <f t="shared" si="14"/>
        <v/>
      </c>
      <c r="F52" s="10" t="str">
        <f t="shared" si="15"/>
        <v/>
      </c>
      <c r="G52" s="10" t="str">
        <f t="shared" si="3"/>
        <v/>
      </c>
      <c r="H52" s="10" t="str">
        <f t="shared" si="16"/>
        <v/>
      </c>
      <c r="I52" s="10" t="str">
        <f t="shared" si="5"/>
        <v/>
      </c>
      <c r="J52" s="14" t="str">
        <f t="shared" si="17"/>
        <v/>
      </c>
      <c r="K52" s="13" t="str">
        <f t="shared" si="7"/>
        <v/>
      </c>
      <c r="L52" s="10" t="str">
        <f t="shared" si="8"/>
        <v/>
      </c>
      <c r="M52" s="10" t="str">
        <f t="shared" si="9"/>
        <v/>
      </c>
      <c r="N52" s="10" t="str">
        <f t="shared" si="10"/>
        <v/>
      </c>
      <c r="O52" s="10" t="str">
        <f t="shared" si="11"/>
        <v/>
      </c>
      <c r="P52" s="10" t="str">
        <f t="shared" si="12"/>
        <v/>
      </c>
      <c r="Q52" s="14" t="str">
        <f t="shared" si="13"/>
        <v/>
      </c>
    </row>
    <row r="53" spans="1:17" x14ac:dyDescent="0.25">
      <c r="A53" s="4">
        <v>46143</v>
      </c>
      <c r="B53" s="5" t="str">
        <f>IF('Catalogo de Variaveis'!I58="","",SUM('Catalogo de Variaveis'!I55:I58))</f>
        <v/>
      </c>
      <c r="C53" s="15" t="str">
        <f>IFERROR(IF($B53="","",AVERAGE('Catalogo de Variaveis'!I58-'Catalogo de Variaveis'!I57,'Catalogo de Variaveis'!I57-'Catalogo de Variaveis'!I56,'Catalogo de Variaveis'!I56-'Catalogo de Variaveis'!I55,'Catalogo de Variaveis'!I55-'Catalogo de Variaveis'!I54)),0)</f>
        <v/>
      </c>
      <c r="D53" s="13" t="str">
        <f t="shared" si="0"/>
        <v/>
      </c>
      <c r="E53" s="10" t="str">
        <f t="shared" si="14"/>
        <v/>
      </c>
      <c r="F53" s="10" t="str">
        <f t="shared" si="15"/>
        <v/>
      </c>
      <c r="G53" s="10" t="str">
        <f t="shared" si="3"/>
        <v/>
      </c>
      <c r="H53" s="10" t="str">
        <f t="shared" si="16"/>
        <v/>
      </c>
      <c r="I53" s="10" t="str">
        <f t="shared" si="5"/>
        <v/>
      </c>
      <c r="J53" s="14" t="str">
        <f t="shared" si="17"/>
        <v/>
      </c>
      <c r="K53" s="13" t="str">
        <f t="shared" si="7"/>
        <v/>
      </c>
      <c r="L53" s="10" t="str">
        <f t="shared" si="8"/>
        <v/>
      </c>
      <c r="M53" s="10" t="str">
        <f t="shared" si="9"/>
        <v/>
      </c>
      <c r="N53" s="10" t="str">
        <f t="shared" si="10"/>
        <v/>
      </c>
      <c r="O53" s="10" t="str">
        <f t="shared" si="11"/>
        <v/>
      </c>
      <c r="P53" s="10" t="str">
        <f t="shared" si="12"/>
        <v/>
      </c>
      <c r="Q53" s="14" t="str">
        <f t="shared" si="13"/>
        <v/>
      </c>
    </row>
    <row r="54" spans="1:17" x14ac:dyDescent="0.25">
      <c r="A54" s="4">
        <v>46174</v>
      </c>
      <c r="B54" s="5" t="str">
        <f>IF('Catalogo de Variaveis'!I59="","",SUM('Catalogo de Variaveis'!I56:I59))</f>
        <v/>
      </c>
      <c r="C54" s="15" t="str">
        <f>IFERROR(IF($B54="","",AVERAGE('Catalogo de Variaveis'!I59-'Catalogo de Variaveis'!I58,'Catalogo de Variaveis'!I58-'Catalogo de Variaveis'!I57,'Catalogo de Variaveis'!I57-'Catalogo de Variaveis'!I56,'Catalogo de Variaveis'!I56-'Catalogo de Variaveis'!I55)),0)</f>
        <v/>
      </c>
      <c r="D54" s="13" t="str">
        <f t="shared" si="0"/>
        <v/>
      </c>
      <c r="E54" s="10" t="str">
        <f t="shared" si="14"/>
        <v/>
      </c>
      <c r="F54" s="10" t="str">
        <f t="shared" si="15"/>
        <v/>
      </c>
      <c r="G54" s="10" t="str">
        <f t="shared" si="3"/>
        <v/>
      </c>
      <c r="H54" s="10" t="str">
        <f t="shared" si="16"/>
        <v/>
      </c>
      <c r="I54" s="10" t="str">
        <f t="shared" si="5"/>
        <v/>
      </c>
      <c r="J54" s="14" t="str">
        <f t="shared" si="17"/>
        <v/>
      </c>
      <c r="K54" s="13" t="str">
        <f t="shared" si="7"/>
        <v/>
      </c>
      <c r="L54" s="10" t="str">
        <f t="shared" si="8"/>
        <v/>
      </c>
      <c r="M54" s="10" t="str">
        <f t="shared" si="9"/>
        <v/>
      </c>
      <c r="N54" s="10" t="str">
        <f t="shared" si="10"/>
        <v/>
      </c>
      <c r="O54" s="10" t="str">
        <f t="shared" si="11"/>
        <v/>
      </c>
      <c r="P54" s="10" t="str">
        <f t="shared" si="12"/>
        <v/>
      </c>
      <c r="Q54" s="14" t="str">
        <f t="shared" si="13"/>
        <v/>
      </c>
    </row>
    <row r="55" spans="1:17" x14ac:dyDescent="0.25">
      <c r="A55" s="4">
        <v>46204</v>
      </c>
      <c r="B55" s="5" t="str">
        <f>IF('Catalogo de Variaveis'!I60="","",SUM('Catalogo de Variaveis'!I57:I60))</f>
        <v/>
      </c>
      <c r="C55" s="15" t="str">
        <f>IFERROR(IF($B55="","",AVERAGE('Catalogo de Variaveis'!I60-'Catalogo de Variaveis'!I59,'Catalogo de Variaveis'!I59-'Catalogo de Variaveis'!I58,'Catalogo de Variaveis'!I58-'Catalogo de Variaveis'!I57,'Catalogo de Variaveis'!I57-'Catalogo de Variaveis'!I56)),0)</f>
        <v/>
      </c>
      <c r="D55" s="13" t="str">
        <f t="shared" si="0"/>
        <v/>
      </c>
      <c r="E55" s="10" t="str">
        <f t="shared" si="14"/>
        <v/>
      </c>
      <c r="F55" s="10" t="str">
        <f t="shared" si="15"/>
        <v/>
      </c>
      <c r="G55" s="10" t="str">
        <f t="shared" si="3"/>
        <v/>
      </c>
      <c r="H55" s="10" t="str">
        <f t="shared" si="16"/>
        <v/>
      </c>
      <c r="I55" s="10" t="str">
        <f t="shared" si="5"/>
        <v/>
      </c>
      <c r="J55" s="14" t="str">
        <f t="shared" si="17"/>
        <v/>
      </c>
      <c r="K55" s="13" t="str">
        <f t="shared" si="7"/>
        <v/>
      </c>
      <c r="L55" s="10" t="str">
        <f t="shared" si="8"/>
        <v/>
      </c>
      <c r="M55" s="10" t="str">
        <f t="shared" si="9"/>
        <v/>
      </c>
      <c r="N55" s="10" t="str">
        <f t="shared" si="10"/>
        <v/>
      </c>
      <c r="O55" s="10" t="str">
        <f t="shared" si="11"/>
        <v/>
      </c>
      <c r="P55" s="10" t="str">
        <f t="shared" si="12"/>
        <v/>
      </c>
      <c r="Q55" s="14" t="str">
        <f t="shared" si="13"/>
        <v/>
      </c>
    </row>
    <row r="56" spans="1:17" x14ac:dyDescent="0.25">
      <c r="A56" s="4">
        <v>46235</v>
      </c>
      <c r="B56" s="5" t="str">
        <f>IF('Catalogo de Variaveis'!I61="","",SUM('Catalogo de Variaveis'!I58:I61))</f>
        <v/>
      </c>
      <c r="C56" s="15" t="str">
        <f>IFERROR(IF($B56="","",AVERAGE('Catalogo de Variaveis'!I61-'Catalogo de Variaveis'!I60,'Catalogo de Variaveis'!I60-'Catalogo de Variaveis'!I59,'Catalogo de Variaveis'!I59-'Catalogo de Variaveis'!I58,'Catalogo de Variaveis'!I58-'Catalogo de Variaveis'!I57)),0)</f>
        <v/>
      </c>
      <c r="D56" s="13" t="str">
        <f t="shared" si="0"/>
        <v/>
      </c>
      <c r="E56" s="10" t="str">
        <f t="shared" si="14"/>
        <v/>
      </c>
      <c r="F56" s="10" t="str">
        <f t="shared" si="15"/>
        <v/>
      </c>
      <c r="G56" s="10" t="str">
        <f t="shared" si="3"/>
        <v/>
      </c>
      <c r="H56" s="10" t="str">
        <f t="shared" si="16"/>
        <v/>
      </c>
      <c r="I56" s="10" t="str">
        <f t="shared" si="5"/>
        <v/>
      </c>
      <c r="J56" s="14" t="str">
        <f t="shared" si="17"/>
        <v/>
      </c>
      <c r="K56" s="13" t="str">
        <f t="shared" si="7"/>
        <v/>
      </c>
      <c r="L56" s="10" t="str">
        <f t="shared" si="8"/>
        <v/>
      </c>
      <c r="M56" s="10" t="str">
        <f t="shared" si="9"/>
        <v/>
      </c>
      <c r="N56" s="10" t="str">
        <f t="shared" si="10"/>
        <v/>
      </c>
      <c r="O56" s="10" t="str">
        <f t="shared" si="11"/>
        <v/>
      </c>
      <c r="P56" s="10" t="str">
        <f t="shared" si="12"/>
        <v/>
      </c>
      <c r="Q56" s="14" t="str">
        <f t="shared" si="13"/>
        <v/>
      </c>
    </row>
    <row r="57" spans="1:17" x14ac:dyDescent="0.25">
      <c r="A57" s="4">
        <v>46266</v>
      </c>
      <c r="B57" s="5" t="str">
        <f>IF('Catalogo de Variaveis'!I62="","",SUM('Catalogo de Variaveis'!I59:I62))</f>
        <v/>
      </c>
      <c r="C57" s="15" t="str">
        <f>IFERROR(IF($B57="","",AVERAGE('Catalogo de Variaveis'!I62-'Catalogo de Variaveis'!I61,'Catalogo de Variaveis'!I61-'Catalogo de Variaveis'!I60,'Catalogo de Variaveis'!I60-'Catalogo de Variaveis'!I59,'Catalogo de Variaveis'!I59-'Catalogo de Variaveis'!I58)),0)</f>
        <v/>
      </c>
      <c r="D57" s="13" t="str">
        <f t="shared" si="0"/>
        <v/>
      </c>
      <c r="E57" s="10" t="str">
        <f t="shared" si="14"/>
        <v/>
      </c>
      <c r="F57" s="10" t="str">
        <f t="shared" si="15"/>
        <v/>
      </c>
      <c r="G57" s="10" t="str">
        <f t="shared" si="3"/>
        <v/>
      </c>
      <c r="H57" s="10" t="str">
        <f t="shared" si="16"/>
        <v/>
      </c>
      <c r="I57" s="10" t="str">
        <f t="shared" si="5"/>
        <v/>
      </c>
      <c r="J57" s="14" t="str">
        <f t="shared" si="17"/>
        <v/>
      </c>
      <c r="K57" s="13" t="str">
        <f t="shared" si="7"/>
        <v/>
      </c>
      <c r="L57" s="10" t="str">
        <f t="shared" si="8"/>
        <v/>
      </c>
      <c r="M57" s="10" t="str">
        <f t="shared" si="9"/>
        <v/>
      </c>
      <c r="N57" s="10" t="str">
        <f t="shared" si="10"/>
        <v/>
      </c>
      <c r="O57" s="10" t="str">
        <f t="shared" si="11"/>
        <v/>
      </c>
      <c r="P57" s="10" t="str">
        <f t="shared" si="12"/>
        <v/>
      </c>
      <c r="Q57" s="14" t="str">
        <f t="shared" si="13"/>
        <v/>
      </c>
    </row>
    <row r="58" spans="1:17" x14ac:dyDescent="0.25">
      <c r="A58" s="4">
        <v>46296</v>
      </c>
      <c r="B58" s="5" t="str">
        <f>IF('Catalogo de Variaveis'!I63="","",SUM('Catalogo de Variaveis'!I60:I63))</f>
        <v/>
      </c>
      <c r="C58" s="15" t="str">
        <f>IFERROR(IF($B58="","",AVERAGE('Catalogo de Variaveis'!I63-'Catalogo de Variaveis'!I62,'Catalogo de Variaveis'!I62-'Catalogo de Variaveis'!I61,'Catalogo de Variaveis'!I61-'Catalogo de Variaveis'!I60,'Catalogo de Variaveis'!I60-'Catalogo de Variaveis'!I59)),0)</f>
        <v/>
      </c>
      <c r="D58" s="13" t="str">
        <f t="shared" si="0"/>
        <v/>
      </c>
      <c r="E58" s="10" t="str">
        <f t="shared" si="14"/>
        <v/>
      </c>
      <c r="F58" s="10" t="str">
        <f t="shared" si="15"/>
        <v/>
      </c>
      <c r="G58" s="10" t="str">
        <f t="shared" si="3"/>
        <v/>
      </c>
      <c r="H58" s="10" t="str">
        <f t="shared" si="16"/>
        <v/>
      </c>
      <c r="I58" s="10" t="str">
        <f t="shared" si="5"/>
        <v/>
      </c>
      <c r="J58" s="14" t="str">
        <f t="shared" si="17"/>
        <v/>
      </c>
      <c r="K58" s="13" t="str">
        <f t="shared" si="7"/>
        <v/>
      </c>
      <c r="L58" s="10" t="str">
        <f t="shared" si="8"/>
        <v/>
      </c>
      <c r="M58" s="10" t="str">
        <f t="shared" si="9"/>
        <v/>
      </c>
      <c r="N58" s="10" t="str">
        <f t="shared" si="10"/>
        <v/>
      </c>
      <c r="O58" s="10" t="str">
        <f t="shared" si="11"/>
        <v/>
      </c>
      <c r="P58" s="10" t="str">
        <f t="shared" si="12"/>
        <v/>
      </c>
      <c r="Q58" s="14" t="str">
        <f t="shared" si="13"/>
        <v/>
      </c>
    </row>
    <row r="59" spans="1:17" x14ac:dyDescent="0.25">
      <c r="A59" s="4">
        <v>46327</v>
      </c>
      <c r="B59" s="5" t="str">
        <f>IF('Catalogo de Variaveis'!I64="","",SUM('Catalogo de Variaveis'!I61:I64))</f>
        <v/>
      </c>
      <c r="C59" s="15" t="str">
        <f>IFERROR(IF($B59="","",AVERAGE('Catalogo de Variaveis'!I64-'Catalogo de Variaveis'!I63,'Catalogo de Variaveis'!I63-'Catalogo de Variaveis'!I62,'Catalogo de Variaveis'!I62-'Catalogo de Variaveis'!I61,'Catalogo de Variaveis'!I61-'Catalogo de Variaveis'!I60)),0)</f>
        <v/>
      </c>
      <c r="D59" s="13" t="str">
        <f t="shared" si="0"/>
        <v/>
      </c>
      <c r="E59" s="10" t="str">
        <f t="shared" si="14"/>
        <v/>
      </c>
      <c r="F59" s="10" t="str">
        <f t="shared" si="15"/>
        <v/>
      </c>
      <c r="G59" s="10" t="str">
        <f t="shared" si="3"/>
        <v/>
      </c>
      <c r="H59" s="10" t="str">
        <f t="shared" si="16"/>
        <v/>
      </c>
      <c r="I59" s="10" t="str">
        <f t="shared" si="5"/>
        <v/>
      </c>
      <c r="J59" s="14" t="str">
        <f t="shared" si="17"/>
        <v/>
      </c>
      <c r="K59" s="13" t="str">
        <f t="shared" si="7"/>
        <v/>
      </c>
      <c r="L59" s="10" t="str">
        <f t="shared" si="8"/>
        <v/>
      </c>
      <c r="M59" s="10" t="str">
        <f t="shared" si="9"/>
        <v/>
      </c>
      <c r="N59" s="10" t="str">
        <f t="shared" si="10"/>
        <v/>
      </c>
      <c r="O59" s="10" t="str">
        <f t="shared" si="11"/>
        <v/>
      </c>
      <c r="P59" s="10" t="str">
        <f t="shared" si="12"/>
        <v/>
      </c>
      <c r="Q59" s="14" t="str">
        <f t="shared" si="13"/>
        <v/>
      </c>
    </row>
    <row r="60" spans="1:17" x14ac:dyDescent="0.25">
      <c r="A60" s="4">
        <v>46357</v>
      </c>
      <c r="B60" s="5" t="str">
        <f>IF('Catalogo de Variaveis'!I65="","",SUM('Catalogo de Variaveis'!I62:I65))</f>
        <v/>
      </c>
      <c r="C60" s="15" t="str">
        <f>IFERROR(IF($B60="","",AVERAGE('Catalogo de Variaveis'!I65-'Catalogo de Variaveis'!I64,'Catalogo de Variaveis'!I64-'Catalogo de Variaveis'!I63,'Catalogo de Variaveis'!I63-'Catalogo de Variaveis'!I62,'Catalogo de Variaveis'!I62-'Catalogo de Variaveis'!I61)),0)</f>
        <v/>
      </c>
      <c r="D60" s="13" t="str">
        <f>IF($B60="","",IF(OR($J$1="",$J$2=""),$B$1-3*$B$2,$J$1-3*$J$2))</f>
        <v/>
      </c>
      <c r="E60" s="10" t="str">
        <f t="shared" si="14"/>
        <v/>
      </c>
      <c r="F60" s="10" t="str">
        <f t="shared" si="15"/>
        <v/>
      </c>
      <c r="G60" s="10" t="str">
        <f>IF($B60="","",IF(OR($J$1="",$J$2=""),$B$1,$J$1))</f>
        <v/>
      </c>
      <c r="H60" s="10" t="str">
        <f t="shared" si="16"/>
        <v/>
      </c>
      <c r="I60" s="10" t="str">
        <f>IF($B60="","",IF(OR($J$1="",$J$2=""),$B$1+2*$B$2,$J$1+2*$J$2))</f>
        <v/>
      </c>
      <c r="J60" s="14" t="str">
        <f t="shared" si="17"/>
        <v/>
      </c>
      <c r="K60" s="13" t="str">
        <f t="shared" si="7"/>
        <v/>
      </c>
      <c r="L60" s="10" t="str">
        <f t="shared" si="8"/>
        <v/>
      </c>
      <c r="M60" s="10" t="str">
        <f t="shared" si="9"/>
        <v/>
      </c>
      <c r="N60" s="10" t="str">
        <f t="shared" si="10"/>
        <v/>
      </c>
      <c r="O60" s="10" t="str">
        <f t="shared" si="11"/>
        <v/>
      </c>
      <c r="P60" s="10" t="str">
        <f t="shared" si="12"/>
        <v/>
      </c>
      <c r="Q60" s="14" t="str">
        <f t="shared" si="13"/>
        <v/>
      </c>
    </row>
    <row r="61" spans="1:17" x14ac:dyDescent="0.25">
      <c r="A61" s="4">
        <v>46388</v>
      </c>
      <c r="B61" s="5" t="str">
        <f>IF('Catalogo de Variaveis'!I66="","",SUM('Catalogo de Variaveis'!I63:I66))</f>
        <v/>
      </c>
      <c r="C61" s="15" t="str">
        <f>IFERROR(IF($B61="","",AVERAGE('Catalogo de Variaveis'!I66-'Catalogo de Variaveis'!I65,'Catalogo de Variaveis'!I65-'Catalogo de Variaveis'!I64,'Catalogo de Variaveis'!I64-'Catalogo de Variaveis'!I63,'Catalogo de Variaveis'!I63-'Catalogo de Variaveis'!I62)),0)</f>
        <v/>
      </c>
      <c r="D61" s="13" t="str">
        <f t="shared" ref="D61:D96" si="18">IF($B61="","",IF(OR($J$1="",$J$2=""),$B$1-3*$B$2,$J$1-3*$J$2))</f>
        <v/>
      </c>
      <c r="E61" s="10" t="str">
        <f t="shared" si="14"/>
        <v/>
      </c>
      <c r="F61" s="10" t="str">
        <f t="shared" si="15"/>
        <v/>
      </c>
      <c r="G61" s="10" t="str">
        <f t="shared" ref="G61:G96" si="19">IF($B61="","",IF(OR($J$1="",$J$2=""),$B$1,$J$1))</f>
        <v/>
      </c>
      <c r="H61" s="10" t="str">
        <f t="shared" si="16"/>
        <v/>
      </c>
      <c r="I61" s="10" t="str">
        <f t="shared" ref="I61:I96" si="20">IF($B61="","",IF(OR($J$1="",$J$2=""),$B$1+2*$B$2,$J$1+2*$J$2))</f>
        <v/>
      </c>
      <c r="J61" s="14" t="str">
        <f t="shared" si="17"/>
        <v/>
      </c>
      <c r="K61" s="13" t="str">
        <f t="shared" si="7"/>
        <v/>
      </c>
      <c r="L61" s="10" t="str">
        <f t="shared" si="8"/>
        <v/>
      </c>
      <c r="M61" s="10" t="str">
        <f t="shared" si="9"/>
        <v/>
      </c>
      <c r="N61" s="10" t="str">
        <f t="shared" si="10"/>
        <v/>
      </c>
      <c r="O61" s="10" t="str">
        <f t="shared" si="11"/>
        <v/>
      </c>
      <c r="P61" s="10" t="str">
        <f t="shared" si="12"/>
        <v/>
      </c>
      <c r="Q61" s="14" t="str">
        <f t="shared" si="13"/>
        <v/>
      </c>
    </row>
    <row r="62" spans="1:17" x14ac:dyDescent="0.25">
      <c r="A62" s="4">
        <v>46419</v>
      </c>
      <c r="B62" s="5" t="str">
        <f>IF('Catalogo de Variaveis'!I67="","",SUM('Catalogo de Variaveis'!I64:I67))</f>
        <v/>
      </c>
      <c r="C62" s="15" t="str">
        <f>IFERROR(IF($B62="","",AVERAGE('Catalogo de Variaveis'!I67-'Catalogo de Variaveis'!I66,'Catalogo de Variaveis'!I66-'Catalogo de Variaveis'!I65,'Catalogo de Variaveis'!I65-'Catalogo de Variaveis'!I64,'Catalogo de Variaveis'!I64-'Catalogo de Variaveis'!I63)),0)</f>
        <v/>
      </c>
      <c r="D62" s="13" t="str">
        <f t="shared" si="18"/>
        <v/>
      </c>
      <c r="E62" s="10" t="str">
        <f t="shared" si="14"/>
        <v/>
      </c>
      <c r="F62" s="10" t="str">
        <f t="shared" si="15"/>
        <v/>
      </c>
      <c r="G62" s="10" t="str">
        <f t="shared" si="19"/>
        <v/>
      </c>
      <c r="H62" s="10" t="str">
        <f t="shared" si="16"/>
        <v/>
      </c>
      <c r="I62" s="10" t="str">
        <f t="shared" si="20"/>
        <v/>
      </c>
      <c r="J62" s="14" t="str">
        <f t="shared" si="17"/>
        <v/>
      </c>
      <c r="K62" s="13" t="str">
        <f t="shared" si="7"/>
        <v/>
      </c>
      <c r="L62" s="10" t="str">
        <f t="shared" si="8"/>
        <v/>
      </c>
      <c r="M62" s="10" t="str">
        <f t="shared" si="9"/>
        <v/>
      </c>
      <c r="N62" s="10" t="str">
        <f t="shared" si="10"/>
        <v/>
      </c>
      <c r="O62" s="10" t="str">
        <f t="shared" si="11"/>
        <v/>
      </c>
      <c r="P62" s="10" t="str">
        <f t="shared" si="12"/>
        <v/>
      </c>
      <c r="Q62" s="14" t="str">
        <f t="shared" si="13"/>
        <v/>
      </c>
    </row>
    <row r="63" spans="1:17" x14ac:dyDescent="0.25">
      <c r="A63" s="4">
        <v>46447</v>
      </c>
      <c r="B63" s="5" t="str">
        <f>IF('Catalogo de Variaveis'!I68="","",SUM('Catalogo de Variaveis'!I65:I68))</f>
        <v/>
      </c>
      <c r="C63" s="15" t="str">
        <f>IFERROR(IF($B63="","",AVERAGE('Catalogo de Variaveis'!I68-'Catalogo de Variaveis'!I67,'Catalogo de Variaveis'!I67-'Catalogo de Variaveis'!I66,'Catalogo de Variaveis'!I66-'Catalogo de Variaveis'!I65,'Catalogo de Variaveis'!I65-'Catalogo de Variaveis'!I64)),0)</f>
        <v/>
      </c>
      <c r="D63" s="13" t="str">
        <f t="shared" si="18"/>
        <v/>
      </c>
      <c r="E63" s="10" t="str">
        <f t="shared" si="14"/>
        <v/>
      </c>
      <c r="F63" s="10" t="str">
        <f t="shared" si="15"/>
        <v/>
      </c>
      <c r="G63" s="10" t="str">
        <f t="shared" si="19"/>
        <v/>
      </c>
      <c r="H63" s="10" t="str">
        <f t="shared" si="16"/>
        <v/>
      </c>
      <c r="I63" s="10" t="str">
        <f t="shared" si="20"/>
        <v/>
      </c>
      <c r="J63" s="14" t="str">
        <f t="shared" si="17"/>
        <v/>
      </c>
      <c r="K63" s="13" t="str">
        <f t="shared" si="7"/>
        <v/>
      </c>
      <c r="L63" s="10" t="str">
        <f t="shared" si="8"/>
        <v/>
      </c>
      <c r="M63" s="10" t="str">
        <f t="shared" si="9"/>
        <v/>
      </c>
      <c r="N63" s="10" t="str">
        <f t="shared" si="10"/>
        <v/>
      </c>
      <c r="O63" s="10" t="str">
        <f t="shared" si="11"/>
        <v/>
      </c>
      <c r="P63" s="10" t="str">
        <f t="shared" si="12"/>
        <v/>
      </c>
      <c r="Q63" s="14" t="str">
        <f t="shared" si="13"/>
        <v/>
      </c>
    </row>
    <row r="64" spans="1:17" x14ac:dyDescent="0.25">
      <c r="A64" s="4">
        <v>46478</v>
      </c>
      <c r="B64" s="5" t="str">
        <f>IF('Catalogo de Variaveis'!I69="","",SUM('Catalogo de Variaveis'!I66:I69))</f>
        <v/>
      </c>
      <c r="C64" s="15" t="str">
        <f>IFERROR(IF($B64="","",AVERAGE('Catalogo de Variaveis'!I69-'Catalogo de Variaveis'!I68,'Catalogo de Variaveis'!I68-'Catalogo de Variaveis'!I67,'Catalogo de Variaveis'!I67-'Catalogo de Variaveis'!I66,'Catalogo de Variaveis'!I66-'Catalogo de Variaveis'!I65)),0)</f>
        <v/>
      </c>
      <c r="D64" s="13" t="str">
        <f t="shared" si="18"/>
        <v/>
      </c>
      <c r="E64" s="10" t="str">
        <f t="shared" si="14"/>
        <v/>
      </c>
      <c r="F64" s="10" t="str">
        <f t="shared" si="15"/>
        <v/>
      </c>
      <c r="G64" s="10" t="str">
        <f t="shared" si="19"/>
        <v/>
      </c>
      <c r="H64" s="10" t="str">
        <f t="shared" si="16"/>
        <v/>
      </c>
      <c r="I64" s="10" t="str">
        <f t="shared" si="20"/>
        <v/>
      </c>
      <c r="J64" s="14" t="str">
        <f t="shared" si="17"/>
        <v/>
      </c>
      <c r="K64" s="13" t="str">
        <f t="shared" si="7"/>
        <v/>
      </c>
      <c r="L64" s="10" t="str">
        <f t="shared" si="8"/>
        <v/>
      </c>
      <c r="M64" s="10" t="str">
        <f t="shared" si="9"/>
        <v/>
      </c>
      <c r="N64" s="10" t="str">
        <f t="shared" si="10"/>
        <v/>
      </c>
      <c r="O64" s="10" t="str">
        <f t="shared" si="11"/>
        <v/>
      </c>
      <c r="P64" s="10" t="str">
        <f t="shared" si="12"/>
        <v/>
      </c>
      <c r="Q64" s="14" t="str">
        <f t="shared" si="13"/>
        <v/>
      </c>
    </row>
    <row r="65" spans="1:17" x14ac:dyDescent="0.25">
      <c r="A65" s="4">
        <v>46508</v>
      </c>
      <c r="B65" s="5" t="str">
        <f>IF('Catalogo de Variaveis'!I70="","",SUM('Catalogo de Variaveis'!I67:I70))</f>
        <v/>
      </c>
      <c r="C65" s="15" t="str">
        <f>IFERROR(IF($B65="","",AVERAGE('Catalogo de Variaveis'!I70-'Catalogo de Variaveis'!I69,'Catalogo de Variaveis'!I69-'Catalogo de Variaveis'!I68,'Catalogo de Variaveis'!I68-'Catalogo de Variaveis'!I67,'Catalogo de Variaveis'!I67-'Catalogo de Variaveis'!I66)),0)</f>
        <v/>
      </c>
      <c r="D65" s="13" t="str">
        <f t="shared" si="18"/>
        <v/>
      </c>
      <c r="E65" s="10" t="str">
        <f t="shared" si="14"/>
        <v/>
      </c>
      <c r="F65" s="10" t="str">
        <f t="shared" si="15"/>
        <v/>
      </c>
      <c r="G65" s="10" t="str">
        <f t="shared" si="19"/>
        <v/>
      </c>
      <c r="H65" s="10" t="str">
        <f t="shared" si="16"/>
        <v/>
      </c>
      <c r="I65" s="10" t="str">
        <f t="shared" si="20"/>
        <v/>
      </c>
      <c r="J65" s="14" t="str">
        <f t="shared" si="17"/>
        <v/>
      </c>
      <c r="K65" s="13" t="str">
        <f t="shared" si="7"/>
        <v/>
      </c>
      <c r="L65" s="10" t="str">
        <f t="shared" si="8"/>
        <v/>
      </c>
      <c r="M65" s="10" t="str">
        <f t="shared" si="9"/>
        <v/>
      </c>
      <c r="N65" s="10" t="str">
        <f t="shared" si="10"/>
        <v/>
      </c>
      <c r="O65" s="10" t="str">
        <f t="shared" si="11"/>
        <v/>
      </c>
      <c r="P65" s="10" t="str">
        <f t="shared" si="12"/>
        <v/>
      </c>
      <c r="Q65" s="14" t="str">
        <f t="shared" si="13"/>
        <v/>
      </c>
    </row>
    <row r="66" spans="1:17" x14ac:dyDescent="0.25">
      <c r="A66" s="4">
        <v>46539</v>
      </c>
      <c r="B66" s="5" t="str">
        <f>IF('Catalogo de Variaveis'!I71="","",SUM('Catalogo de Variaveis'!I68:I71))</f>
        <v/>
      </c>
      <c r="C66" s="15" t="str">
        <f>IFERROR(IF($B66="","",AVERAGE('Catalogo de Variaveis'!I71-'Catalogo de Variaveis'!I70,'Catalogo de Variaveis'!I70-'Catalogo de Variaveis'!I69,'Catalogo de Variaveis'!I69-'Catalogo de Variaveis'!I68,'Catalogo de Variaveis'!I68-'Catalogo de Variaveis'!I67)),0)</f>
        <v/>
      </c>
      <c r="D66" s="13" t="str">
        <f t="shared" si="18"/>
        <v/>
      </c>
      <c r="E66" s="10" t="str">
        <f t="shared" si="14"/>
        <v/>
      </c>
      <c r="F66" s="10" t="str">
        <f t="shared" si="15"/>
        <v/>
      </c>
      <c r="G66" s="10" t="str">
        <f t="shared" si="19"/>
        <v/>
      </c>
      <c r="H66" s="10" t="str">
        <f t="shared" si="16"/>
        <v/>
      </c>
      <c r="I66" s="10" t="str">
        <f t="shared" si="20"/>
        <v/>
      </c>
      <c r="J66" s="14" t="str">
        <f t="shared" si="17"/>
        <v/>
      </c>
      <c r="K66" s="13" t="str">
        <f t="shared" si="7"/>
        <v/>
      </c>
      <c r="L66" s="10" t="str">
        <f t="shared" si="8"/>
        <v/>
      </c>
      <c r="M66" s="10" t="str">
        <f t="shared" si="9"/>
        <v/>
      </c>
      <c r="N66" s="10" t="str">
        <f t="shared" si="10"/>
        <v/>
      </c>
      <c r="O66" s="10" t="str">
        <f t="shared" si="11"/>
        <v/>
      </c>
      <c r="P66" s="10" t="str">
        <f t="shared" si="12"/>
        <v/>
      </c>
      <c r="Q66" s="14" t="str">
        <f t="shared" si="13"/>
        <v/>
      </c>
    </row>
    <row r="67" spans="1:17" x14ac:dyDescent="0.25">
      <c r="A67" s="4">
        <v>46569</v>
      </c>
      <c r="B67" s="5" t="str">
        <f>IF('Catalogo de Variaveis'!I72="","",SUM('Catalogo de Variaveis'!I69:I72))</f>
        <v/>
      </c>
      <c r="C67" s="15" t="str">
        <f>IFERROR(IF($B67="","",AVERAGE('Catalogo de Variaveis'!I72-'Catalogo de Variaveis'!I71,'Catalogo de Variaveis'!I71-'Catalogo de Variaveis'!I70,'Catalogo de Variaveis'!I70-'Catalogo de Variaveis'!I69,'Catalogo de Variaveis'!I69-'Catalogo de Variaveis'!I68)),0)</f>
        <v/>
      </c>
      <c r="D67" s="13" t="str">
        <f t="shared" si="18"/>
        <v/>
      </c>
      <c r="E67" s="10" t="str">
        <f t="shared" si="14"/>
        <v/>
      </c>
      <c r="F67" s="10" t="str">
        <f t="shared" si="15"/>
        <v/>
      </c>
      <c r="G67" s="10" t="str">
        <f t="shared" si="19"/>
        <v/>
      </c>
      <c r="H67" s="10" t="str">
        <f t="shared" si="16"/>
        <v/>
      </c>
      <c r="I67" s="10" t="str">
        <f t="shared" si="20"/>
        <v/>
      </c>
      <c r="J67" s="14" t="str">
        <f t="shared" si="17"/>
        <v/>
      </c>
      <c r="K67" s="13" t="str">
        <f t="shared" si="7"/>
        <v/>
      </c>
      <c r="L67" s="10" t="str">
        <f t="shared" si="8"/>
        <v/>
      </c>
      <c r="M67" s="10" t="str">
        <f t="shared" si="9"/>
        <v/>
      </c>
      <c r="N67" s="10" t="str">
        <f t="shared" si="10"/>
        <v/>
      </c>
      <c r="O67" s="10" t="str">
        <f t="shared" si="11"/>
        <v/>
      </c>
      <c r="P67" s="10" t="str">
        <f t="shared" si="12"/>
        <v/>
      </c>
      <c r="Q67" s="14" t="str">
        <f t="shared" si="13"/>
        <v/>
      </c>
    </row>
    <row r="68" spans="1:17" x14ac:dyDescent="0.25">
      <c r="A68" s="4">
        <v>46600</v>
      </c>
      <c r="B68" s="5" t="str">
        <f>IF('Catalogo de Variaveis'!I73="","",SUM('Catalogo de Variaveis'!I70:I73))</f>
        <v/>
      </c>
      <c r="C68" s="15" t="str">
        <f>IFERROR(IF($B68="","",AVERAGE('Catalogo de Variaveis'!I73-'Catalogo de Variaveis'!I72,'Catalogo de Variaveis'!I72-'Catalogo de Variaveis'!I71,'Catalogo de Variaveis'!I71-'Catalogo de Variaveis'!I70,'Catalogo de Variaveis'!I70-'Catalogo de Variaveis'!I69)),0)</f>
        <v/>
      </c>
      <c r="D68" s="13" t="str">
        <f t="shared" si="18"/>
        <v/>
      </c>
      <c r="E68" s="10" t="str">
        <f t="shared" si="14"/>
        <v/>
      </c>
      <c r="F68" s="10" t="str">
        <f t="shared" si="15"/>
        <v/>
      </c>
      <c r="G68" s="10" t="str">
        <f t="shared" si="19"/>
        <v/>
      </c>
      <c r="H68" s="10" t="str">
        <f t="shared" si="16"/>
        <v/>
      </c>
      <c r="I68" s="10" t="str">
        <f t="shared" si="20"/>
        <v/>
      </c>
      <c r="J68" s="14" t="str">
        <f t="shared" si="17"/>
        <v/>
      </c>
      <c r="K68" s="13" t="str">
        <f t="shared" si="7"/>
        <v/>
      </c>
      <c r="L68" s="10" t="str">
        <f t="shared" si="8"/>
        <v/>
      </c>
      <c r="M68" s="10" t="str">
        <f t="shared" si="9"/>
        <v/>
      </c>
      <c r="N68" s="10" t="str">
        <f t="shared" si="10"/>
        <v/>
      </c>
      <c r="O68" s="10" t="str">
        <f t="shared" si="11"/>
        <v/>
      </c>
      <c r="P68" s="10" t="str">
        <f t="shared" si="12"/>
        <v/>
      </c>
      <c r="Q68" s="14" t="str">
        <f t="shared" si="13"/>
        <v/>
      </c>
    </row>
    <row r="69" spans="1:17" x14ac:dyDescent="0.25">
      <c r="A69" s="4">
        <v>46631</v>
      </c>
      <c r="B69" s="5" t="str">
        <f>IF('Catalogo de Variaveis'!I74="","",SUM('Catalogo de Variaveis'!I71:I74))</f>
        <v/>
      </c>
      <c r="C69" s="15" t="str">
        <f>IFERROR(IF($B69="","",AVERAGE('Catalogo de Variaveis'!I74-'Catalogo de Variaveis'!I73,'Catalogo de Variaveis'!I73-'Catalogo de Variaveis'!I72,'Catalogo de Variaveis'!I72-'Catalogo de Variaveis'!I71,'Catalogo de Variaveis'!I71-'Catalogo de Variaveis'!I70)),0)</f>
        <v/>
      </c>
      <c r="D69" s="13" t="str">
        <f t="shared" si="18"/>
        <v/>
      </c>
      <c r="E69" s="10" t="str">
        <f t="shared" si="14"/>
        <v/>
      </c>
      <c r="F69" s="10" t="str">
        <f t="shared" si="15"/>
        <v/>
      </c>
      <c r="G69" s="10" t="str">
        <f t="shared" si="19"/>
        <v/>
      </c>
      <c r="H69" s="10" t="str">
        <f t="shared" si="16"/>
        <v/>
      </c>
      <c r="I69" s="10" t="str">
        <f t="shared" si="20"/>
        <v/>
      </c>
      <c r="J69" s="14" t="str">
        <f t="shared" si="17"/>
        <v/>
      </c>
      <c r="K69" s="13" t="str">
        <f t="shared" si="7"/>
        <v/>
      </c>
      <c r="L69" s="10" t="str">
        <f t="shared" si="8"/>
        <v/>
      </c>
      <c r="M69" s="10" t="str">
        <f t="shared" si="9"/>
        <v/>
      </c>
      <c r="N69" s="10" t="str">
        <f t="shared" si="10"/>
        <v/>
      </c>
      <c r="O69" s="10" t="str">
        <f t="shared" si="11"/>
        <v/>
      </c>
      <c r="P69" s="10" t="str">
        <f t="shared" si="12"/>
        <v/>
      </c>
      <c r="Q69" s="14" t="str">
        <f t="shared" si="13"/>
        <v/>
      </c>
    </row>
    <row r="70" spans="1:17" x14ac:dyDescent="0.25">
      <c r="A70" s="4">
        <v>46661</v>
      </c>
      <c r="B70" s="5" t="str">
        <f>IF('Catalogo de Variaveis'!I75="","",SUM('Catalogo de Variaveis'!I72:I75))</f>
        <v/>
      </c>
      <c r="C70" s="15" t="str">
        <f>IFERROR(IF($B70="","",AVERAGE('Catalogo de Variaveis'!I75-'Catalogo de Variaveis'!I74,'Catalogo de Variaveis'!I74-'Catalogo de Variaveis'!I73,'Catalogo de Variaveis'!I73-'Catalogo de Variaveis'!I72,'Catalogo de Variaveis'!I72-'Catalogo de Variaveis'!I71)),0)</f>
        <v/>
      </c>
      <c r="D70" s="13" t="str">
        <f t="shared" si="18"/>
        <v/>
      </c>
      <c r="E70" s="10" t="str">
        <f t="shared" si="14"/>
        <v/>
      </c>
      <c r="F70" s="10" t="str">
        <f t="shared" si="15"/>
        <v/>
      </c>
      <c r="G70" s="10" t="str">
        <f t="shared" si="19"/>
        <v/>
      </c>
      <c r="H70" s="10" t="str">
        <f t="shared" si="16"/>
        <v/>
      </c>
      <c r="I70" s="10" t="str">
        <f t="shared" si="20"/>
        <v/>
      </c>
      <c r="J70" s="14" t="str">
        <f t="shared" si="17"/>
        <v/>
      </c>
      <c r="K70" s="13" t="str">
        <f t="shared" si="7"/>
        <v/>
      </c>
      <c r="L70" s="10" t="str">
        <f t="shared" si="8"/>
        <v/>
      </c>
      <c r="M70" s="10" t="str">
        <f t="shared" si="9"/>
        <v/>
      </c>
      <c r="N70" s="10" t="str">
        <f t="shared" si="10"/>
        <v/>
      </c>
      <c r="O70" s="10" t="str">
        <f t="shared" si="11"/>
        <v/>
      </c>
      <c r="P70" s="10" t="str">
        <f t="shared" si="12"/>
        <v/>
      </c>
      <c r="Q70" s="14" t="str">
        <f t="shared" si="13"/>
        <v/>
      </c>
    </row>
    <row r="71" spans="1:17" x14ac:dyDescent="0.25">
      <c r="A71" s="4">
        <v>46692</v>
      </c>
      <c r="B71" s="5" t="str">
        <f>IF('Catalogo de Variaveis'!I76="","",SUM('Catalogo de Variaveis'!I73:I76))</f>
        <v/>
      </c>
      <c r="C71" s="15" t="str">
        <f>IFERROR(IF($B71="","",AVERAGE('Catalogo de Variaveis'!I76-'Catalogo de Variaveis'!I75,'Catalogo de Variaveis'!I75-'Catalogo de Variaveis'!I74,'Catalogo de Variaveis'!I74-'Catalogo de Variaveis'!I73,'Catalogo de Variaveis'!I73-'Catalogo de Variaveis'!I72)),0)</f>
        <v/>
      </c>
      <c r="D71" s="13" t="str">
        <f t="shared" si="18"/>
        <v/>
      </c>
      <c r="E71" s="10" t="str">
        <f t="shared" si="14"/>
        <v/>
      </c>
      <c r="F71" s="10" t="str">
        <f t="shared" si="15"/>
        <v/>
      </c>
      <c r="G71" s="10" t="str">
        <f t="shared" si="19"/>
        <v/>
      </c>
      <c r="H71" s="10" t="str">
        <f t="shared" si="16"/>
        <v/>
      </c>
      <c r="I71" s="10" t="str">
        <f t="shared" si="20"/>
        <v/>
      </c>
      <c r="J71" s="14" t="str">
        <f t="shared" si="17"/>
        <v/>
      </c>
      <c r="K71" s="13" t="str">
        <f t="shared" si="7"/>
        <v/>
      </c>
      <c r="L71" s="10" t="str">
        <f t="shared" si="8"/>
        <v/>
      </c>
      <c r="M71" s="10" t="str">
        <f t="shared" si="9"/>
        <v/>
      </c>
      <c r="N71" s="10" t="str">
        <f t="shared" si="10"/>
        <v/>
      </c>
      <c r="O71" s="10" t="str">
        <f t="shared" si="11"/>
        <v/>
      </c>
      <c r="P71" s="10" t="str">
        <f t="shared" si="12"/>
        <v/>
      </c>
      <c r="Q71" s="14" t="str">
        <f t="shared" si="13"/>
        <v/>
      </c>
    </row>
    <row r="72" spans="1:17" x14ac:dyDescent="0.25">
      <c r="A72" s="4">
        <v>46722</v>
      </c>
      <c r="B72" s="5" t="str">
        <f>IF('Catalogo de Variaveis'!I77="","",SUM('Catalogo de Variaveis'!I74:I77))</f>
        <v/>
      </c>
      <c r="C72" s="15" t="str">
        <f>IFERROR(IF($B72="","",AVERAGE('Catalogo de Variaveis'!I77-'Catalogo de Variaveis'!I76,'Catalogo de Variaveis'!I76-'Catalogo de Variaveis'!I75,'Catalogo de Variaveis'!I75-'Catalogo de Variaveis'!I74,'Catalogo de Variaveis'!I74-'Catalogo de Variaveis'!I73)),0)</f>
        <v/>
      </c>
      <c r="D72" s="13" t="str">
        <f t="shared" si="18"/>
        <v/>
      </c>
      <c r="E72" s="10" t="str">
        <f t="shared" si="14"/>
        <v/>
      </c>
      <c r="F72" s="10" t="str">
        <f t="shared" si="15"/>
        <v/>
      </c>
      <c r="G72" s="10" t="str">
        <f t="shared" si="19"/>
        <v/>
      </c>
      <c r="H72" s="10" t="str">
        <f t="shared" si="16"/>
        <v/>
      </c>
      <c r="I72" s="10" t="str">
        <f t="shared" si="20"/>
        <v/>
      </c>
      <c r="J72" s="14" t="str">
        <f t="shared" si="17"/>
        <v/>
      </c>
      <c r="K72" s="13" t="str">
        <f t="shared" si="7"/>
        <v/>
      </c>
      <c r="L72" s="10" t="str">
        <f t="shared" si="8"/>
        <v/>
      </c>
      <c r="M72" s="10" t="str">
        <f t="shared" si="9"/>
        <v/>
      </c>
      <c r="N72" s="10" t="str">
        <f t="shared" si="10"/>
        <v/>
      </c>
      <c r="O72" s="10" t="str">
        <f t="shared" si="11"/>
        <v/>
      </c>
      <c r="P72" s="10" t="str">
        <f t="shared" si="12"/>
        <v/>
      </c>
      <c r="Q72" s="14" t="str">
        <f t="shared" si="13"/>
        <v/>
      </c>
    </row>
    <row r="73" spans="1:17" x14ac:dyDescent="0.25">
      <c r="A73" s="4">
        <v>46753</v>
      </c>
      <c r="B73" s="5" t="str">
        <f>IF('Catalogo de Variaveis'!I78="","",SUM('Catalogo de Variaveis'!I75:I78))</f>
        <v/>
      </c>
      <c r="C73" s="15" t="str">
        <f>IFERROR(IF($B73="","",AVERAGE('Catalogo de Variaveis'!I78-'Catalogo de Variaveis'!I77,'Catalogo de Variaveis'!I77-'Catalogo de Variaveis'!I76,'Catalogo de Variaveis'!I76-'Catalogo de Variaveis'!I75,'Catalogo de Variaveis'!I75-'Catalogo de Variaveis'!I74)),0)</f>
        <v/>
      </c>
      <c r="D73" s="13" t="str">
        <f t="shared" si="18"/>
        <v/>
      </c>
      <c r="E73" s="10" t="str">
        <f t="shared" si="14"/>
        <v/>
      </c>
      <c r="F73" s="10" t="str">
        <f t="shared" si="15"/>
        <v/>
      </c>
      <c r="G73" s="10" t="str">
        <f t="shared" si="19"/>
        <v/>
      </c>
      <c r="H73" s="10" t="str">
        <f t="shared" si="16"/>
        <v/>
      </c>
      <c r="I73" s="10" t="str">
        <f t="shared" si="20"/>
        <v/>
      </c>
      <c r="J73" s="14" t="str">
        <f t="shared" si="17"/>
        <v/>
      </c>
      <c r="K73" s="13" t="str">
        <f t="shared" ref="K73:K96" si="21">IF($B73="","",$C$1-3*$C$2)</f>
        <v/>
      </c>
      <c r="L73" s="10" t="str">
        <f t="shared" ref="L73:L96" si="22">IF($B73="","",$C$1-2*$C$2)</f>
        <v/>
      </c>
      <c r="M73" s="10" t="str">
        <f t="shared" ref="M73:M96" si="23">IF($B73="","",$C$1-$C$2)</f>
        <v/>
      </c>
      <c r="N73" s="10" t="str">
        <f t="shared" ref="N73:N96" si="24">IF($B73="","",$C$1)</f>
        <v/>
      </c>
      <c r="O73" s="10" t="str">
        <f t="shared" ref="O73:O96" si="25">IF($B73="","",$C$1+1*$C$2)</f>
        <v/>
      </c>
      <c r="P73" s="10" t="str">
        <f t="shared" ref="P73:P96" si="26">IF($B73="","",$C$1+2*$C$2)</f>
        <v/>
      </c>
      <c r="Q73" s="14" t="str">
        <f t="shared" ref="Q73:Q96" si="27">IF($B73="","",$C$1+3*$C$2)</f>
        <v/>
      </c>
    </row>
    <row r="74" spans="1:17" x14ac:dyDescent="0.25">
      <c r="A74" s="4">
        <v>46784</v>
      </c>
      <c r="B74" s="5" t="str">
        <f>IF('Catalogo de Variaveis'!I79="","",SUM('Catalogo de Variaveis'!I76:I79))</f>
        <v/>
      </c>
      <c r="C74" s="15" t="str">
        <f>IFERROR(IF($B74="","",AVERAGE('Catalogo de Variaveis'!I79-'Catalogo de Variaveis'!I78,'Catalogo de Variaveis'!I78-'Catalogo de Variaveis'!I77,'Catalogo de Variaveis'!I77-'Catalogo de Variaveis'!I76,'Catalogo de Variaveis'!I76-'Catalogo de Variaveis'!I75)),0)</f>
        <v/>
      </c>
      <c r="D74" s="13" t="str">
        <f t="shared" si="18"/>
        <v/>
      </c>
      <c r="E74" s="10" t="str">
        <f t="shared" si="14"/>
        <v/>
      </c>
      <c r="F74" s="10" t="str">
        <f t="shared" si="15"/>
        <v/>
      </c>
      <c r="G74" s="10" t="str">
        <f t="shared" si="19"/>
        <v/>
      </c>
      <c r="H74" s="10" t="str">
        <f t="shared" si="16"/>
        <v/>
      </c>
      <c r="I74" s="10" t="str">
        <f t="shared" si="20"/>
        <v/>
      </c>
      <c r="J74" s="14" t="str">
        <f t="shared" si="17"/>
        <v/>
      </c>
      <c r="K74" s="13" t="str">
        <f t="shared" si="21"/>
        <v/>
      </c>
      <c r="L74" s="10" t="str">
        <f t="shared" si="22"/>
        <v/>
      </c>
      <c r="M74" s="10" t="str">
        <f t="shared" si="23"/>
        <v/>
      </c>
      <c r="N74" s="10" t="str">
        <f t="shared" si="24"/>
        <v/>
      </c>
      <c r="O74" s="10" t="str">
        <f t="shared" si="25"/>
        <v/>
      </c>
      <c r="P74" s="10" t="str">
        <f t="shared" si="26"/>
        <v/>
      </c>
      <c r="Q74" s="14" t="str">
        <f t="shared" si="27"/>
        <v/>
      </c>
    </row>
    <row r="75" spans="1:17" x14ac:dyDescent="0.25">
      <c r="A75" s="4">
        <v>46813</v>
      </c>
      <c r="B75" s="5" t="str">
        <f>IF('Catalogo de Variaveis'!I80="","",SUM('Catalogo de Variaveis'!I77:I80))</f>
        <v/>
      </c>
      <c r="C75" s="15" t="str">
        <f>IFERROR(IF($B75="","",AVERAGE('Catalogo de Variaveis'!I80-'Catalogo de Variaveis'!I79,'Catalogo de Variaveis'!I79-'Catalogo de Variaveis'!I78,'Catalogo de Variaveis'!I78-'Catalogo de Variaveis'!I77,'Catalogo de Variaveis'!I77-'Catalogo de Variaveis'!I76)),0)</f>
        <v/>
      </c>
      <c r="D75" s="13" t="str">
        <f t="shared" si="18"/>
        <v/>
      </c>
      <c r="E75" s="10" t="str">
        <f t="shared" si="14"/>
        <v/>
      </c>
      <c r="F75" s="10" t="str">
        <f t="shared" si="15"/>
        <v/>
      </c>
      <c r="G75" s="10" t="str">
        <f t="shared" si="19"/>
        <v/>
      </c>
      <c r="H75" s="10" t="str">
        <f t="shared" si="16"/>
        <v/>
      </c>
      <c r="I75" s="10" t="str">
        <f t="shared" si="20"/>
        <v/>
      </c>
      <c r="J75" s="14" t="str">
        <f t="shared" si="17"/>
        <v/>
      </c>
      <c r="K75" s="13" t="str">
        <f t="shared" si="21"/>
        <v/>
      </c>
      <c r="L75" s="10" t="str">
        <f t="shared" si="22"/>
        <v/>
      </c>
      <c r="M75" s="10" t="str">
        <f t="shared" si="23"/>
        <v/>
      </c>
      <c r="N75" s="10" t="str">
        <f t="shared" si="24"/>
        <v/>
      </c>
      <c r="O75" s="10" t="str">
        <f t="shared" si="25"/>
        <v/>
      </c>
      <c r="P75" s="10" t="str">
        <f t="shared" si="26"/>
        <v/>
      </c>
      <c r="Q75" s="14" t="str">
        <f t="shared" si="27"/>
        <v/>
      </c>
    </row>
    <row r="76" spans="1:17" x14ac:dyDescent="0.25">
      <c r="A76" s="4">
        <v>46844</v>
      </c>
      <c r="B76" s="5" t="str">
        <f>IF('Catalogo de Variaveis'!I81="","",SUM('Catalogo de Variaveis'!I78:I81))</f>
        <v/>
      </c>
      <c r="C76" s="15" t="str">
        <f>IFERROR(IF($B76="","",AVERAGE('Catalogo de Variaveis'!I81-'Catalogo de Variaveis'!I80,'Catalogo de Variaveis'!I80-'Catalogo de Variaveis'!I79,'Catalogo de Variaveis'!I79-'Catalogo de Variaveis'!I78,'Catalogo de Variaveis'!I78-'Catalogo de Variaveis'!I77)),0)</f>
        <v/>
      </c>
      <c r="D76" s="13" t="str">
        <f t="shared" si="18"/>
        <v/>
      </c>
      <c r="E76" s="10" t="str">
        <f t="shared" si="14"/>
        <v/>
      </c>
      <c r="F76" s="10" t="str">
        <f t="shared" si="15"/>
        <v/>
      </c>
      <c r="G76" s="10" t="str">
        <f t="shared" si="19"/>
        <v/>
      </c>
      <c r="H76" s="10" t="str">
        <f t="shared" si="16"/>
        <v/>
      </c>
      <c r="I76" s="10" t="str">
        <f t="shared" si="20"/>
        <v/>
      </c>
      <c r="J76" s="14" t="str">
        <f t="shared" si="17"/>
        <v/>
      </c>
      <c r="K76" s="13" t="str">
        <f t="shared" si="21"/>
        <v/>
      </c>
      <c r="L76" s="10" t="str">
        <f t="shared" si="22"/>
        <v/>
      </c>
      <c r="M76" s="10" t="str">
        <f t="shared" si="23"/>
        <v/>
      </c>
      <c r="N76" s="10" t="str">
        <f t="shared" si="24"/>
        <v/>
      </c>
      <c r="O76" s="10" t="str">
        <f t="shared" si="25"/>
        <v/>
      </c>
      <c r="P76" s="10" t="str">
        <f t="shared" si="26"/>
        <v/>
      </c>
      <c r="Q76" s="14" t="str">
        <f t="shared" si="27"/>
        <v/>
      </c>
    </row>
    <row r="77" spans="1:17" x14ac:dyDescent="0.25">
      <c r="A77" s="4">
        <v>46874</v>
      </c>
      <c r="B77" s="5" t="str">
        <f>IF('Catalogo de Variaveis'!I82="","",SUM('Catalogo de Variaveis'!I79:I82))</f>
        <v/>
      </c>
      <c r="C77" s="15" t="str">
        <f>IFERROR(IF($B77="","",AVERAGE('Catalogo de Variaveis'!I82-'Catalogo de Variaveis'!I81,'Catalogo de Variaveis'!I81-'Catalogo de Variaveis'!I80,'Catalogo de Variaveis'!I80-'Catalogo de Variaveis'!I79,'Catalogo de Variaveis'!I79-'Catalogo de Variaveis'!I78)),0)</f>
        <v/>
      </c>
      <c r="D77" s="13" t="str">
        <f t="shared" si="18"/>
        <v/>
      </c>
      <c r="E77" s="10" t="str">
        <f t="shared" si="14"/>
        <v/>
      </c>
      <c r="F77" s="10" t="str">
        <f t="shared" si="15"/>
        <v/>
      </c>
      <c r="G77" s="10" t="str">
        <f t="shared" si="19"/>
        <v/>
      </c>
      <c r="H77" s="10" t="str">
        <f t="shared" si="16"/>
        <v/>
      </c>
      <c r="I77" s="10" t="str">
        <f t="shared" si="20"/>
        <v/>
      </c>
      <c r="J77" s="14" t="str">
        <f t="shared" si="17"/>
        <v/>
      </c>
      <c r="K77" s="13" t="str">
        <f t="shared" si="21"/>
        <v/>
      </c>
      <c r="L77" s="10" t="str">
        <f t="shared" si="22"/>
        <v/>
      </c>
      <c r="M77" s="10" t="str">
        <f t="shared" si="23"/>
        <v/>
      </c>
      <c r="N77" s="10" t="str">
        <f t="shared" si="24"/>
        <v/>
      </c>
      <c r="O77" s="10" t="str">
        <f t="shared" si="25"/>
        <v/>
      </c>
      <c r="P77" s="10" t="str">
        <f t="shared" si="26"/>
        <v/>
      </c>
      <c r="Q77" s="14" t="str">
        <f t="shared" si="27"/>
        <v/>
      </c>
    </row>
    <row r="78" spans="1:17" x14ac:dyDescent="0.25">
      <c r="A78" s="4">
        <v>46905</v>
      </c>
      <c r="B78" s="5" t="str">
        <f>IF('Catalogo de Variaveis'!I83="","",SUM('Catalogo de Variaveis'!I80:I83))</f>
        <v/>
      </c>
      <c r="C78" s="15" t="str">
        <f>IFERROR(IF($B78="","",AVERAGE('Catalogo de Variaveis'!I83-'Catalogo de Variaveis'!I82,'Catalogo de Variaveis'!I82-'Catalogo de Variaveis'!I81,'Catalogo de Variaveis'!I81-'Catalogo de Variaveis'!I80,'Catalogo de Variaveis'!I80-'Catalogo de Variaveis'!I79)),0)</f>
        <v/>
      </c>
      <c r="D78" s="13" t="str">
        <f t="shared" si="18"/>
        <v/>
      </c>
      <c r="E78" s="10" t="str">
        <f t="shared" si="14"/>
        <v/>
      </c>
      <c r="F78" s="10" t="str">
        <f t="shared" si="15"/>
        <v/>
      </c>
      <c r="G78" s="10" t="str">
        <f t="shared" si="19"/>
        <v/>
      </c>
      <c r="H78" s="10" t="str">
        <f t="shared" si="16"/>
        <v/>
      </c>
      <c r="I78" s="10" t="str">
        <f t="shared" si="20"/>
        <v/>
      </c>
      <c r="J78" s="14" t="str">
        <f t="shared" si="17"/>
        <v/>
      </c>
      <c r="K78" s="13" t="str">
        <f t="shared" si="21"/>
        <v/>
      </c>
      <c r="L78" s="10" t="str">
        <f t="shared" si="22"/>
        <v/>
      </c>
      <c r="M78" s="10" t="str">
        <f t="shared" si="23"/>
        <v/>
      </c>
      <c r="N78" s="10" t="str">
        <f t="shared" si="24"/>
        <v/>
      </c>
      <c r="O78" s="10" t="str">
        <f t="shared" si="25"/>
        <v/>
      </c>
      <c r="P78" s="10" t="str">
        <f t="shared" si="26"/>
        <v/>
      </c>
      <c r="Q78" s="14" t="str">
        <f t="shared" si="27"/>
        <v/>
      </c>
    </row>
    <row r="79" spans="1:17" x14ac:dyDescent="0.25">
      <c r="A79" s="4">
        <v>46935</v>
      </c>
      <c r="B79" s="5" t="str">
        <f>IF('Catalogo de Variaveis'!I84="","",SUM('Catalogo de Variaveis'!I81:I84))</f>
        <v/>
      </c>
      <c r="C79" s="15" t="str">
        <f>IFERROR(IF($B79="","",AVERAGE('Catalogo de Variaveis'!I84-'Catalogo de Variaveis'!I83,'Catalogo de Variaveis'!I83-'Catalogo de Variaveis'!I82,'Catalogo de Variaveis'!I82-'Catalogo de Variaveis'!I81,'Catalogo de Variaveis'!I81-'Catalogo de Variaveis'!I80)),0)</f>
        <v/>
      </c>
      <c r="D79" s="13" t="str">
        <f t="shared" si="18"/>
        <v/>
      </c>
      <c r="E79" s="10" t="str">
        <f t="shared" si="14"/>
        <v/>
      </c>
      <c r="F79" s="10" t="str">
        <f t="shared" si="15"/>
        <v/>
      </c>
      <c r="G79" s="10" t="str">
        <f t="shared" si="19"/>
        <v/>
      </c>
      <c r="H79" s="10" t="str">
        <f t="shared" si="16"/>
        <v/>
      </c>
      <c r="I79" s="10" t="str">
        <f t="shared" si="20"/>
        <v/>
      </c>
      <c r="J79" s="14" t="str">
        <f t="shared" si="17"/>
        <v/>
      </c>
      <c r="K79" s="13" t="str">
        <f t="shared" si="21"/>
        <v/>
      </c>
      <c r="L79" s="10" t="str">
        <f t="shared" si="22"/>
        <v/>
      </c>
      <c r="M79" s="10" t="str">
        <f t="shared" si="23"/>
        <v/>
      </c>
      <c r="N79" s="10" t="str">
        <f t="shared" si="24"/>
        <v/>
      </c>
      <c r="O79" s="10" t="str">
        <f t="shared" si="25"/>
        <v/>
      </c>
      <c r="P79" s="10" t="str">
        <f t="shared" si="26"/>
        <v/>
      </c>
      <c r="Q79" s="14" t="str">
        <f t="shared" si="27"/>
        <v/>
      </c>
    </row>
    <row r="80" spans="1:17" x14ac:dyDescent="0.25">
      <c r="A80" s="4">
        <v>46966</v>
      </c>
      <c r="B80" s="5" t="str">
        <f>IF('Catalogo de Variaveis'!I85="","",SUM('Catalogo de Variaveis'!I82:I85))</f>
        <v/>
      </c>
      <c r="C80" s="15" t="str">
        <f>IFERROR(IF($B80="","",AVERAGE('Catalogo de Variaveis'!I85-'Catalogo de Variaveis'!I84,'Catalogo de Variaveis'!I84-'Catalogo de Variaveis'!I83,'Catalogo de Variaveis'!I83-'Catalogo de Variaveis'!I82,'Catalogo de Variaveis'!I82-'Catalogo de Variaveis'!I81)),0)</f>
        <v/>
      </c>
      <c r="D80" s="13" t="str">
        <f t="shared" si="18"/>
        <v/>
      </c>
      <c r="E80" s="10" t="str">
        <f t="shared" si="14"/>
        <v/>
      </c>
      <c r="F80" s="10" t="str">
        <f t="shared" si="15"/>
        <v/>
      </c>
      <c r="G80" s="10" t="str">
        <f t="shared" si="19"/>
        <v/>
      </c>
      <c r="H80" s="10" t="str">
        <f t="shared" si="16"/>
        <v/>
      </c>
      <c r="I80" s="10" t="str">
        <f t="shared" si="20"/>
        <v/>
      </c>
      <c r="J80" s="14" t="str">
        <f t="shared" si="17"/>
        <v/>
      </c>
      <c r="K80" s="13" t="str">
        <f t="shared" si="21"/>
        <v/>
      </c>
      <c r="L80" s="10" t="str">
        <f t="shared" si="22"/>
        <v/>
      </c>
      <c r="M80" s="10" t="str">
        <f t="shared" si="23"/>
        <v/>
      </c>
      <c r="N80" s="10" t="str">
        <f t="shared" si="24"/>
        <v/>
      </c>
      <c r="O80" s="10" t="str">
        <f t="shared" si="25"/>
        <v/>
      </c>
      <c r="P80" s="10" t="str">
        <f t="shared" si="26"/>
        <v/>
      </c>
      <c r="Q80" s="14" t="str">
        <f t="shared" si="27"/>
        <v/>
      </c>
    </row>
    <row r="81" spans="1:17" x14ac:dyDescent="0.25">
      <c r="A81" s="4">
        <v>46997</v>
      </c>
      <c r="B81" s="5" t="str">
        <f>IF('Catalogo de Variaveis'!I86="","",SUM('Catalogo de Variaveis'!I83:I86))</f>
        <v/>
      </c>
      <c r="C81" s="15" t="str">
        <f>IFERROR(IF($B81="","",AVERAGE('Catalogo de Variaveis'!I86-'Catalogo de Variaveis'!I85,'Catalogo de Variaveis'!I85-'Catalogo de Variaveis'!I84,'Catalogo de Variaveis'!I84-'Catalogo de Variaveis'!I83,'Catalogo de Variaveis'!I83-'Catalogo de Variaveis'!I82)),0)</f>
        <v/>
      </c>
      <c r="D81" s="13" t="str">
        <f t="shared" si="18"/>
        <v/>
      </c>
      <c r="E81" s="10" t="str">
        <f t="shared" si="14"/>
        <v/>
      </c>
      <c r="F81" s="10" t="str">
        <f t="shared" si="15"/>
        <v/>
      </c>
      <c r="G81" s="10" t="str">
        <f t="shared" si="19"/>
        <v/>
      </c>
      <c r="H81" s="10" t="str">
        <f t="shared" si="16"/>
        <v/>
      </c>
      <c r="I81" s="10" t="str">
        <f t="shared" si="20"/>
        <v/>
      </c>
      <c r="J81" s="14" t="str">
        <f t="shared" si="17"/>
        <v/>
      </c>
      <c r="K81" s="13" t="str">
        <f t="shared" si="21"/>
        <v/>
      </c>
      <c r="L81" s="10" t="str">
        <f t="shared" si="22"/>
        <v/>
      </c>
      <c r="M81" s="10" t="str">
        <f t="shared" si="23"/>
        <v/>
      </c>
      <c r="N81" s="10" t="str">
        <f t="shared" si="24"/>
        <v/>
      </c>
      <c r="O81" s="10" t="str">
        <f t="shared" si="25"/>
        <v/>
      </c>
      <c r="P81" s="10" t="str">
        <f t="shared" si="26"/>
        <v/>
      </c>
      <c r="Q81" s="14" t="str">
        <f t="shared" si="27"/>
        <v/>
      </c>
    </row>
    <row r="82" spans="1:17" x14ac:dyDescent="0.25">
      <c r="A82" s="4">
        <v>47027</v>
      </c>
      <c r="B82" s="5" t="str">
        <f>IF('Catalogo de Variaveis'!I87="","",SUM('Catalogo de Variaveis'!I84:I87))</f>
        <v/>
      </c>
      <c r="C82" s="15" t="str">
        <f>IFERROR(IF($B82="","",AVERAGE('Catalogo de Variaveis'!I87-'Catalogo de Variaveis'!I86,'Catalogo de Variaveis'!I86-'Catalogo de Variaveis'!I85,'Catalogo de Variaveis'!I85-'Catalogo de Variaveis'!I84,'Catalogo de Variaveis'!I84-'Catalogo de Variaveis'!I83)),0)</f>
        <v/>
      </c>
      <c r="D82" s="13" t="str">
        <f t="shared" si="18"/>
        <v/>
      </c>
      <c r="E82" s="10" t="str">
        <f t="shared" si="14"/>
        <v/>
      </c>
      <c r="F82" s="10" t="str">
        <f t="shared" si="15"/>
        <v/>
      </c>
      <c r="G82" s="10" t="str">
        <f t="shared" si="19"/>
        <v/>
      </c>
      <c r="H82" s="10" t="str">
        <f t="shared" si="16"/>
        <v/>
      </c>
      <c r="I82" s="10" t="str">
        <f t="shared" si="20"/>
        <v/>
      </c>
      <c r="J82" s="14" t="str">
        <f t="shared" si="17"/>
        <v/>
      </c>
      <c r="K82" s="13" t="str">
        <f t="shared" si="21"/>
        <v/>
      </c>
      <c r="L82" s="10" t="str">
        <f t="shared" si="22"/>
        <v/>
      </c>
      <c r="M82" s="10" t="str">
        <f t="shared" si="23"/>
        <v/>
      </c>
      <c r="N82" s="10" t="str">
        <f t="shared" si="24"/>
        <v/>
      </c>
      <c r="O82" s="10" t="str">
        <f t="shared" si="25"/>
        <v/>
      </c>
      <c r="P82" s="10" t="str">
        <f t="shared" si="26"/>
        <v/>
      </c>
      <c r="Q82" s="14" t="str">
        <f t="shared" si="27"/>
        <v/>
      </c>
    </row>
    <row r="83" spans="1:17" x14ac:dyDescent="0.25">
      <c r="A83" s="4">
        <v>47058</v>
      </c>
      <c r="B83" s="5" t="str">
        <f>IF('Catalogo de Variaveis'!I88="","",SUM('Catalogo de Variaveis'!I85:I88))</f>
        <v/>
      </c>
      <c r="C83" s="15" t="str">
        <f>IFERROR(IF($B83="","",AVERAGE('Catalogo de Variaveis'!I88-'Catalogo de Variaveis'!I87,'Catalogo de Variaveis'!I87-'Catalogo de Variaveis'!I86,'Catalogo de Variaveis'!I86-'Catalogo de Variaveis'!I85,'Catalogo de Variaveis'!I85-'Catalogo de Variaveis'!I84)),0)</f>
        <v/>
      </c>
      <c r="D83" s="13" t="str">
        <f t="shared" si="18"/>
        <v/>
      </c>
      <c r="E83" s="10" t="str">
        <f t="shared" si="14"/>
        <v/>
      </c>
      <c r="F83" s="10" t="str">
        <f t="shared" si="15"/>
        <v/>
      </c>
      <c r="G83" s="10" t="str">
        <f t="shared" si="19"/>
        <v/>
      </c>
      <c r="H83" s="10" t="str">
        <f t="shared" si="16"/>
        <v/>
      </c>
      <c r="I83" s="10" t="str">
        <f t="shared" si="20"/>
        <v/>
      </c>
      <c r="J83" s="14" t="str">
        <f t="shared" si="17"/>
        <v/>
      </c>
      <c r="K83" s="13" t="str">
        <f t="shared" si="21"/>
        <v/>
      </c>
      <c r="L83" s="10" t="str">
        <f t="shared" si="22"/>
        <v/>
      </c>
      <c r="M83" s="10" t="str">
        <f t="shared" si="23"/>
        <v/>
      </c>
      <c r="N83" s="10" t="str">
        <f t="shared" si="24"/>
        <v/>
      </c>
      <c r="O83" s="10" t="str">
        <f t="shared" si="25"/>
        <v/>
      </c>
      <c r="P83" s="10" t="str">
        <f t="shared" si="26"/>
        <v/>
      </c>
      <c r="Q83" s="14" t="str">
        <f t="shared" si="27"/>
        <v/>
      </c>
    </row>
    <row r="84" spans="1:17" x14ac:dyDescent="0.25">
      <c r="A84" s="4">
        <v>47088</v>
      </c>
      <c r="B84" s="5" t="str">
        <f>IF('Catalogo de Variaveis'!I89="","",SUM('Catalogo de Variaveis'!I86:I89))</f>
        <v/>
      </c>
      <c r="C84" s="15" t="str">
        <f>IFERROR(IF($B84="","",AVERAGE('Catalogo de Variaveis'!I89-'Catalogo de Variaveis'!I88,'Catalogo de Variaveis'!I88-'Catalogo de Variaveis'!I87,'Catalogo de Variaveis'!I87-'Catalogo de Variaveis'!I86,'Catalogo de Variaveis'!I86-'Catalogo de Variaveis'!I85)),0)</f>
        <v/>
      </c>
      <c r="D84" s="13" t="str">
        <f t="shared" si="18"/>
        <v/>
      </c>
      <c r="E84" s="10" t="str">
        <f t="shared" si="14"/>
        <v/>
      </c>
      <c r="F84" s="10" t="str">
        <f t="shared" si="15"/>
        <v/>
      </c>
      <c r="G84" s="10" t="str">
        <f t="shared" si="19"/>
        <v/>
      </c>
      <c r="H84" s="10" t="str">
        <f t="shared" si="16"/>
        <v/>
      </c>
      <c r="I84" s="10" t="str">
        <f t="shared" si="20"/>
        <v/>
      </c>
      <c r="J84" s="14" t="str">
        <f t="shared" si="17"/>
        <v/>
      </c>
      <c r="K84" s="13" t="str">
        <f t="shared" si="21"/>
        <v/>
      </c>
      <c r="L84" s="10" t="str">
        <f t="shared" si="22"/>
        <v/>
      </c>
      <c r="M84" s="10" t="str">
        <f t="shared" si="23"/>
        <v/>
      </c>
      <c r="N84" s="10" t="str">
        <f t="shared" si="24"/>
        <v/>
      </c>
      <c r="O84" s="10" t="str">
        <f t="shared" si="25"/>
        <v/>
      </c>
      <c r="P84" s="10" t="str">
        <f t="shared" si="26"/>
        <v/>
      </c>
      <c r="Q84" s="14" t="str">
        <f t="shared" si="27"/>
        <v/>
      </c>
    </row>
    <row r="85" spans="1:17" x14ac:dyDescent="0.25">
      <c r="A85" s="4">
        <v>47119</v>
      </c>
      <c r="B85" s="5" t="str">
        <f>IF('Catalogo de Variaveis'!I90="","",SUM('Catalogo de Variaveis'!I87:I90))</f>
        <v/>
      </c>
      <c r="C85" s="15" t="str">
        <f>IFERROR(IF($B85="","",AVERAGE('Catalogo de Variaveis'!I90-'Catalogo de Variaveis'!I89,'Catalogo de Variaveis'!I89-'Catalogo de Variaveis'!I88,'Catalogo de Variaveis'!I88-'Catalogo de Variaveis'!I87,'Catalogo de Variaveis'!I87-'Catalogo de Variaveis'!I86)),0)</f>
        <v/>
      </c>
      <c r="D85" s="13" t="str">
        <f t="shared" si="18"/>
        <v/>
      </c>
      <c r="E85" s="10" t="str">
        <f t="shared" si="14"/>
        <v/>
      </c>
      <c r="F85" s="10" t="str">
        <f t="shared" si="15"/>
        <v/>
      </c>
      <c r="G85" s="10" t="str">
        <f t="shared" si="19"/>
        <v/>
      </c>
      <c r="H85" s="10" t="str">
        <f t="shared" si="16"/>
        <v/>
      </c>
      <c r="I85" s="10" t="str">
        <f t="shared" si="20"/>
        <v/>
      </c>
      <c r="J85" s="14" t="str">
        <f t="shared" si="17"/>
        <v/>
      </c>
      <c r="K85" s="13" t="str">
        <f t="shared" si="21"/>
        <v/>
      </c>
      <c r="L85" s="10" t="str">
        <f t="shared" si="22"/>
        <v/>
      </c>
      <c r="M85" s="10" t="str">
        <f t="shared" si="23"/>
        <v/>
      </c>
      <c r="N85" s="10" t="str">
        <f t="shared" si="24"/>
        <v/>
      </c>
      <c r="O85" s="10" t="str">
        <f t="shared" si="25"/>
        <v/>
      </c>
      <c r="P85" s="10" t="str">
        <f t="shared" si="26"/>
        <v/>
      </c>
      <c r="Q85" s="14" t="str">
        <f t="shared" si="27"/>
        <v/>
      </c>
    </row>
    <row r="86" spans="1:17" x14ac:dyDescent="0.25">
      <c r="A86" s="4">
        <v>47150</v>
      </c>
      <c r="B86" s="5" t="str">
        <f>IF('Catalogo de Variaveis'!I91="","",SUM('Catalogo de Variaveis'!I88:I91))</f>
        <v/>
      </c>
      <c r="C86" s="15" t="str">
        <f>IFERROR(IF($B86="","",AVERAGE('Catalogo de Variaveis'!I91-'Catalogo de Variaveis'!I90,'Catalogo de Variaveis'!I90-'Catalogo de Variaveis'!I89,'Catalogo de Variaveis'!I89-'Catalogo de Variaveis'!I88,'Catalogo de Variaveis'!I88-'Catalogo de Variaveis'!I87)),0)</f>
        <v/>
      </c>
      <c r="D86" s="13" t="str">
        <f t="shared" si="18"/>
        <v/>
      </c>
      <c r="E86" s="10" t="str">
        <f t="shared" si="14"/>
        <v/>
      </c>
      <c r="F86" s="10" t="str">
        <f t="shared" si="15"/>
        <v/>
      </c>
      <c r="G86" s="10" t="str">
        <f t="shared" si="19"/>
        <v/>
      </c>
      <c r="H86" s="10" t="str">
        <f t="shared" si="16"/>
        <v/>
      </c>
      <c r="I86" s="10" t="str">
        <f t="shared" si="20"/>
        <v/>
      </c>
      <c r="J86" s="14" t="str">
        <f t="shared" si="17"/>
        <v/>
      </c>
      <c r="K86" s="13" t="str">
        <f t="shared" si="21"/>
        <v/>
      </c>
      <c r="L86" s="10" t="str">
        <f t="shared" si="22"/>
        <v/>
      </c>
      <c r="M86" s="10" t="str">
        <f t="shared" si="23"/>
        <v/>
      </c>
      <c r="N86" s="10" t="str">
        <f t="shared" si="24"/>
        <v/>
      </c>
      <c r="O86" s="10" t="str">
        <f t="shared" si="25"/>
        <v/>
      </c>
      <c r="P86" s="10" t="str">
        <f t="shared" si="26"/>
        <v/>
      </c>
      <c r="Q86" s="14" t="str">
        <f t="shared" si="27"/>
        <v/>
      </c>
    </row>
    <row r="87" spans="1:17" x14ac:dyDescent="0.25">
      <c r="A87" s="4">
        <v>47178</v>
      </c>
      <c r="B87" s="5" t="str">
        <f>IF('Catalogo de Variaveis'!I92="","",SUM('Catalogo de Variaveis'!I89:I92))</f>
        <v/>
      </c>
      <c r="C87" s="15" t="str">
        <f>IFERROR(IF($B87="","",AVERAGE('Catalogo de Variaveis'!I92-'Catalogo de Variaveis'!I91,'Catalogo de Variaveis'!I91-'Catalogo de Variaveis'!I90,'Catalogo de Variaveis'!I90-'Catalogo de Variaveis'!I89,'Catalogo de Variaveis'!I89-'Catalogo de Variaveis'!I88)),0)</f>
        <v/>
      </c>
      <c r="D87" s="13" t="str">
        <f t="shared" si="18"/>
        <v/>
      </c>
      <c r="E87" s="10" t="str">
        <f t="shared" si="14"/>
        <v/>
      </c>
      <c r="F87" s="10" t="str">
        <f t="shared" si="15"/>
        <v/>
      </c>
      <c r="G87" s="10" t="str">
        <f t="shared" si="19"/>
        <v/>
      </c>
      <c r="H87" s="10" t="str">
        <f t="shared" si="16"/>
        <v/>
      </c>
      <c r="I87" s="10" t="str">
        <f t="shared" si="20"/>
        <v/>
      </c>
      <c r="J87" s="14" t="str">
        <f t="shared" si="17"/>
        <v/>
      </c>
      <c r="K87" s="13" t="str">
        <f t="shared" si="21"/>
        <v/>
      </c>
      <c r="L87" s="10" t="str">
        <f t="shared" si="22"/>
        <v/>
      </c>
      <c r="M87" s="10" t="str">
        <f t="shared" si="23"/>
        <v/>
      </c>
      <c r="N87" s="10" t="str">
        <f t="shared" si="24"/>
        <v/>
      </c>
      <c r="O87" s="10" t="str">
        <f t="shared" si="25"/>
        <v/>
      </c>
      <c r="P87" s="10" t="str">
        <f t="shared" si="26"/>
        <v/>
      </c>
      <c r="Q87" s="14" t="str">
        <f t="shared" si="27"/>
        <v/>
      </c>
    </row>
    <row r="88" spans="1:17" x14ac:dyDescent="0.25">
      <c r="A88" s="4">
        <v>47209</v>
      </c>
      <c r="B88" s="5" t="str">
        <f>IF('Catalogo de Variaveis'!I93="","",SUM('Catalogo de Variaveis'!I90:I93))</f>
        <v/>
      </c>
      <c r="C88" s="15" t="str">
        <f>IFERROR(IF($B88="","",AVERAGE('Catalogo de Variaveis'!I93-'Catalogo de Variaveis'!I92,'Catalogo de Variaveis'!I92-'Catalogo de Variaveis'!I91,'Catalogo de Variaveis'!I91-'Catalogo de Variaveis'!I90,'Catalogo de Variaveis'!I90-'Catalogo de Variaveis'!I89)),0)</f>
        <v/>
      </c>
      <c r="D88" s="13" t="str">
        <f t="shared" si="18"/>
        <v/>
      </c>
      <c r="E88" s="10" t="str">
        <f t="shared" si="14"/>
        <v/>
      </c>
      <c r="F88" s="10" t="str">
        <f t="shared" si="15"/>
        <v/>
      </c>
      <c r="G88" s="10" t="str">
        <f t="shared" si="19"/>
        <v/>
      </c>
      <c r="H88" s="10" t="str">
        <f t="shared" si="16"/>
        <v/>
      </c>
      <c r="I88" s="10" t="str">
        <f t="shared" si="20"/>
        <v/>
      </c>
      <c r="J88" s="14" t="str">
        <f t="shared" si="17"/>
        <v/>
      </c>
      <c r="K88" s="13" t="str">
        <f t="shared" si="21"/>
        <v/>
      </c>
      <c r="L88" s="10" t="str">
        <f t="shared" si="22"/>
        <v/>
      </c>
      <c r="M88" s="10" t="str">
        <f t="shared" si="23"/>
        <v/>
      </c>
      <c r="N88" s="10" t="str">
        <f t="shared" si="24"/>
        <v/>
      </c>
      <c r="O88" s="10" t="str">
        <f t="shared" si="25"/>
        <v/>
      </c>
      <c r="P88" s="10" t="str">
        <f t="shared" si="26"/>
        <v/>
      </c>
      <c r="Q88" s="14" t="str">
        <f t="shared" si="27"/>
        <v/>
      </c>
    </row>
    <row r="89" spans="1:17" x14ac:dyDescent="0.25">
      <c r="A89" s="4">
        <v>47239</v>
      </c>
      <c r="B89" s="5" t="str">
        <f>IF('Catalogo de Variaveis'!I94="","",SUM('Catalogo de Variaveis'!I91:I94))</f>
        <v/>
      </c>
      <c r="C89" s="15" t="str">
        <f>IFERROR(IF($B89="","",AVERAGE('Catalogo de Variaveis'!I94-'Catalogo de Variaveis'!I93,'Catalogo de Variaveis'!I93-'Catalogo de Variaveis'!I92,'Catalogo de Variaveis'!I92-'Catalogo de Variaveis'!I91,'Catalogo de Variaveis'!I91-'Catalogo de Variaveis'!I90)),0)</f>
        <v/>
      </c>
      <c r="D89" s="13" t="str">
        <f t="shared" si="18"/>
        <v/>
      </c>
      <c r="E89" s="10" t="str">
        <f t="shared" si="14"/>
        <v/>
      </c>
      <c r="F89" s="10" t="str">
        <f t="shared" si="15"/>
        <v/>
      </c>
      <c r="G89" s="10" t="str">
        <f t="shared" si="19"/>
        <v/>
      </c>
      <c r="H89" s="10" t="str">
        <f t="shared" si="16"/>
        <v/>
      </c>
      <c r="I89" s="10" t="str">
        <f t="shared" si="20"/>
        <v/>
      </c>
      <c r="J89" s="14" t="str">
        <f t="shared" si="17"/>
        <v/>
      </c>
      <c r="K89" s="13" t="str">
        <f t="shared" si="21"/>
        <v/>
      </c>
      <c r="L89" s="10" t="str">
        <f t="shared" si="22"/>
        <v/>
      </c>
      <c r="M89" s="10" t="str">
        <f t="shared" si="23"/>
        <v/>
      </c>
      <c r="N89" s="10" t="str">
        <f t="shared" si="24"/>
        <v/>
      </c>
      <c r="O89" s="10" t="str">
        <f t="shared" si="25"/>
        <v/>
      </c>
      <c r="P89" s="10" t="str">
        <f t="shared" si="26"/>
        <v/>
      </c>
      <c r="Q89" s="14" t="str">
        <f t="shared" si="27"/>
        <v/>
      </c>
    </row>
    <row r="90" spans="1:17" x14ac:dyDescent="0.25">
      <c r="A90" s="4">
        <v>47270</v>
      </c>
      <c r="B90" s="5" t="str">
        <f>IF('Catalogo de Variaveis'!I95="","",SUM('Catalogo de Variaveis'!I92:I95))</f>
        <v/>
      </c>
      <c r="C90" s="15" t="str">
        <f>IFERROR(IF($B90="","",AVERAGE('Catalogo de Variaveis'!I95-'Catalogo de Variaveis'!I94,'Catalogo de Variaveis'!I94-'Catalogo de Variaveis'!I93,'Catalogo de Variaveis'!I93-'Catalogo de Variaveis'!I92,'Catalogo de Variaveis'!I92-'Catalogo de Variaveis'!I91)),0)</f>
        <v/>
      </c>
      <c r="D90" s="13" t="str">
        <f t="shared" si="18"/>
        <v/>
      </c>
      <c r="E90" s="10" t="str">
        <f t="shared" si="14"/>
        <v/>
      </c>
      <c r="F90" s="10" t="str">
        <f t="shared" si="15"/>
        <v/>
      </c>
      <c r="G90" s="10" t="str">
        <f t="shared" si="19"/>
        <v/>
      </c>
      <c r="H90" s="10" t="str">
        <f t="shared" si="16"/>
        <v/>
      </c>
      <c r="I90" s="10" t="str">
        <f t="shared" si="20"/>
        <v/>
      </c>
      <c r="J90" s="14" t="str">
        <f t="shared" si="17"/>
        <v/>
      </c>
      <c r="K90" s="13" t="str">
        <f t="shared" si="21"/>
        <v/>
      </c>
      <c r="L90" s="10" t="str">
        <f t="shared" si="22"/>
        <v/>
      </c>
      <c r="M90" s="10" t="str">
        <f t="shared" si="23"/>
        <v/>
      </c>
      <c r="N90" s="10" t="str">
        <f t="shared" si="24"/>
        <v/>
      </c>
      <c r="O90" s="10" t="str">
        <f t="shared" si="25"/>
        <v/>
      </c>
      <c r="P90" s="10" t="str">
        <f t="shared" si="26"/>
        <v/>
      </c>
      <c r="Q90" s="14" t="str">
        <f t="shared" si="27"/>
        <v/>
      </c>
    </row>
    <row r="91" spans="1:17" x14ac:dyDescent="0.25">
      <c r="A91" s="4">
        <v>47300</v>
      </c>
      <c r="B91" s="5" t="str">
        <f>IF('Catalogo de Variaveis'!I96="","",SUM('Catalogo de Variaveis'!I93:I96))</f>
        <v/>
      </c>
      <c r="C91" s="15" t="str">
        <f>IFERROR(IF($B91="","",AVERAGE('Catalogo de Variaveis'!I96-'Catalogo de Variaveis'!I95,'Catalogo de Variaveis'!I95-'Catalogo de Variaveis'!I94,'Catalogo de Variaveis'!I94-'Catalogo de Variaveis'!I93,'Catalogo de Variaveis'!I93-'Catalogo de Variaveis'!I92)),0)</f>
        <v/>
      </c>
      <c r="D91" s="13" t="str">
        <f t="shared" si="18"/>
        <v/>
      </c>
      <c r="E91" s="10" t="str">
        <f t="shared" si="14"/>
        <v/>
      </c>
      <c r="F91" s="10" t="str">
        <f t="shared" si="15"/>
        <v/>
      </c>
      <c r="G91" s="10" t="str">
        <f t="shared" si="19"/>
        <v/>
      </c>
      <c r="H91" s="10" t="str">
        <f t="shared" si="16"/>
        <v/>
      </c>
      <c r="I91" s="10" t="str">
        <f t="shared" si="20"/>
        <v/>
      </c>
      <c r="J91" s="14" t="str">
        <f t="shared" si="17"/>
        <v/>
      </c>
      <c r="K91" s="13" t="str">
        <f t="shared" si="21"/>
        <v/>
      </c>
      <c r="L91" s="10" t="str">
        <f t="shared" si="22"/>
        <v/>
      </c>
      <c r="M91" s="10" t="str">
        <f t="shared" si="23"/>
        <v/>
      </c>
      <c r="N91" s="10" t="str">
        <f t="shared" si="24"/>
        <v/>
      </c>
      <c r="O91" s="10" t="str">
        <f t="shared" si="25"/>
        <v/>
      </c>
      <c r="P91" s="10" t="str">
        <f t="shared" si="26"/>
        <v/>
      </c>
      <c r="Q91" s="14" t="str">
        <f t="shared" si="27"/>
        <v/>
      </c>
    </row>
    <row r="92" spans="1:17" x14ac:dyDescent="0.25">
      <c r="A92" s="4">
        <v>47331</v>
      </c>
      <c r="B92" s="5" t="str">
        <f>IF('Catalogo de Variaveis'!I97="","",SUM('Catalogo de Variaveis'!I94:I97))</f>
        <v/>
      </c>
      <c r="C92" s="15" t="str">
        <f>IFERROR(IF($B92="","",AVERAGE('Catalogo de Variaveis'!I97-'Catalogo de Variaveis'!I96,'Catalogo de Variaveis'!I96-'Catalogo de Variaveis'!I95,'Catalogo de Variaveis'!I95-'Catalogo de Variaveis'!I94,'Catalogo de Variaveis'!I94-'Catalogo de Variaveis'!I93)),0)</f>
        <v/>
      </c>
      <c r="D92" s="13" t="str">
        <f t="shared" si="18"/>
        <v/>
      </c>
      <c r="E92" s="10" t="str">
        <f t="shared" si="14"/>
        <v/>
      </c>
      <c r="F92" s="10" t="str">
        <f t="shared" si="15"/>
        <v/>
      </c>
      <c r="G92" s="10" t="str">
        <f t="shared" si="19"/>
        <v/>
      </c>
      <c r="H92" s="10" t="str">
        <f t="shared" si="16"/>
        <v/>
      </c>
      <c r="I92" s="10" t="str">
        <f t="shared" si="20"/>
        <v/>
      </c>
      <c r="J92" s="14" t="str">
        <f t="shared" si="17"/>
        <v/>
      </c>
      <c r="K92" s="13" t="str">
        <f t="shared" si="21"/>
        <v/>
      </c>
      <c r="L92" s="10" t="str">
        <f t="shared" si="22"/>
        <v/>
      </c>
      <c r="M92" s="10" t="str">
        <f t="shared" si="23"/>
        <v/>
      </c>
      <c r="N92" s="10" t="str">
        <f t="shared" si="24"/>
        <v/>
      </c>
      <c r="O92" s="10" t="str">
        <f t="shared" si="25"/>
        <v/>
      </c>
      <c r="P92" s="10" t="str">
        <f t="shared" si="26"/>
        <v/>
      </c>
      <c r="Q92" s="14" t="str">
        <f t="shared" si="27"/>
        <v/>
      </c>
    </row>
    <row r="93" spans="1:17" x14ac:dyDescent="0.25">
      <c r="A93" s="4">
        <v>47362</v>
      </c>
      <c r="B93" s="5" t="str">
        <f>IF('Catalogo de Variaveis'!I98="","",SUM('Catalogo de Variaveis'!I95:I98))</f>
        <v/>
      </c>
      <c r="C93" s="15" t="str">
        <f>IFERROR(IF($B93="","",AVERAGE('Catalogo de Variaveis'!I98-'Catalogo de Variaveis'!I97,'Catalogo de Variaveis'!I97-'Catalogo de Variaveis'!I96,'Catalogo de Variaveis'!I96-'Catalogo de Variaveis'!I95,'Catalogo de Variaveis'!I95-'Catalogo de Variaveis'!I94)),0)</f>
        <v/>
      </c>
      <c r="D93" s="13" t="str">
        <f t="shared" si="18"/>
        <v/>
      </c>
      <c r="E93" s="10" t="str">
        <f t="shared" si="14"/>
        <v/>
      </c>
      <c r="F93" s="10" t="str">
        <f t="shared" si="15"/>
        <v/>
      </c>
      <c r="G93" s="10" t="str">
        <f t="shared" si="19"/>
        <v/>
      </c>
      <c r="H93" s="10" t="str">
        <f t="shared" si="16"/>
        <v/>
      </c>
      <c r="I93" s="10" t="str">
        <f t="shared" si="20"/>
        <v/>
      </c>
      <c r="J93" s="14" t="str">
        <f t="shared" si="17"/>
        <v/>
      </c>
      <c r="K93" s="13" t="str">
        <f t="shared" si="21"/>
        <v/>
      </c>
      <c r="L93" s="10" t="str">
        <f t="shared" si="22"/>
        <v/>
      </c>
      <c r="M93" s="10" t="str">
        <f t="shared" si="23"/>
        <v/>
      </c>
      <c r="N93" s="10" t="str">
        <f t="shared" si="24"/>
        <v/>
      </c>
      <c r="O93" s="10" t="str">
        <f t="shared" si="25"/>
        <v/>
      </c>
      <c r="P93" s="10" t="str">
        <f t="shared" si="26"/>
        <v/>
      </c>
      <c r="Q93" s="14" t="str">
        <f t="shared" si="27"/>
        <v/>
      </c>
    </row>
    <row r="94" spans="1:17" x14ac:dyDescent="0.25">
      <c r="A94" s="4">
        <v>47392</v>
      </c>
      <c r="B94" s="5" t="str">
        <f>IF('Catalogo de Variaveis'!I99="","",SUM('Catalogo de Variaveis'!I96:I99))</f>
        <v/>
      </c>
      <c r="C94" s="15" t="str">
        <f>IFERROR(IF($B94="","",AVERAGE('Catalogo de Variaveis'!I99-'Catalogo de Variaveis'!I98,'Catalogo de Variaveis'!I98-'Catalogo de Variaveis'!I97,'Catalogo de Variaveis'!I97-'Catalogo de Variaveis'!I96,'Catalogo de Variaveis'!I96-'Catalogo de Variaveis'!I95)),0)</f>
        <v/>
      </c>
      <c r="D94" s="13" t="str">
        <f t="shared" si="18"/>
        <v/>
      </c>
      <c r="E94" s="10" t="str">
        <f t="shared" si="14"/>
        <v/>
      </c>
      <c r="F94" s="10" t="str">
        <f t="shared" si="15"/>
        <v/>
      </c>
      <c r="G94" s="10" t="str">
        <f t="shared" si="19"/>
        <v/>
      </c>
      <c r="H94" s="10" t="str">
        <f t="shared" si="16"/>
        <v/>
      </c>
      <c r="I94" s="10" t="str">
        <f t="shared" si="20"/>
        <v/>
      </c>
      <c r="J94" s="14" t="str">
        <f t="shared" si="17"/>
        <v/>
      </c>
      <c r="K94" s="13" t="str">
        <f t="shared" si="21"/>
        <v/>
      </c>
      <c r="L94" s="10" t="str">
        <f t="shared" si="22"/>
        <v/>
      </c>
      <c r="M94" s="10" t="str">
        <f t="shared" si="23"/>
        <v/>
      </c>
      <c r="N94" s="10" t="str">
        <f t="shared" si="24"/>
        <v/>
      </c>
      <c r="O94" s="10" t="str">
        <f t="shared" si="25"/>
        <v/>
      </c>
      <c r="P94" s="10" t="str">
        <f t="shared" si="26"/>
        <v/>
      </c>
      <c r="Q94" s="14" t="str">
        <f t="shared" si="27"/>
        <v/>
      </c>
    </row>
    <row r="95" spans="1:17" x14ac:dyDescent="0.25">
      <c r="A95" s="4">
        <v>47423</v>
      </c>
      <c r="B95" s="5" t="str">
        <f>IF('Catalogo de Variaveis'!I100="","",SUM('Catalogo de Variaveis'!I97:I100))</f>
        <v/>
      </c>
      <c r="C95" s="15" t="str">
        <f>IFERROR(IF($B95="","",AVERAGE('Catalogo de Variaveis'!I100-'Catalogo de Variaveis'!I99,'Catalogo de Variaveis'!I99-'Catalogo de Variaveis'!I98,'Catalogo de Variaveis'!I98-'Catalogo de Variaveis'!I97,'Catalogo de Variaveis'!I97-'Catalogo de Variaveis'!I96)),0)</f>
        <v/>
      </c>
      <c r="D95" s="13" t="str">
        <f t="shared" si="18"/>
        <v/>
      </c>
      <c r="E95" s="10" t="str">
        <f t="shared" ref="E95:E96" si="28">IF($B95="","",IF(OR($J$1="",$J$2=""),$B$1-2*$B$2,$J$1-2*$J$2))</f>
        <v/>
      </c>
      <c r="F95" s="10" t="str">
        <f t="shared" ref="F95:F96" si="29">IF($B95="","",IF(OR($J$1="",$J$2=""),$B$1-$B$2,$J$1-$J$2))</f>
        <v/>
      </c>
      <c r="G95" s="10" t="str">
        <f t="shared" si="19"/>
        <v/>
      </c>
      <c r="H95" s="10" t="str">
        <f t="shared" ref="H95:H96" si="30">IF($B95="","",IF(OR($J$1="",$J$2=""),$B$1+$B$2,$J$1+$J$2))</f>
        <v/>
      </c>
      <c r="I95" s="10" t="str">
        <f t="shared" si="20"/>
        <v/>
      </c>
      <c r="J95" s="14" t="str">
        <f t="shared" ref="J95:J96" si="31">IF($B95="","",IF(OR($J$1="",$J$2=""),$B$1+3*$B$2,$J$1+3*$J$2))</f>
        <v/>
      </c>
      <c r="K95" s="13" t="str">
        <f t="shared" si="21"/>
        <v/>
      </c>
      <c r="L95" s="10" t="str">
        <f t="shared" si="22"/>
        <v/>
      </c>
      <c r="M95" s="10" t="str">
        <f t="shared" si="23"/>
        <v/>
      </c>
      <c r="N95" s="10" t="str">
        <f t="shared" si="24"/>
        <v/>
      </c>
      <c r="O95" s="10" t="str">
        <f t="shared" si="25"/>
        <v/>
      </c>
      <c r="P95" s="10" t="str">
        <f t="shared" si="26"/>
        <v/>
      </c>
      <c r="Q95" s="14" t="str">
        <f t="shared" si="27"/>
        <v/>
      </c>
    </row>
    <row r="96" spans="1:17" x14ac:dyDescent="0.25">
      <c r="A96" s="4">
        <v>47453</v>
      </c>
      <c r="B96" s="5" t="str">
        <f>IF('Catalogo de Variaveis'!I101="","",SUM('Catalogo de Variaveis'!I98:I101))</f>
        <v/>
      </c>
      <c r="C96" s="15" t="str">
        <f>IFERROR(IF($B96="","",AVERAGE('Catalogo de Variaveis'!I101-'Catalogo de Variaveis'!I100,'Catalogo de Variaveis'!I100-'Catalogo de Variaveis'!I99,'Catalogo de Variaveis'!I99-'Catalogo de Variaveis'!I98,'Catalogo de Variaveis'!I98-'Catalogo de Variaveis'!I97)),0)</f>
        <v/>
      </c>
      <c r="D96" s="13" t="str">
        <f t="shared" si="18"/>
        <v/>
      </c>
      <c r="E96" s="10" t="str">
        <f t="shared" si="28"/>
        <v/>
      </c>
      <c r="F96" s="10" t="str">
        <f t="shared" si="29"/>
        <v/>
      </c>
      <c r="G96" s="10" t="str">
        <f t="shared" si="19"/>
        <v/>
      </c>
      <c r="H96" s="10" t="str">
        <f t="shared" si="30"/>
        <v/>
      </c>
      <c r="I96" s="10" t="str">
        <f t="shared" si="20"/>
        <v/>
      </c>
      <c r="J96" s="14" t="str">
        <f t="shared" si="31"/>
        <v/>
      </c>
      <c r="K96" s="13" t="str">
        <f t="shared" si="21"/>
        <v/>
      </c>
      <c r="L96" s="10" t="str">
        <f t="shared" si="22"/>
        <v/>
      </c>
      <c r="M96" s="10" t="str">
        <f t="shared" si="23"/>
        <v/>
      </c>
      <c r="N96" s="10" t="str">
        <f t="shared" si="24"/>
        <v/>
      </c>
      <c r="O96" s="10" t="str">
        <f t="shared" si="25"/>
        <v/>
      </c>
      <c r="P96" s="10" t="str">
        <f t="shared" si="26"/>
        <v/>
      </c>
      <c r="Q96" s="14" t="str">
        <f t="shared" si="27"/>
        <v/>
      </c>
    </row>
  </sheetData>
  <mergeCells count="4">
    <mergeCell ref="A5:Q6"/>
    <mergeCell ref="A7:C7"/>
    <mergeCell ref="D7:J7"/>
    <mergeCell ref="K7:Q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E83F-453F-43B3-9D1A-5D3E3657092D}">
  <dimension ref="A1:Q96"/>
  <sheetViews>
    <sheetView topLeftCell="A5" zoomScale="161" zoomScaleNormal="161" workbookViewId="0">
      <selection activeCell="A5" sqref="A5:Q6"/>
    </sheetView>
  </sheetViews>
  <sheetFormatPr defaultColWidth="0" defaultRowHeight="15" x14ac:dyDescent="0.25"/>
  <cols>
    <col min="1" max="1" width="13.85546875" style="2" bestFit="1" customWidth="1"/>
    <col min="2" max="3" width="10.7109375" customWidth="1"/>
    <col min="4" max="17" width="9.140625" customWidth="1"/>
    <col min="18" max="16384" width="9.140625" hidden="1"/>
  </cols>
  <sheetData>
    <row r="1" spans="1:17" hidden="1" x14ac:dyDescent="0.25">
      <c r="A1" s="7" t="s">
        <v>0</v>
      </c>
      <c r="B1" s="9">
        <f>AVERAGE(B9:B1048576)</f>
        <v>57.631578947368418</v>
      </c>
      <c r="C1" s="9">
        <f>AVERAGE(C9:C1048576)</f>
        <v>0.42105263157894735</v>
      </c>
      <c r="I1" s="7" t="s">
        <v>25</v>
      </c>
      <c r="J1" s="16" t="str">
        <f>IF(LME="","",LME)</f>
        <v/>
      </c>
    </row>
    <row r="2" spans="1:17" hidden="1" x14ac:dyDescent="0.25">
      <c r="A2" s="7" t="s">
        <v>1</v>
      </c>
      <c r="B2" s="9">
        <f>_xlfn.STDEV.S(B9:B1048576)</f>
        <v>18.623468270236824</v>
      </c>
      <c r="C2" s="9">
        <f>_xlfn.STDEV.S(C9:C1048576)</f>
        <v>2.4646865811094512</v>
      </c>
      <c r="I2" s="7" t="s">
        <v>26</v>
      </c>
      <c r="J2" s="16" t="str">
        <f>IF(VME="","",VME/3)</f>
        <v/>
      </c>
    </row>
    <row r="3" spans="1:17" hidden="1" x14ac:dyDescent="0.25">
      <c r="A3" s="7" t="s">
        <v>2</v>
      </c>
      <c r="B3" s="9">
        <f>MAX(B9:B1048576)</f>
        <v>103</v>
      </c>
      <c r="C3" s="9">
        <f>MAX(C9:C1048576)</f>
        <v>4.25</v>
      </c>
    </row>
    <row r="4" spans="1:17" hidden="1" x14ac:dyDescent="0.25">
      <c r="A4" s="7" t="s">
        <v>3</v>
      </c>
      <c r="B4" s="9">
        <f>MIN(B9:B1048576)</f>
        <v>16</v>
      </c>
      <c r="C4" s="9">
        <f>MIN(C9:C1048576)</f>
        <v>-6</v>
      </c>
    </row>
    <row r="5" spans="1:17" x14ac:dyDescent="0.25">
      <c r="A5" s="22" t="s">
        <v>43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>
        <v>44805</v>
      </c>
      <c r="B9" s="5">
        <f>IF('Catalogo de Variaveis'!J14="","",SUM('Catalogo de Variaveis'!J11:J14))</f>
        <v>16</v>
      </c>
      <c r="C9" s="15">
        <f>IFERROR(IF($B9="","",AVERAGE('Catalogo de Variaveis'!J14-'Catalogo de Variaveis'!J13,'Catalogo de Variaveis'!J13-'Catalogo de Variaveis'!J12,'Catalogo de Variaveis'!J12-'Catalogo de Variaveis'!J11,'Catalogo de Variaveis'!J11-'Catalogo de Variaveis'!J10)),0)</f>
        <v>4</v>
      </c>
      <c r="D9" s="13">
        <f t="shared" ref="D9:D59" si="0">IF($B9="","",IF(OR($J$1="",$J$2=""),$B$1-3*$B$2,$J$1-3*$J$2))</f>
        <v>1.7611741366579494</v>
      </c>
      <c r="E9" s="10">
        <f t="shared" ref="E9:E29" si="1">IF($B9="","",IF(OR($J$1="",$J$2=""),$B$1-2*$B$2,$J$1-2*$J$2))</f>
        <v>20.38464240689477</v>
      </c>
      <c r="F9" s="10">
        <f t="shared" ref="F9:F29" si="2">IF($B9="","",IF(OR($J$1="",$J$2=""),$B$1-$B$2,$J$1-$J$2))</f>
        <v>39.008110677131597</v>
      </c>
      <c r="G9" s="10">
        <f t="shared" ref="G9:G59" si="3">IF($B9="","",IF(OR($J$1="",$J$2=""),$B$1,$J$1))</f>
        <v>57.631578947368418</v>
      </c>
      <c r="H9" s="10">
        <f t="shared" ref="H9:H29" si="4">IF($B9="","",IF(OR($J$1="",$J$2=""),$B$1+$B$2,$J$1+$J$2))</f>
        <v>76.255047217605238</v>
      </c>
      <c r="I9" s="10">
        <f t="shared" ref="I9:I59" si="5">IF($B9="","",IF(OR($J$1="",$J$2=""),$B$1+2*$B$2,$J$1+2*$J$2))</f>
        <v>94.878515487842066</v>
      </c>
      <c r="J9" s="14">
        <f t="shared" ref="J9:J29" si="6">IF($B9="","",IF(OR($J$1="",$J$2=""),$B$1+3*$B$2,$J$1+3*$J$2))</f>
        <v>113.50198375807889</v>
      </c>
      <c r="K9" s="13">
        <f t="shared" ref="K9:K72" si="7">IF($B9="","",$C$1-3*$C$2)</f>
        <v>-6.973007111749407</v>
      </c>
      <c r="L9" s="10">
        <f t="shared" ref="L9:L72" si="8">IF($B9="","",$C$1-2*$C$2)</f>
        <v>-4.5083205306399545</v>
      </c>
      <c r="M9" s="10">
        <f t="shared" ref="M9:M72" si="9">IF($B9="","",$C$1-$C$2)</f>
        <v>-2.0436339495305038</v>
      </c>
      <c r="N9" s="10">
        <f t="shared" ref="N9:N72" si="10">IF($B9="","",$C$1)</f>
        <v>0.42105263157894735</v>
      </c>
      <c r="O9" s="10">
        <f t="shared" ref="O9:O72" si="11">IF($B9="","",$C$1+1*$C$2)</f>
        <v>2.8857392126883985</v>
      </c>
      <c r="P9" s="10">
        <f t="shared" ref="P9:P72" si="12">IF($B9="","",$C$1+2*$C$2)</f>
        <v>5.3504257937978501</v>
      </c>
      <c r="Q9" s="14">
        <f t="shared" ref="Q9:Q72" si="13">IF($B9="","",$C$1+3*$C$2)</f>
        <v>7.8151123749073008</v>
      </c>
    </row>
    <row r="10" spans="1:17" x14ac:dyDescent="0.25">
      <c r="A10" s="4">
        <v>44835</v>
      </c>
      <c r="B10" s="5">
        <f>IF('Catalogo de Variaveis'!J15="","",SUM('Catalogo de Variaveis'!J12:J15))</f>
        <v>29</v>
      </c>
      <c r="C10" s="15">
        <f>IFERROR(IF($B10="","",AVERAGE('Catalogo de Variaveis'!J15-'Catalogo de Variaveis'!J14,'Catalogo de Variaveis'!J14-'Catalogo de Variaveis'!J13,'Catalogo de Variaveis'!J13-'Catalogo de Variaveis'!J12,'Catalogo de Variaveis'!J12-'Catalogo de Variaveis'!J11)),0)</f>
        <v>3.25</v>
      </c>
      <c r="D10" s="13">
        <f t="shared" si="0"/>
        <v>1.7611741366579494</v>
      </c>
      <c r="E10" s="10">
        <f t="shared" si="1"/>
        <v>20.38464240689477</v>
      </c>
      <c r="F10" s="10">
        <f t="shared" si="2"/>
        <v>39.008110677131597</v>
      </c>
      <c r="G10" s="10">
        <f t="shared" si="3"/>
        <v>57.631578947368418</v>
      </c>
      <c r="H10" s="10">
        <f t="shared" si="4"/>
        <v>76.255047217605238</v>
      </c>
      <c r="I10" s="10">
        <f t="shared" si="5"/>
        <v>94.878515487842066</v>
      </c>
      <c r="J10" s="14">
        <f t="shared" si="6"/>
        <v>113.50198375807889</v>
      </c>
      <c r="K10" s="13">
        <f t="shared" si="7"/>
        <v>-6.973007111749407</v>
      </c>
      <c r="L10" s="10">
        <f t="shared" si="8"/>
        <v>-4.5083205306399545</v>
      </c>
      <c r="M10" s="10">
        <f t="shared" si="9"/>
        <v>-2.0436339495305038</v>
      </c>
      <c r="N10" s="10">
        <f t="shared" si="10"/>
        <v>0.42105263157894735</v>
      </c>
      <c r="O10" s="10">
        <f t="shared" si="11"/>
        <v>2.8857392126883985</v>
      </c>
      <c r="P10" s="10">
        <f t="shared" si="12"/>
        <v>5.3504257937978501</v>
      </c>
      <c r="Q10" s="14">
        <f t="shared" si="13"/>
        <v>7.8151123749073008</v>
      </c>
    </row>
    <row r="11" spans="1:17" x14ac:dyDescent="0.25">
      <c r="A11" s="4">
        <v>44866</v>
      </c>
      <c r="B11" s="5">
        <f>IF('Catalogo de Variaveis'!J16="","",SUM('Catalogo de Variaveis'!J13:J16))</f>
        <v>38</v>
      </c>
      <c r="C11" s="15">
        <f>IFERROR(IF($B11="","",AVERAGE('Catalogo de Variaveis'!J16-'Catalogo de Variaveis'!J15,'Catalogo de Variaveis'!J15-'Catalogo de Variaveis'!J14,'Catalogo de Variaveis'!J14-'Catalogo de Variaveis'!J13,'Catalogo de Variaveis'!J13-'Catalogo de Variaveis'!J12)),0)</f>
        <v>2.25</v>
      </c>
      <c r="D11" s="13">
        <f t="shared" si="0"/>
        <v>1.7611741366579494</v>
      </c>
      <c r="E11" s="10">
        <f t="shared" si="1"/>
        <v>20.38464240689477</v>
      </c>
      <c r="F11" s="10">
        <f t="shared" si="2"/>
        <v>39.008110677131597</v>
      </c>
      <c r="G11" s="10">
        <f t="shared" si="3"/>
        <v>57.631578947368418</v>
      </c>
      <c r="H11" s="10">
        <f t="shared" si="4"/>
        <v>76.255047217605238</v>
      </c>
      <c r="I11" s="10">
        <f t="shared" si="5"/>
        <v>94.878515487842066</v>
      </c>
      <c r="J11" s="14">
        <f t="shared" si="6"/>
        <v>113.50198375807889</v>
      </c>
      <c r="K11" s="13">
        <f t="shared" si="7"/>
        <v>-6.973007111749407</v>
      </c>
      <c r="L11" s="10">
        <f t="shared" si="8"/>
        <v>-4.5083205306399545</v>
      </c>
      <c r="M11" s="10">
        <f t="shared" si="9"/>
        <v>-2.0436339495305038</v>
      </c>
      <c r="N11" s="10">
        <f t="shared" si="10"/>
        <v>0.42105263157894735</v>
      </c>
      <c r="O11" s="10">
        <f t="shared" si="11"/>
        <v>2.8857392126883985</v>
      </c>
      <c r="P11" s="10">
        <f t="shared" si="12"/>
        <v>5.3504257937978501</v>
      </c>
      <c r="Q11" s="14">
        <f t="shared" si="13"/>
        <v>7.8151123749073008</v>
      </c>
    </row>
    <row r="12" spans="1:17" x14ac:dyDescent="0.25">
      <c r="A12" s="4">
        <v>44896</v>
      </c>
      <c r="B12" s="5">
        <f>IF('Catalogo de Variaveis'!J17="","",SUM('Catalogo de Variaveis'!J14:J17))</f>
        <v>45</v>
      </c>
      <c r="C12" s="15">
        <f>IFERROR(IF($B12="","",AVERAGE('Catalogo de Variaveis'!J17-'Catalogo de Variaveis'!J16,'Catalogo de Variaveis'!J16-'Catalogo de Variaveis'!J15,'Catalogo de Variaveis'!J15-'Catalogo de Variaveis'!J14,'Catalogo de Variaveis'!J14-'Catalogo de Variaveis'!J13)),0)</f>
        <v>1.75</v>
      </c>
      <c r="D12" s="13">
        <f t="shared" si="0"/>
        <v>1.7611741366579494</v>
      </c>
      <c r="E12" s="10">
        <f t="shared" si="1"/>
        <v>20.38464240689477</v>
      </c>
      <c r="F12" s="10">
        <f t="shared" si="2"/>
        <v>39.008110677131597</v>
      </c>
      <c r="G12" s="10">
        <f t="shared" si="3"/>
        <v>57.631578947368418</v>
      </c>
      <c r="H12" s="10">
        <f t="shared" si="4"/>
        <v>76.255047217605238</v>
      </c>
      <c r="I12" s="10">
        <f t="shared" si="5"/>
        <v>94.878515487842066</v>
      </c>
      <c r="J12" s="14">
        <f t="shared" si="6"/>
        <v>113.50198375807889</v>
      </c>
      <c r="K12" s="13">
        <f t="shared" si="7"/>
        <v>-6.973007111749407</v>
      </c>
      <c r="L12" s="10">
        <f t="shared" si="8"/>
        <v>-4.5083205306399545</v>
      </c>
      <c r="M12" s="10">
        <f t="shared" si="9"/>
        <v>-2.0436339495305038</v>
      </c>
      <c r="N12" s="10">
        <f t="shared" si="10"/>
        <v>0.42105263157894735</v>
      </c>
      <c r="O12" s="10">
        <f t="shared" si="11"/>
        <v>2.8857392126883985</v>
      </c>
      <c r="P12" s="10">
        <f t="shared" si="12"/>
        <v>5.3504257937978501</v>
      </c>
      <c r="Q12" s="14">
        <f t="shared" si="13"/>
        <v>7.8151123749073008</v>
      </c>
    </row>
    <row r="13" spans="1:17" x14ac:dyDescent="0.25">
      <c r="A13" s="4">
        <v>44927</v>
      </c>
      <c r="B13" s="5">
        <f>IF('Catalogo de Variaveis'!J18="","",SUM('Catalogo de Variaveis'!J15:J18))</f>
        <v>35</v>
      </c>
      <c r="C13" s="15">
        <f>IFERROR(IF($B13="","",AVERAGE('Catalogo de Variaveis'!J18-'Catalogo de Variaveis'!J17,'Catalogo de Variaveis'!J17-'Catalogo de Variaveis'!J16,'Catalogo de Variaveis'!J16-'Catalogo de Variaveis'!J15,'Catalogo de Variaveis'!J15-'Catalogo de Variaveis'!J14)),0)</f>
        <v>-2.5</v>
      </c>
      <c r="D13" s="13">
        <f t="shared" si="0"/>
        <v>1.7611741366579494</v>
      </c>
      <c r="E13" s="10">
        <f t="shared" si="1"/>
        <v>20.38464240689477</v>
      </c>
      <c r="F13" s="10">
        <f t="shared" si="2"/>
        <v>39.008110677131597</v>
      </c>
      <c r="G13" s="10">
        <f t="shared" si="3"/>
        <v>57.631578947368418</v>
      </c>
      <c r="H13" s="10">
        <f t="shared" si="4"/>
        <v>76.255047217605238</v>
      </c>
      <c r="I13" s="10">
        <f t="shared" si="5"/>
        <v>94.878515487842066</v>
      </c>
      <c r="J13" s="14">
        <f t="shared" si="6"/>
        <v>113.50198375807889</v>
      </c>
      <c r="K13" s="13">
        <f t="shared" si="7"/>
        <v>-6.973007111749407</v>
      </c>
      <c r="L13" s="10">
        <f t="shared" si="8"/>
        <v>-4.5083205306399545</v>
      </c>
      <c r="M13" s="10">
        <f t="shared" si="9"/>
        <v>-2.0436339495305038</v>
      </c>
      <c r="N13" s="10">
        <f t="shared" si="10"/>
        <v>0.42105263157894735</v>
      </c>
      <c r="O13" s="10">
        <f t="shared" si="11"/>
        <v>2.8857392126883985</v>
      </c>
      <c r="P13" s="10">
        <f t="shared" si="12"/>
        <v>5.3504257937978501</v>
      </c>
      <c r="Q13" s="14">
        <f t="shared" si="13"/>
        <v>7.8151123749073008</v>
      </c>
    </row>
    <row r="14" spans="1:17" x14ac:dyDescent="0.25">
      <c r="A14" s="4">
        <v>44958</v>
      </c>
      <c r="B14" s="5">
        <f>IF('Catalogo de Variaveis'!J19="","",SUM('Catalogo de Variaveis'!J16:J19))</f>
        <v>36</v>
      </c>
      <c r="C14" s="15">
        <f>IFERROR(IF($B14="","",AVERAGE('Catalogo de Variaveis'!J19-'Catalogo de Variaveis'!J18,'Catalogo de Variaveis'!J18-'Catalogo de Variaveis'!J17,'Catalogo de Variaveis'!J17-'Catalogo de Variaveis'!J16,'Catalogo de Variaveis'!J16-'Catalogo de Variaveis'!J15)),0)</f>
        <v>0.25</v>
      </c>
      <c r="D14" s="13">
        <f t="shared" si="0"/>
        <v>1.7611741366579494</v>
      </c>
      <c r="E14" s="10">
        <f t="shared" si="1"/>
        <v>20.38464240689477</v>
      </c>
      <c r="F14" s="10">
        <f t="shared" si="2"/>
        <v>39.008110677131597</v>
      </c>
      <c r="G14" s="10">
        <f t="shared" si="3"/>
        <v>57.631578947368418</v>
      </c>
      <c r="H14" s="10">
        <f t="shared" si="4"/>
        <v>76.255047217605238</v>
      </c>
      <c r="I14" s="10">
        <f t="shared" si="5"/>
        <v>94.878515487842066</v>
      </c>
      <c r="J14" s="14">
        <f t="shared" si="6"/>
        <v>113.50198375807889</v>
      </c>
      <c r="K14" s="13">
        <f t="shared" si="7"/>
        <v>-6.973007111749407</v>
      </c>
      <c r="L14" s="10">
        <f t="shared" si="8"/>
        <v>-4.5083205306399545</v>
      </c>
      <c r="M14" s="10">
        <f t="shared" si="9"/>
        <v>-2.0436339495305038</v>
      </c>
      <c r="N14" s="10">
        <f t="shared" si="10"/>
        <v>0.42105263157894735</v>
      </c>
      <c r="O14" s="10">
        <f t="shared" si="11"/>
        <v>2.8857392126883985</v>
      </c>
      <c r="P14" s="10">
        <f t="shared" si="12"/>
        <v>5.3504257937978501</v>
      </c>
      <c r="Q14" s="14">
        <f t="shared" si="13"/>
        <v>7.8151123749073008</v>
      </c>
    </row>
    <row r="15" spans="1:17" x14ac:dyDescent="0.25">
      <c r="A15" s="4">
        <v>44986</v>
      </c>
      <c r="B15" s="5">
        <f>IF('Catalogo de Variaveis'!J20="","",SUM('Catalogo de Variaveis'!J17:J20))</f>
        <v>38</v>
      </c>
      <c r="C15" s="15">
        <f>IFERROR(IF($B15="","",AVERAGE('Catalogo de Variaveis'!J20-'Catalogo de Variaveis'!J19,'Catalogo de Variaveis'!J19-'Catalogo de Variaveis'!J18,'Catalogo de Variaveis'!J18-'Catalogo de Variaveis'!J17,'Catalogo de Variaveis'!J17-'Catalogo de Variaveis'!J16)),0)</f>
        <v>0.5</v>
      </c>
      <c r="D15" s="13">
        <f t="shared" si="0"/>
        <v>1.7611741366579494</v>
      </c>
      <c r="E15" s="10">
        <f t="shared" si="1"/>
        <v>20.38464240689477</v>
      </c>
      <c r="F15" s="10">
        <f t="shared" si="2"/>
        <v>39.008110677131597</v>
      </c>
      <c r="G15" s="10">
        <f t="shared" si="3"/>
        <v>57.631578947368418</v>
      </c>
      <c r="H15" s="10">
        <f t="shared" si="4"/>
        <v>76.255047217605238</v>
      </c>
      <c r="I15" s="10">
        <f t="shared" si="5"/>
        <v>94.878515487842066</v>
      </c>
      <c r="J15" s="14">
        <f t="shared" si="6"/>
        <v>113.50198375807889</v>
      </c>
      <c r="K15" s="13">
        <f t="shared" si="7"/>
        <v>-6.973007111749407</v>
      </c>
      <c r="L15" s="10">
        <f t="shared" si="8"/>
        <v>-4.5083205306399545</v>
      </c>
      <c r="M15" s="10">
        <f t="shared" si="9"/>
        <v>-2.0436339495305038</v>
      </c>
      <c r="N15" s="10">
        <f t="shared" si="10"/>
        <v>0.42105263157894735</v>
      </c>
      <c r="O15" s="10">
        <f t="shared" si="11"/>
        <v>2.8857392126883985</v>
      </c>
      <c r="P15" s="10">
        <f t="shared" si="12"/>
        <v>5.3504257937978501</v>
      </c>
      <c r="Q15" s="14">
        <f t="shared" si="13"/>
        <v>7.8151123749073008</v>
      </c>
    </row>
    <row r="16" spans="1:17" x14ac:dyDescent="0.25">
      <c r="A16" s="4">
        <v>45017</v>
      </c>
      <c r="B16" s="5">
        <f>IF('Catalogo de Variaveis'!J21="","",SUM('Catalogo de Variaveis'!J18:J21))</f>
        <v>43</v>
      </c>
      <c r="C16" s="15">
        <f>IFERROR(IF($B16="","",AVERAGE('Catalogo de Variaveis'!J21-'Catalogo de Variaveis'!J20,'Catalogo de Variaveis'!J20-'Catalogo de Variaveis'!J19,'Catalogo de Variaveis'!J19-'Catalogo de Variaveis'!J18,'Catalogo de Variaveis'!J18-'Catalogo de Variaveis'!J17)),0)</f>
        <v>1.25</v>
      </c>
      <c r="D16" s="13">
        <f t="shared" si="0"/>
        <v>1.7611741366579494</v>
      </c>
      <c r="E16" s="10">
        <f t="shared" si="1"/>
        <v>20.38464240689477</v>
      </c>
      <c r="F16" s="10">
        <f t="shared" si="2"/>
        <v>39.008110677131597</v>
      </c>
      <c r="G16" s="10">
        <f t="shared" si="3"/>
        <v>57.631578947368418</v>
      </c>
      <c r="H16" s="10">
        <f t="shared" si="4"/>
        <v>76.255047217605238</v>
      </c>
      <c r="I16" s="10">
        <f t="shared" si="5"/>
        <v>94.878515487842066</v>
      </c>
      <c r="J16" s="14">
        <f t="shared" si="6"/>
        <v>113.50198375807889</v>
      </c>
      <c r="K16" s="13">
        <f t="shared" si="7"/>
        <v>-6.973007111749407</v>
      </c>
      <c r="L16" s="10">
        <f t="shared" si="8"/>
        <v>-4.5083205306399545</v>
      </c>
      <c r="M16" s="10">
        <f t="shared" si="9"/>
        <v>-2.0436339495305038</v>
      </c>
      <c r="N16" s="10">
        <f t="shared" si="10"/>
        <v>0.42105263157894735</v>
      </c>
      <c r="O16" s="10">
        <f t="shared" si="11"/>
        <v>2.8857392126883985</v>
      </c>
      <c r="P16" s="10">
        <f t="shared" si="12"/>
        <v>5.3504257937978501</v>
      </c>
      <c r="Q16" s="14">
        <f t="shared" si="13"/>
        <v>7.8151123749073008</v>
      </c>
    </row>
    <row r="17" spans="1:17" x14ac:dyDescent="0.25">
      <c r="A17" s="4">
        <v>45047</v>
      </c>
      <c r="B17" s="5">
        <f>IF('Catalogo de Variaveis'!J22="","",SUM('Catalogo de Variaveis'!J19:J22))</f>
        <v>52</v>
      </c>
      <c r="C17" s="15">
        <f>IFERROR(IF($B17="","",AVERAGE('Catalogo de Variaveis'!J22-'Catalogo de Variaveis'!J21,'Catalogo de Variaveis'!J21-'Catalogo de Variaveis'!J20,'Catalogo de Variaveis'!J20-'Catalogo de Variaveis'!J19,'Catalogo de Variaveis'!J19-'Catalogo de Variaveis'!J18)),0)</f>
        <v>2.25</v>
      </c>
      <c r="D17" s="13">
        <f t="shared" si="0"/>
        <v>1.7611741366579494</v>
      </c>
      <c r="E17" s="10">
        <f t="shared" si="1"/>
        <v>20.38464240689477</v>
      </c>
      <c r="F17" s="10">
        <f t="shared" si="2"/>
        <v>39.008110677131597</v>
      </c>
      <c r="G17" s="10">
        <f t="shared" si="3"/>
        <v>57.631578947368418</v>
      </c>
      <c r="H17" s="10">
        <f t="shared" si="4"/>
        <v>76.255047217605238</v>
      </c>
      <c r="I17" s="10">
        <f t="shared" si="5"/>
        <v>94.878515487842066</v>
      </c>
      <c r="J17" s="14">
        <f t="shared" si="6"/>
        <v>113.50198375807889</v>
      </c>
      <c r="K17" s="13">
        <f t="shared" si="7"/>
        <v>-6.973007111749407</v>
      </c>
      <c r="L17" s="10">
        <f t="shared" si="8"/>
        <v>-4.5083205306399545</v>
      </c>
      <c r="M17" s="10">
        <f t="shared" si="9"/>
        <v>-2.0436339495305038</v>
      </c>
      <c r="N17" s="10">
        <f t="shared" si="10"/>
        <v>0.42105263157894735</v>
      </c>
      <c r="O17" s="10">
        <f t="shared" si="11"/>
        <v>2.8857392126883985</v>
      </c>
      <c r="P17" s="10">
        <f t="shared" si="12"/>
        <v>5.3504257937978501</v>
      </c>
      <c r="Q17" s="14">
        <f t="shared" si="13"/>
        <v>7.8151123749073008</v>
      </c>
    </row>
    <row r="18" spans="1:17" x14ac:dyDescent="0.25">
      <c r="A18" s="4">
        <v>45078</v>
      </c>
      <c r="B18" s="5">
        <f>IF('Catalogo de Variaveis'!J23="","",SUM('Catalogo de Variaveis'!J20:J23))</f>
        <v>47</v>
      </c>
      <c r="C18" s="15">
        <f>IFERROR(IF($B18="","",AVERAGE('Catalogo de Variaveis'!J23-'Catalogo de Variaveis'!J22,'Catalogo de Variaveis'!J22-'Catalogo de Variaveis'!J21,'Catalogo de Variaveis'!J21-'Catalogo de Variaveis'!J20,'Catalogo de Variaveis'!J20-'Catalogo de Variaveis'!J19)),0)</f>
        <v>-1.25</v>
      </c>
      <c r="D18" s="13">
        <f t="shared" si="0"/>
        <v>1.7611741366579494</v>
      </c>
      <c r="E18" s="10">
        <f t="shared" si="1"/>
        <v>20.38464240689477</v>
      </c>
      <c r="F18" s="10">
        <f t="shared" si="2"/>
        <v>39.008110677131597</v>
      </c>
      <c r="G18" s="10">
        <f t="shared" si="3"/>
        <v>57.631578947368418</v>
      </c>
      <c r="H18" s="10">
        <f t="shared" si="4"/>
        <v>76.255047217605238</v>
      </c>
      <c r="I18" s="10">
        <f t="shared" si="5"/>
        <v>94.878515487842066</v>
      </c>
      <c r="J18" s="14">
        <f t="shared" si="6"/>
        <v>113.50198375807889</v>
      </c>
      <c r="K18" s="13">
        <f t="shared" si="7"/>
        <v>-6.973007111749407</v>
      </c>
      <c r="L18" s="10">
        <f t="shared" si="8"/>
        <v>-4.5083205306399545</v>
      </c>
      <c r="M18" s="10">
        <f t="shared" si="9"/>
        <v>-2.0436339495305038</v>
      </c>
      <c r="N18" s="10">
        <f t="shared" si="10"/>
        <v>0.42105263157894735</v>
      </c>
      <c r="O18" s="10">
        <f t="shared" si="11"/>
        <v>2.8857392126883985</v>
      </c>
      <c r="P18" s="10">
        <f t="shared" si="12"/>
        <v>5.3504257937978501</v>
      </c>
      <c r="Q18" s="14">
        <f t="shared" si="13"/>
        <v>7.8151123749073008</v>
      </c>
    </row>
    <row r="19" spans="1:17" x14ac:dyDescent="0.25">
      <c r="A19" s="4">
        <v>45108</v>
      </c>
      <c r="B19" s="5">
        <f>IF('Catalogo de Variaveis'!J24="","",SUM('Catalogo de Variaveis'!J21:J24))</f>
        <v>52</v>
      </c>
      <c r="C19" s="15">
        <f>IFERROR(IF($B19="","",AVERAGE('Catalogo de Variaveis'!J24-'Catalogo de Variaveis'!J23,'Catalogo de Variaveis'!J23-'Catalogo de Variaveis'!J22,'Catalogo de Variaveis'!J22-'Catalogo de Variaveis'!J21,'Catalogo de Variaveis'!J21-'Catalogo de Variaveis'!J20)),0)</f>
        <v>1.25</v>
      </c>
      <c r="D19" s="13">
        <f t="shared" si="0"/>
        <v>1.7611741366579494</v>
      </c>
      <c r="E19" s="10">
        <f t="shared" si="1"/>
        <v>20.38464240689477</v>
      </c>
      <c r="F19" s="10">
        <f t="shared" si="2"/>
        <v>39.008110677131597</v>
      </c>
      <c r="G19" s="10">
        <f t="shared" si="3"/>
        <v>57.631578947368418</v>
      </c>
      <c r="H19" s="10">
        <f t="shared" si="4"/>
        <v>76.255047217605238</v>
      </c>
      <c r="I19" s="10">
        <f t="shared" si="5"/>
        <v>94.878515487842066</v>
      </c>
      <c r="J19" s="14">
        <f t="shared" si="6"/>
        <v>113.50198375807889</v>
      </c>
      <c r="K19" s="13">
        <f t="shared" si="7"/>
        <v>-6.973007111749407</v>
      </c>
      <c r="L19" s="10">
        <f t="shared" si="8"/>
        <v>-4.5083205306399545</v>
      </c>
      <c r="M19" s="10">
        <f t="shared" si="9"/>
        <v>-2.0436339495305038</v>
      </c>
      <c r="N19" s="10">
        <f t="shared" si="10"/>
        <v>0.42105263157894735</v>
      </c>
      <c r="O19" s="10">
        <f t="shared" si="11"/>
        <v>2.8857392126883985</v>
      </c>
      <c r="P19" s="10">
        <f t="shared" si="12"/>
        <v>5.3504257937978501</v>
      </c>
      <c r="Q19" s="14">
        <f t="shared" si="13"/>
        <v>7.8151123749073008</v>
      </c>
    </row>
    <row r="20" spans="1:17" x14ac:dyDescent="0.25">
      <c r="A20" s="4">
        <v>45139</v>
      </c>
      <c r="B20" s="5">
        <f>IF('Catalogo de Variaveis'!J25="","",SUM('Catalogo de Variaveis'!J22:J25))</f>
        <v>54</v>
      </c>
      <c r="C20" s="15">
        <f>IFERROR(IF($B20="","",AVERAGE('Catalogo de Variaveis'!J25-'Catalogo de Variaveis'!J24,'Catalogo de Variaveis'!J24-'Catalogo de Variaveis'!J23,'Catalogo de Variaveis'!J23-'Catalogo de Variaveis'!J22,'Catalogo de Variaveis'!J22-'Catalogo de Variaveis'!J21)),0)</f>
        <v>0.5</v>
      </c>
      <c r="D20" s="13">
        <f t="shared" si="0"/>
        <v>1.7611741366579494</v>
      </c>
      <c r="E20" s="10">
        <f t="shared" si="1"/>
        <v>20.38464240689477</v>
      </c>
      <c r="F20" s="10">
        <f t="shared" si="2"/>
        <v>39.008110677131597</v>
      </c>
      <c r="G20" s="10">
        <f t="shared" si="3"/>
        <v>57.631578947368418</v>
      </c>
      <c r="H20" s="10">
        <f t="shared" si="4"/>
        <v>76.255047217605238</v>
      </c>
      <c r="I20" s="10">
        <f t="shared" si="5"/>
        <v>94.878515487842066</v>
      </c>
      <c r="J20" s="14">
        <f t="shared" si="6"/>
        <v>113.50198375807889</v>
      </c>
      <c r="K20" s="13">
        <f t="shared" si="7"/>
        <v>-6.973007111749407</v>
      </c>
      <c r="L20" s="10">
        <f t="shared" si="8"/>
        <v>-4.5083205306399545</v>
      </c>
      <c r="M20" s="10">
        <f t="shared" si="9"/>
        <v>-2.0436339495305038</v>
      </c>
      <c r="N20" s="10">
        <f t="shared" si="10"/>
        <v>0.42105263157894735</v>
      </c>
      <c r="O20" s="10">
        <f t="shared" si="11"/>
        <v>2.8857392126883985</v>
      </c>
      <c r="P20" s="10">
        <f t="shared" si="12"/>
        <v>5.3504257937978501</v>
      </c>
      <c r="Q20" s="14">
        <f t="shared" si="13"/>
        <v>7.8151123749073008</v>
      </c>
    </row>
    <row r="21" spans="1:17" x14ac:dyDescent="0.25">
      <c r="A21" s="4">
        <v>45170</v>
      </c>
      <c r="B21" s="5">
        <f>IF('Catalogo de Variaveis'!J26="","",SUM('Catalogo de Variaveis'!J23:J26))</f>
        <v>52</v>
      </c>
      <c r="C21" s="15">
        <f>IFERROR(IF($B21="","",AVERAGE('Catalogo de Variaveis'!J26-'Catalogo de Variaveis'!J25,'Catalogo de Variaveis'!J25-'Catalogo de Variaveis'!J24,'Catalogo de Variaveis'!J24-'Catalogo de Variaveis'!J23,'Catalogo de Variaveis'!J23-'Catalogo de Variaveis'!J22)),0)</f>
        <v>-0.5</v>
      </c>
      <c r="D21" s="13">
        <f t="shared" si="0"/>
        <v>1.7611741366579494</v>
      </c>
      <c r="E21" s="10">
        <f t="shared" si="1"/>
        <v>20.38464240689477</v>
      </c>
      <c r="F21" s="10">
        <f t="shared" si="2"/>
        <v>39.008110677131597</v>
      </c>
      <c r="G21" s="10">
        <f t="shared" si="3"/>
        <v>57.631578947368418</v>
      </c>
      <c r="H21" s="10">
        <f t="shared" si="4"/>
        <v>76.255047217605238</v>
      </c>
      <c r="I21" s="10">
        <f t="shared" si="5"/>
        <v>94.878515487842066</v>
      </c>
      <c r="J21" s="14">
        <f t="shared" si="6"/>
        <v>113.50198375807889</v>
      </c>
      <c r="K21" s="13">
        <f t="shared" si="7"/>
        <v>-6.973007111749407</v>
      </c>
      <c r="L21" s="10">
        <f t="shared" si="8"/>
        <v>-4.5083205306399545</v>
      </c>
      <c r="M21" s="10">
        <f t="shared" si="9"/>
        <v>-2.0436339495305038</v>
      </c>
      <c r="N21" s="10">
        <f t="shared" si="10"/>
        <v>0.42105263157894735</v>
      </c>
      <c r="O21" s="10">
        <f t="shared" si="11"/>
        <v>2.8857392126883985</v>
      </c>
      <c r="P21" s="10">
        <f t="shared" si="12"/>
        <v>5.3504257937978501</v>
      </c>
      <c r="Q21" s="14">
        <f t="shared" si="13"/>
        <v>7.8151123749073008</v>
      </c>
    </row>
    <row r="22" spans="1:17" x14ac:dyDescent="0.25">
      <c r="A22" s="4">
        <v>45200</v>
      </c>
      <c r="B22" s="5">
        <f>IF('Catalogo de Variaveis'!J27="","",SUM('Catalogo de Variaveis'!J24:J27))</f>
        <v>61</v>
      </c>
      <c r="C22" s="15">
        <f>IFERROR(IF($B22="","",AVERAGE('Catalogo de Variaveis'!J27-'Catalogo de Variaveis'!J26,'Catalogo de Variaveis'!J26-'Catalogo de Variaveis'!J25,'Catalogo de Variaveis'!J25-'Catalogo de Variaveis'!J24,'Catalogo de Variaveis'!J24-'Catalogo de Variaveis'!J23)),0)</f>
        <v>2.25</v>
      </c>
      <c r="D22" s="13">
        <f t="shared" si="0"/>
        <v>1.7611741366579494</v>
      </c>
      <c r="E22" s="10">
        <f t="shared" si="1"/>
        <v>20.38464240689477</v>
      </c>
      <c r="F22" s="10">
        <f t="shared" si="2"/>
        <v>39.008110677131597</v>
      </c>
      <c r="G22" s="10">
        <f t="shared" si="3"/>
        <v>57.631578947368418</v>
      </c>
      <c r="H22" s="10">
        <f t="shared" si="4"/>
        <v>76.255047217605238</v>
      </c>
      <c r="I22" s="10">
        <f t="shared" si="5"/>
        <v>94.878515487842066</v>
      </c>
      <c r="J22" s="14">
        <f t="shared" si="6"/>
        <v>113.50198375807889</v>
      </c>
      <c r="K22" s="13">
        <f t="shared" si="7"/>
        <v>-6.973007111749407</v>
      </c>
      <c r="L22" s="10">
        <f t="shared" si="8"/>
        <v>-4.5083205306399545</v>
      </c>
      <c r="M22" s="10">
        <f t="shared" si="9"/>
        <v>-2.0436339495305038</v>
      </c>
      <c r="N22" s="10">
        <f t="shared" si="10"/>
        <v>0.42105263157894735</v>
      </c>
      <c r="O22" s="10">
        <f t="shared" si="11"/>
        <v>2.8857392126883985</v>
      </c>
      <c r="P22" s="10">
        <f t="shared" si="12"/>
        <v>5.3504257937978501</v>
      </c>
      <c r="Q22" s="14">
        <f t="shared" si="13"/>
        <v>7.8151123749073008</v>
      </c>
    </row>
    <row r="23" spans="1:17" x14ac:dyDescent="0.25">
      <c r="A23" s="4">
        <v>45231</v>
      </c>
      <c r="B23" s="5">
        <f>IF('Catalogo de Variaveis'!J28="","",SUM('Catalogo de Variaveis'!J25:J28))</f>
        <v>65</v>
      </c>
      <c r="C23" s="15">
        <f>IFERROR(IF($B23="","",AVERAGE('Catalogo de Variaveis'!J28-'Catalogo de Variaveis'!J27,'Catalogo de Variaveis'!J27-'Catalogo de Variaveis'!J26,'Catalogo de Variaveis'!J26-'Catalogo de Variaveis'!J25,'Catalogo de Variaveis'!J25-'Catalogo de Variaveis'!J24)),0)</f>
        <v>1</v>
      </c>
      <c r="D23" s="13">
        <f t="shared" si="0"/>
        <v>1.7611741366579494</v>
      </c>
      <c r="E23" s="10">
        <f t="shared" si="1"/>
        <v>20.38464240689477</v>
      </c>
      <c r="F23" s="10">
        <f t="shared" si="2"/>
        <v>39.008110677131597</v>
      </c>
      <c r="G23" s="10">
        <f t="shared" si="3"/>
        <v>57.631578947368418</v>
      </c>
      <c r="H23" s="10">
        <f t="shared" si="4"/>
        <v>76.255047217605238</v>
      </c>
      <c r="I23" s="10">
        <f t="shared" si="5"/>
        <v>94.878515487842066</v>
      </c>
      <c r="J23" s="14">
        <f t="shared" si="6"/>
        <v>113.50198375807889</v>
      </c>
      <c r="K23" s="13">
        <f t="shared" si="7"/>
        <v>-6.973007111749407</v>
      </c>
      <c r="L23" s="10">
        <f t="shared" si="8"/>
        <v>-4.5083205306399545</v>
      </c>
      <c r="M23" s="10">
        <f t="shared" si="9"/>
        <v>-2.0436339495305038</v>
      </c>
      <c r="N23" s="10">
        <f t="shared" si="10"/>
        <v>0.42105263157894735</v>
      </c>
      <c r="O23" s="10">
        <f t="shared" si="11"/>
        <v>2.8857392126883985</v>
      </c>
      <c r="P23" s="10">
        <f t="shared" si="12"/>
        <v>5.3504257937978501</v>
      </c>
      <c r="Q23" s="14">
        <f t="shared" si="13"/>
        <v>7.8151123749073008</v>
      </c>
    </row>
    <row r="24" spans="1:17" x14ac:dyDescent="0.25">
      <c r="A24" s="4">
        <v>45261</v>
      </c>
      <c r="B24" s="5">
        <f>IF('Catalogo de Variaveis'!J29="","",SUM('Catalogo de Variaveis'!J26:J29))</f>
        <v>69</v>
      </c>
      <c r="C24" s="15">
        <f>IFERROR(IF($B24="","",AVERAGE('Catalogo de Variaveis'!J29-'Catalogo de Variaveis'!J28,'Catalogo de Variaveis'!J28-'Catalogo de Variaveis'!J27,'Catalogo de Variaveis'!J27-'Catalogo de Variaveis'!J26,'Catalogo de Variaveis'!J26-'Catalogo de Variaveis'!J25)),0)</f>
        <v>1</v>
      </c>
      <c r="D24" s="13">
        <f t="shared" si="0"/>
        <v>1.7611741366579494</v>
      </c>
      <c r="E24" s="10">
        <f t="shared" si="1"/>
        <v>20.38464240689477</v>
      </c>
      <c r="F24" s="10">
        <f t="shared" si="2"/>
        <v>39.008110677131597</v>
      </c>
      <c r="G24" s="10">
        <f t="shared" si="3"/>
        <v>57.631578947368418</v>
      </c>
      <c r="H24" s="10">
        <f t="shared" si="4"/>
        <v>76.255047217605238</v>
      </c>
      <c r="I24" s="10">
        <f t="shared" si="5"/>
        <v>94.878515487842066</v>
      </c>
      <c r="J24" s="14">
        <f t="shared" si="6"/>
        <v>113.50198375807889</v>
      </c>
      <c r="K24" s="13">
        <f t="shared" si="7"/>
        <v>-6.973007111749407</v>
      </c>
      <c r="L24" s="10">
        <f t="shared" si="8"/>
        <v>-4.5083205306399545</v>
      </c>
      <c r="M24" s="10">
        <f t="shared" si="9"/>
        <v>-2.0436339495305038</v>
      </c>
      <c r="N24" s="10">
        <f t="shared" si="10"/>
        <v>0.42105263157894735</v>
      </c>
      <c r="O24" s="10">
        <f t="shared" si="11"/>
        <v>2.8857392126883985</v>
      </c>
      <c r="P24" s="10">
        <f t="shared" si="12"/>
        <v>5.3504257937978501</v>
      </c>
      <c r="Q24" s="14">
        <f t="shared" si="13"/>
        <v>7.8151123749073008</v>
      </c>
    </row>
    <row r="25" spans="1:17" x14ac:dyDescent="0.25">
      <c r="A25" s="4">
        <v>45292</v>
      </c>
      <c r="B25" s="5">
        <f>IF('Catalogo de Variaveis'!J30="","",SUM('Catalogo de Variaveis'!J27:J30))</f>
        <v>71</v>
      </c>
      <c r="C25" s="15">
        <f>IFERROR(IF($B25="","",AVERAGE('Catalogo de Variaveis'!J30-'Catalogo de Variaveis'!J29,'Catalogo de Variaveis'!J29-'Catalogo de Variaveis'!J28,'Catalogo de Variaveis'!J28-'Catalogo de Variaveis'!J27,'Catalogo de Variaveis'!J27-'Catalogo de Variaveis'!J26)),0)</f>
        <v>0.5</v>
      </c>
      <c r="D25" s="13">
        <f t="shared" si="0"/>
        <v>1.7611741366579494</v>
      </c>
      <c r="E25" s="10">
        <f t="shared" si="1"/>
        <v>20.38464240689477</v>
      </c>
      <c r="F25" s="10">
        <f t="shared" si="2"/>
        <v>39.008110677131597</v>
      </c>
      <c r="G25" s="10">
        <f t="shared" si="3"/>
        <v>57.631578947368418</v>
      </c>
      <c r="H25" s="10">
        <f t="shared" si="4"/>
        <v>76.255047217605238</v>
      </c>
      <c r="I25" s="10">
        <f t="shared" si="5"/>
        <v>94.878515487842066</v>
      </c>
      <c r="J25" s="14">
        <f t="shared" si="6"/>
        <v>113.50198375807889</v>
      </c>
      <c r="K25" s="13">
        <f t="shared" si="7"/>
        <v>-6.973007111749407</v>
      </c>
      <c r="L25" s="10">
        <f t="shared" si="8"/>
        <v>-4.5083205306399545</v>
      </c>
      <c r="M25" s="10">
        <f t="shared" si="9"/>
        <v>-2.0436339495305038</v>
      </c>
      <c r="N25" s="10">
        <f t="shared" si="10"/>
        <v>0.42105263157894735</v>
      </c>
      <c r="O25" s="10">
        <f t="shared" si="11"/>
        <v>2.8857392126883985</v>
      </c>
      <c r="P25" s="10">
        <f t="shared" si="12"/>
        <v>5.3504257937978501</v>
      </c>
      <c r="Q25" s="14">
        <f t="shared" si="13"/>
        <v>7.8151123749073008</v>
      </c>
    </row>
    <row r="26" spans="1:17" x14ac:dyDescent="0.25">
      <c r="A26" s="4">
        <v>45323</v>
      </c>
      <c r="B26" s="5">
        <f>IF('Catalogo de Variaveis'!J31="","",SUM('Catalogo de Variaveis'!J28:J31))</f>
        <v>61</v>
      </c>
      <c r="C26" s="15">
        <f>IFERROR(IF($B26="","",AVERAGE('Catalogo de Variaveis'!J31-'Catalogo de Variaveis'!J30,'Catalogo de Variaveis'!J30-'Catalogo de Variaveis'!J29,'Catalogo de Variaveis'!J29-'Catalogo de Variaveis'!J28,'Catalogo de Variaveis'!J28-'Catalogo de Variaveis'!J27)),0)</f>
        <v>-2.5</v>
      </c>
      <c r="D26" s="13">
        <f t="shared" si="0"/>
        <v>1.7611741366579494</v>
      </c>
      <c r="E26" s="10">
        <f t="shared" si="1"/>
        <v>20.38464240689477</v>
      </c>
      <c r="F26" s="10">
        <f t="shared" si="2"/>
        <v>39.008110677131597</v>
      </c>
      <c r="G26" s="10">
        <f t="shared" si="3"/>
        <v>57.631578947368418</v>
      </c>
      <c r="H26" s="10">
        <f t="shared" si="4"/>
        <v>76.255047217605238</v>
      </c>
      <c r="I26" s="10">
        <f t="shared" si="5"/>
        <v>94.878515487842066</v>
      </c>
      <c r="J26" s="14">
        <f t="shared" si="6"/>
        <v>113.50198375807889</v>
      </c>
      <c r="K26" s="13">
        <f t="shared" si="7"/>
        <v>-6.973007111749407</v>
      </c>
      <c r="L26" s="10">
        <f t="shared" si="8"/>
        <v>-4.5083205306399545</v>
      </c>
      <c r="M26" s="10">
        <f t="shared" si="9"/>
        <v>-2.0436339495305038</v>
      </c>
      <c r="N26" s="10">
        <f t="shared" si="10"/>
        <v>0.42105263157894735</v>
      </c>
      <c r="O26" s="10">
        <f t="shared" si="11"/>
        <v>2.8857392126883985</v>
      </c>
      <c r="P26" s="10">
        <f t="shared" si="12"/>
        <v>5.3504257937978501</v>
      </c>
      <c r="Q26" s="14">
        <f t="shared" si="13"/>
        <v>7.8151123749073008</v>
      </c>
    </row>
    <row r="27" spans="1:17" x14ac:dyDescent="0.25">
      <c r="A27" s="4">
        <v>45352</v>
      </c>
      <c r="B27" s="5">
        <f>IF('Catalogo de Variaveis'!J32="","",SUM('Catalogo de Variaveis'!J29:J32))</f>
        <v>51</v>
      </c>
      <c r="C27" s="15">
        <f>IFERROR(IF($B27="","",AVERAGE('Catalogo de Variaveis'!J32-'Catalogo de Variaveis'!J31,'Catalogo de Variaveis'!J31-'Catalogo de Variaveis'!J30,'Catalogo de Variaveis'!J30-'Catalogo de Variaveis'!J29,'Catalogo de Variaveis'!J29-'Catalogo de Variaveis'!J28)),0)</f>
        <v>-2.5</v>
      </c>
      <c r="D27" s="13">
        <f t="shared" si="0"/>
        <v>1.7611741366579494</v>
      </c>
      <c r="E27" s="10">
        <f t="shared" si="1"/>
        <v>20.38464240689477</v>
      </c>
      <c r="F27" s="10">
        <f t="shared" si="2"/>
        <v>39.008110677131597</v>
      </c>
      <c r="G27" s="10">
        <f t="shared" si="3"/>
        <v>57.631578947368418</v>
      </c>
      <c r="H27" s="10">
        <f t="shared" si="4"/>
        <v>76.255047217605238</v>
      </c>
      <c r="I27" s="10">
        <f t="shared" si="5"/>
        <v>94.878515487842066</v>
      </c>
      <c r="J27" s="14">
        <f t="shared" si="6"/>
        <v>113.50198375807889</v>
      </c>
      <c r="K27" s="13">
        <f t="shared" si="7"/>
        <v>-6.973007111749407</v>
      </c>
      <c r="L27" s="10">
        <f t="shared" si="8"/>
        <v>-4.5083205306399545</v>
      </c>
      <c r="M27" s="10">
        <f t="shared" si="9"/>
        <v>-2.0436339495305038</v>
      </c>
      <c r="N27" s="10">
        <f t="shared" si="10"/>
        <v>0.42105263157894735</v>
      </c>
      <c r="O27" s="10">
        <f t="shared" si="11"/>
        <v>2.8857392126883985</v>
      </c>
      <c r="P27" s="10">
        <f t="shared" si="12"/>
        <v>5.3504257937978501</v>
      </c>
      <c r="Q27" s="14">
        <f t="shared" si="13"/>
        <v>7.8151123749073008</v>
      </c>
    </row>
    <row r="28" spans="1:17" x14ac:dyDescent="0.25">
      <c r="A28" s="4">
        <v>45383</v>
      </c>
      <c r="B28" s="5">
        <f>IF('Catalogo de Variaveis'!J33="","",SUM('Catalogo de Variaveis'!J30:J33))</f>
        <v>44</v>
      </c>
      <c r="C28" s="15">
        <f>IFERROR(IF($B28="","",AVERAGE('Catalogo de Variaveis'!J33-'Catalogo de Variaveis'!J32,'Catalogo de Variaveis'!J32-'Catalogo de Variaveis'!J31,'Catalogo de Variaveis'!J31-'Catalogo de Variaveis'!J30,'Catalogo de Variaveis'!J30-'Catalogo de Variaveis'!J29)),0)</f>
        <v>-1.75</v>
      </c>
      <c r="D28" s="13">
        <f t="shared" si="0"/>
        <v>1.7611741366579494</v>
      </c>
      <c r="E28" s="10">
        <f t="shared" si="1"/>
        <v>20.38464240689477</v>
      </c>
      <c r="F28" s="10">
        <f t="shared" si="2"/>
        <v>39.008110677131597</v>
      </c>
      <c r="G28" s="10">
        <f t="shared" si="3"/>
        <v>57.631578947368418</v>
      </c>
      <c r="H28" s="10">
        <f t="shared" si="4"/>
        <v>76.255047217605238</v>
      </c>
      <c r="I28" s="10">
        <f t="shared" si="5"/>
        <v>94.878515487842066</v>
      </c>
      <c r="J28" s="14">
        <f t="shared" si="6"/>
        <v>113.50198375807889</v>
      </c>
      <c r="K28" s="13">
        <f t="shared" si="7"/>
        <v>-6.973007111749407</v>
      </c>
      <c r="L28" s="10">
        <f t="shared" si="8"/>
        <v>-4.5083205306399545</v>
      </c>
      <c r="M28" s="10">
        <f t="shared" si="9"/>
        <v>-2.0436339495305038</v>
      </c>
      <c r="N28" s="10">
        <f t="shared" si="10"/>
        <v>0.42105263157894735</v>
      </c>
      <c r="O28" s="10">
        <f t="shared" si="11"/>
        <v>2.8857392126883985</v>
      </c>
      <c r="P28" s="10">
        <f t="shared" si="12"/>
        <v>5.3504257937978501</v>
      </c>
      <c r="Q28" s="14">
        <f t="shared" si="13"/>
        <v>7.8151123749073008</v>
      </c>
    </row>
    <row r="29" spans="1:17" x14ac:dyDescent="0.25">
      <c r="A29" s="4">
        <v>45413</v>
      </c>
      <c r="B29" s="5">
        <f>IF('Catalogo de Variaveis'!J34="","",SUM('Catalogo de Variaveis'!J31:J34))</f>
        <v>44</v>
      </c>
      <c r="C29" s="15">
        <f>IFERROR(IF($B29="","",AVERAGE('Catalogo de Variaveis'!J34-'Catalogo de Variaveis'!J33,'Catalogo de Variaveis'!J33-'Catalogo de Variaveis'!J32,'Catalogo de Variaveis'!J32-'Catalogo de Variaveis'!J31,'Catalogo de Variaveis'!J31-'Catalogo de Variaveis'!J30)),0)</f>
        <v>0</v>
      </c>
      <c r="D29" s="13">
        <f t="shared" si="0"/>
        <v>1.7611741366579494</v>
      </c>
      <c r="E29" s="10">
        <f t="shared" si="1"/>
        <v>20.38464240689477</v>
      </c>
      <c r="F29" s="10">
        <f t="shared" si="2"/>
        <v>39.008110677131597</v>
      </c>
      <c r="G29" s="10">
        <f t="shared" si="3"/>
        <v>57.631578947368418</v>
      </c>
      <c r="H29" s="10">
        <f t="shared" si="4"/>
        <v>76.255047217605238</v>
      </c>
      <c r="I29" s="10">
        <f t="shared" si="5"/>
        <v>94.878515487842066</v>
      </c>
      <c r="J29" s="14">
        <f t="shared" si="6"/>
        <v>113.50198375807889</v>
      </c>
      <c r="K29" s="13">
        <f t="shared" si="7"/>
        <v>-6.973007111749407</v>
      </c>
      <c r="L29" s="10">
        <f t="shared" si="8"/>
        <v>-4.5083205306399545</v>
      </c>
      <c r="M29" s="10">
        <f t="shared" si="9"/>
        <v>-2.0436339495305038</v>
      </c>
      <c r="N29" s="10">
        <f t="shared" si="10"/>
        <v>0.42105263157894735</v>
      </c>
      <c r="O29" s="10">
        <f t="shared" si="11"/>
        <v>2.8857392126883985</v>
      </c>
      <c r="P29" s="10">
        <f t="shared" si="12"/>
        <v>5.3504257937978501</v>
      </c>
      <c r="Q29" s="14">
        <f t="shared" si="13"/>
        <v>7.8151123749073008</v>
      </c>
    </row>
    <row r="30" spans="1:17" x14ac:dyDescent="0.25">
      <c r="A30" s="4">
        <v>45444</v>
      </c>
      <c r="B30" s="5">
        <f>IF('Catalogo de Variaveis'!J35="","",SUM('Catalogo de Variaveis'!J32:J35))</f>
        <v>61</v>
      </c>
      <c r="C30" s="15">
        <f>IFERROR(IF($B30="","",AVERAGE('Catalogo de Variaveis'!J35-'Catalogo de Variaveis'!J34,'Catalogo de Variaveis'!J34-'Catalogo de Variaveis'!J33,'Catalogo de Variaveis'!J33-'Catalogo de Variaveis'!J32,'Catalogo de Variaveis'!J32-'Catalogo de Variaveis'!J31)),0)</f>
        <v>4.25</v>
      </c>
      <c r="D30" s="13">
        <f>IF($B30="","",IF(OR($J$1="",$J$2=""),$B$1-3*$B$2,$J$1-3*$J$2))</f>
        <v>1.7611741366579494</v>
      </c>
      <c r="E30" s="10">
        <f>IF($B30="","",IF(OR($J$1="",$J$2=""),$B$1-2*$B$2,$J$1-2*$J$2))</f>
        <v>20.38464240689477</v>
      </c>
      <c r="F30" s="10">
        <f>IF($B30="","",IF(OR($J$1="",$J$2=""),$B$1-$B$2,$J$1-$J$2))</f>
        <v>39.008110677131597</v>
      </c>
      <c r="G30" s="10">
        <f>IF($B30="","",IF(OR($J$1="",$J$2=""),$B$1,$J$1))</f>
        <v>57.631578947368418</v>
      </c>
      <c r="H30" s="10">
        <f>IF($B30="","",IF(OR($J$1="",$J$2=""),$B$1+$B$2,$J$1+$J$2))</f>
        <v>76.255047217605238</v>
      </c>
      <c r="I30" s="10">
        <f>IF($B30="","",IF(OR($J$1="",$J$2=""),$B$1+2*$B$2,$J$1+2*$J$2))</f>
        <v>94.878515487842066</v>
      </c>
      <c r="J30" s="14">
        <f>IF($B30="","",IF(OR($J$1="",$J$2=""),$B$1+3*$B$2,$J$1+3*$J$2))</f>
        <v>113.50198375807889</v>
      </c>
      <c r="K30" s="13">
        <f t="shared" si="7"/>
        <v>-6.973007111749407</v>
      </c>
      <c r="L30" s="10">
        <f t="shared" si="8"/>
        <v>-4.5083205306399545</v>
      </c>
      <c r="M30" s="10">
        <f t="shared" si="9"/>
        <v>-2.0436339495305038</v>
      </c>
      <c r="N30" s="10">
        <f t="shared" si="10"/>
        <v>0.42105263157894735</v>
      </c>
      <c r="O30" s="10">
        <f t="shared" si="11"/>
        <v>2.8857392126883985</v>
      </c>
      <c r="P30" s="10">
        <f t="shared" si="12"/>
        <v>5.3504257937978501</v>
      </c>
      <c r="Q30" s="14">
        <f t="shared" si="13"/>
        <v>7.8151123749073008</v>
      </c>
    </row>
    <row r="31" spans="1:17" x14ac:dyDescent="0.25">
      <c r="A31" s="4">
        <v>45474</v>
      </c>
      <c r="B31" s="5">
        <f>IF('Catalogo de Variaveis'!J36="","",SUM('Catalogo de Variaveis'!J33:J36))</f>
        <v>76</v>
      </c>
      <c r="C31" s="15">
        <f>IFERROR(IF($B31="","",AVERAGE('Catalogo de Variaveis'!J36-'Catalogo de Variaveis'!J35,'Catalogo de Variaveis'!J35-'Catalogo de Variaveis'!J34,'Catalogo de Variaveis'!J34-'Catalogo de Variaveis'!J33,'Catalogo de Variaveis'!J33-'Catalogo de Variaveis'!J32)),0)</f>
        <v>3.75</v>
      </c>
      <c r="D31" s="13">
        <f t="shared" si="0"/>
        <v>1.7611741366579494</v>
      </c>
      <c r="E31" s="10">
        <f t="shared" ref="E31:E94" si="14">IF($B31="","",IF(OR($J$1="",$J$2=""),$B$1-2*$B$2,$J$1-2*$J$2))</f>
        <v>20.38464240689477</v>
      </c>
      <c r="F31" s="10">
        <f t="shared" ref="F31:F94" si="15">IF($B31="","",IF(OR($J$1="",$J$2=""),$B$1-$B$2,$J$1-$J$2))</f>
        <v>39.008110677131597</v>
      </c>
      <c r="G31" s="10">
        <f t="shared" si="3"/>
        <v>57.631578947368418</v>
      </c>
      <c r="H31" s="10">
        <f t="shared" ref="H31:H94" si="16">IF($B31="","",IF(OR($J$1="",$J$2=""),$B$1+$B$2,$J$1+$J$2))</f>
        <v>76.255047217605238</v>
      </c>
      <c r="I31" s="10">
        <f t="shared" si="5"/>
        <v>94.878515487842066</v>
      </c>
      <c r="J31" s="14">
        <f t="shared" ref="J31:J94" si="17">IF($B31="","",IF(OR($J$1="",$J$2=""),$B$1+3*$B$2,$J$1+3*$J$2))</f>
        <v>113.50198375807889</v>
      </c>
      <c r="K31" s="13">
        <f t="shared" si="7"/>
        <v>-6.973007111749407</v>
      </c>
      <c r="L31" s="10">
        <f t="shared" si="8"/>
        <v>-4.5083205306399545</v>
      </c>
      <c r="M31" s="10">
        <f t="shared" si="9"/>
        <v>-2.0436339495305038</v>
      </c>
      <c r="N31" s="10">
        <f t="shared" si="10"/>
        <v>0.42105263157894735</v>
      </c>
      <c r="O31" s="10">
        <f t="shared" si="11"/>
        <v>2.8857392126883985</v>
      </c>
      <c r="P31" s="10">
        <f t="shared" si="12"/>
        <v>5.3504257937978501</v>
      </c>
      <c r="Q31" s="14">
        <f t="shared" si="13"/>
        <v>7.8151123749073008</v>
      </c>
    </row>
    <row r="32" spans="1:17" x14ac:dyDescent="0.25">
      <c r="A32" s="4">
        <v>45505</v>
      </c>
      <c r="B32" s="5">
        <f>IF('Catalogo de Variaveis'!J37="","",SUM('Catalogo de Variaveis'!J34:J37))</f>
        <v>92</v>
      </c>
      <c r="C32" s="15">
        <f>IFERROR(IF($B32="","",AVERAGE('Catalogo de Variaveis'!J37-'Catalogo de Variaveis'!J36,'Catalogo de Variaveis'!J36-'Catalogo de Variaveis'!J35,'Catalogo de Variaveis'!J35-'Catalogo de Variaveis'!J34,'Catalogo de Variaveis'!J34-'Catalogo de Variaveis'!J33)),0)</f>
        <v>4</v>
      </c>
      <c r="D32" s="13">
        <f t="shared" si="0"/>
        <v>1.7611741366579494</v>
      </c>
      <c r="E32" s="10">
        <f t="shared" si="14"/>
        <v>20.38464240689477</v>
      </c>
      <c r="F32" s="10">
        <f t="shared" si="15"/>
        <v>39.008110677131597</v>
      </c>
      <c r="G32" s="10">
        <f t="shared" si="3"/>
        <v>57.631578947368418</v>
      </c>
      <c r="H32" s="10">
        <f t="shared" si="16"/>
        <v>76.255047217605238</v>
      </c>
      <c r="I32" s="10">
        <f t="shared" si="5"/>
        <v>94.878515487842066</v>
      </c>
      <c r="J32" s="14">
        <f t="shared" si="17"/>
        <v>113.50198375807889</v>
      </c>
      <c r="K32" s="13">
        <f t="shared" si="7"/>
        <v>-6.973007111749407</v>
      </c>
      <c r="L32" s="10">
        <f t="shared" si="8"/>
        <v>-4.5083205306399545</v>
      </c>
      <c r="M32" s="10">
        <f t="shared" si="9"/>
        <v>-2.0436339495305038</v>
      </c>
      <c r="N32" s="10">
        <f t="shared" si="10"/>
        <v>0.42105263157894735</v>
      </c>
      <c r="O32" s="10">
        <f t="shared" si="11"/>
        <v>2.8857392126883985</v>
      </c>
      <c r="P32" s="10">
        <f t="shared" si="12"/>
        <v>5.3504257937978501</v>
      </c>
      <c r="Q32" s="14">
        <f t="shared" si="13"/>
        <v>7.8151123749073008</v>
      </c>
    </row>
    <row r="33" spans="1:17" x14ac:dyDescent="0.25">
      <c r="A33" s="4">
        <v>45536</v>
      </c>
      <c r="B33" s="5">
        <f>IF('Catalogo de Variaveis'!J38="","",SUM('Catalogo de Variaveis'!J35:J38))</f>
        <v>103</v>
      </c>
      <c r="C33" s="15">
        <f>IFERROR(IF($B33="","",AVERAGE('Catalogo de Variaveis'!J38-'Catalogo de Variaveis'!J37,'Catalogo de Variaveis'!J37-'Catalogo de Variaveis'!J36,'Catalogo de Variaveis'!J36-'Catalogo de Variaveis'!J35,'Catalogo de Variaveis'!J35-'Catalogo de Variaveis'!J34)),0)</f>
        <v>2.75</v>
      </c>
      <c r="D33" s="13">
        <f t="shared" si="0"/>
        <v>1.7611741366579494</v>
      </c>
      <c r="E33" s="10">
        <f t="shared" si="14"/>
        <v>20.38464240689477</v>
      </c>
      <c r="F33" s="10">
        <f t="shared" si="15"/>
        <v>39.008110677131597</v>
      </c>
      <c r="G33" s="10">
        <f t="shared" si="3"/>
        <v>57.631578947368418</v>
      </c>
      <c r="H33" s="10">
        <f t="shared" si="16"/>
        <v>76.255047217605238</v>
      </c>
      <c r="I33" s="10">
        <f t="shared" si="5"/>
        <v>94.878515487842066</v>
      </c>
      <c r="J33" s="14">
        <f t="shared" si="17"/>
        <v>113.50198375807889</v>
      </c>
      <c r="K33" s="13">
        <f t="shared" si="7"/>
        <v>-6.973007111749407</v>
      </c>
      <c r="L33" s="10">
        <f t="shared" si="8"/>
        <v>-4.5083205306399545</v>
      </c>
      <c r="M33" s="10">
        <f t="shared" si="9"/>
        <v>-2.0436339495305038</v>
      </c>
      <c r="N33" s="10">
        <f t="shared" si="10"/>
        <v>0.42105263157894735</v>
      </c>
      <c r="O33" s="10">
        <f t="shared" si="11"/>
        <v>2.8857392126883985</v>
      </c>
      <c r="P33" s="10">
        <f t="shared" si="12"/>
        <v>5.3504257937978501</v>
      </c>
      <c r="Q33" s="14">
        <f t="shared" si="13"/>
        <v>7.8151123749073008</v>
      </c>
    </row>
    <row r="34" spans="1:17" x14ac:dyDescent="0.25">
      <c r="A34" s="4">
        <v>45566</v>
      </c>
      <c r="B34" s="5">
        <f>IF('Catalogo de Variaveis'!J39="","",SUM('Catalogo de Variaveis'!J36:J39))</f>
        <v>97</v>
      </c>
      <c r="C34" s="15">
        <f>IFERROR(IF($B34="","",AVERAGE('Catalogo de Variaveis'!J39-'Catalogo de Variaveis'!J38,'Catalogo de Variaveis'!J38-'Catalogo de Variaveis'!J37,'Catalogo de Variaveis'!J37-'Catalogo de Variaveis'!J36,'Catalogo de Variaveis'!J36-'Catalogo de Variaveis'!J35)),0)</f>
        <v>-1.5</v>
      </c>
      <c r="D34" s="13">
        <f t="shared" si="0"/>
        <v>1.7611741366579494</v>
      </c>
      <c r="E34" s="10">
        <f t="shared" si="14"/>
        <v>20.38464240689477</v>
      </c>
      <c r="F34" s="10">
        <f t="shared" si="15"/>
        <v>39.008110677131597</v>
      </c>
      <c r="G34" s="10">
        <f t="shared" si="3"/>
        <v>57.631578947368418</v>
      </c>
      <c r="H34" s="10">
        <f t="shared" si="16"/>
        <v>76.255047217605238</v>
      </c>
      <c r="I34" s="10">
        <f t="shared" si="5"/>
        <v>94.878515487842066</v>
      </c>
      <c r="J34" s="14">
        <f t="shared" si="17"/>
        <v>113.50198375807889</v>
      </c>
      <c r="K34" s="13">
        <f t="shared" si="7"/>
        <v>-6.973007111749407</v>
      </c>
      <c r="L34" s="10">
        <f t="shared" si="8"/>
        <v>-4.5083205306399545</v>
      </c>
      <c r="M34" s="10">
        <f t="shared" si="9"/>
        <v>-2.0436339495305038</v>
      </c>
      <c r="N34" s="10">
        <f t="shared" si="10"/>
        <v>0.42105263157894735</v>
      </c>
      <c r="O34" s="10">
        <f t="shared" si="11"/>
        <v>2.8857392126883985</v>
      </c>
      <c r="P34" s="10">
        <f t="shared" si="12"/>
        <v>5.3504257937978501</v>
      </c>
      <c r="Q34" s="14">
        <f t="shared" si="13"/>
        <v>7.8151123749073008</v>
      </c>
    </row>
    <row r="35" spans="1:17" x14ac:dyDescent="0.25">
      <c r="A35" s="4">
        <v>45597</v>
      </c>
      <c r="B35" s="5">
        <f>IF('Catalogo de Variaveis'!J40="","",SUM('Catalogo de Variaveis'!J37:J40))</f>
        <v>87</v>
      </c>
      <c r="C35" s="15">
        <f>IFERROR(IF($B35="","",AVERAGE('Catalogo de Variaveis'!J40-'Catalogo de Variaveis'!J39,'Catalogo de Variaveis'!J39-'Catalogo de Variaveis'!J38,'Catalogo de Variaveis'!J38-'Catalogo de Variaveis'!J37,'Catalogo de Variaveis'!J37-'Catalogo de Variaveis'!J36)),0)</f>
        <v>-2.5</v>
      </c>
      <c r="D35" s="13">
        <f t="shared" si="0"/>
        <v>1.7611741366579494</v>
      </c>
      <c r="E35" s="10">
        <f t="shared" si="14"/>
        <v>20.38464240689477</v>
      </c>
      <c r="F35" s="10">
        <f t="shared" si="15"/>
        <v>39.008110677131597</v>
      </c>
      <c r="G35" s="10">
        <f t="shared" si="3"/>
        <v>57.631578947368418</v>
      </c>
      <c r="H35" s="10">
        <f t="shared" si="16"/>
        <v>76.255047217605238</v>
      </c>
      <c r="I35" s="10">
        <f t="shared" si="5"/>
        <v>94.878515487842066</v>
      </c>
      <c r="J35" s="14">
        <f t="shared" si="17"/>
        <v>113.50198375807889</v>
      </c>
      <c r="K35" s="13">
        <f t="shared" si="7"/>
        <v>-6.973007111749407</v>
      </c>
      <c r="L35" s="10">
        <f t="shared" si="8"/>
        <v>-4.5083205306399545</v>
      </c>
      <c r="M35" s="10">
        <f t="shared" si="9"/>
        <v>-2.0436339495305038</v>
      </c>
      <c r="N35" s="10">
        <f t="shared" si="10"/>
        <v>0.42105263157894735</v>
      </c>
      <c r="O35" s="10">
        <f t="shared" si="11"/>
        <v>2.8857392126883985</v>
      </c>
      <c r="P35" s="10">
        <f t="shared" si="12"/>
        <v>5.3504257937978501</v>
      </c>
      <c r="Q35" s="14">
        <f t="shared" si="13"/>
        <v>7.8151123749073008</v>
      </c>
    </row>
    <row r="36" spans="1:17" x14ac:dyDescent="0.25">
      <c r="A36" s="4">
        <v>45627</v>
      </c>
      <c r="B36" s="5">
        <f>IF('Catalogo de Variaveis'!J41="","",SUM('Catalogo de Variaveis'!J38:J41))</f>
        <v>63</v>
      </c>
      <c r="C36" s="15">
        <f>IFERROR(IF($B36="","",AVERAGE('Catalogo de Variaveis'!J41-'Catalogo de Variaveis'!J40,'Catalogo de Variaveis'!J40-'Catalogo de Variaveis'!J39,'Catalogo de Variaveis'!J39-'Catalogo de Variaveis'!J38,'Catalogo de Variaveis'!J38-'Catalogo de Variaveis'!J37)),0)</f>
        <v>-6</v>
      </c>
      <c r="D36" s="13">
        <f t="shared" si="0"/>
        <v>1.7611741366579494</v>
      </c>
      <c r="E36" s="10">
        <f t="shared" si="14"/>
        <v>20.38464240689477</v>
      </c>
      <c r="F36" s="10">
        <f t="shared" si="15"/>
        <v>39.008110677131597</v>
      </c>
      <c r="G36" s="10">
        <f t="shared" si="3"/>
        <v>57.631578947368418</v>
      </c>
      <c r="H36" s="10">
        <f t="shared" si="16"/>
        <v>76.255047217605238</v>
      </c>
      <c r="I36" s="10">
        <f t="shared" si="5"/>
        <v>94.878515487842066</v>
      </c>
      <c r="J36" s="14">
        <f t="shared" si="17"/>
        <v>113.50198375807889</v>
      </c>
      <c r="K36" s="13">
        <f t="shared" si="7"/>
        <v>-6.973007111749407</v>
      </c>
      <c r="L36" s="10">
        <f t="shared" si="8"/>
        <v>-4.5083205306399545</v>
      </c>
      <c r="M36" s="10">
        <f t="shared" si="9"/>
        <v>-2.0436339495305038</v>
      </c>
      <c r="N36" s="10">
        <f t="shared" si="10"/>
        <v>0.42105263157894735</v>
      </c>
      <c r="O36" s="10">
        <f t="shared" si="11"/>
        <v>2.8857392126883985</v>
      </c>
      <c r="P36" s="10">
        <f t="shared" si="12"/>
        <v>5.3504257937978501</v>
      </c>
      <c r="Q36" s="14">
        <f t="shared" si="13"/>
        <v>7.8151123749073008</v>
      </c>
    </row>
    <row r="37" spans="1:17" x14ac:dyDescent="0.25">
      <c r="A37" s="4">
        <v>45658</v>
      </c>
      <c r="B37" s="5">
        <f>IF('Catalogo de Variaveis'!J42="","",SUM('Catalogo de Variaveis'!J39:J42))</f>
        <v>68</v>
      </c>
      <c r="C37" s="15">
        <f>IFERROR(IF($B37="","",AVERAGE('Catalogo de Variaveis'!J42-'Catalogo de Variaveis'!J41,'Catalogo de Variaveis'!J41-'Catalogo de Variaveis'!J40,'Catalogo de Variaveis'!J40-'Catalogo de Variaveis'!J39,'Catalogo de Variaveis'!J39-'Catalogo de Variaveis'!J38)),0)</f>
        <v>1.25</v>
      </c>
      <c r="D37" s="13">
        <f t="shared" si="0"/>
        <v>1.7611741366579494</v>
      </c>
      <c r="E37" s="10">
        <f t="shared" si="14"/>
        <v>20.38464240689477</v>
      </c>
      <c r="F37" s="10">
        <f t="shared" si="15"/>
        <v>39.008110677131597</v>
      </c>
      <c r="G37" s="10">
        <f t="shared" si="3"/>
        <v>57.631578947368418</v>
      </c>
      <c r="H37" s="10">
        <f t="shared" si="16"/>
        <v>76.255047217605238</v>
      </c>
      <c r="I37" s="10">
        <f t="shared" si="5"/>
        <v>94.878515487842066</v>
      </c>
      <c r="J37" s="14">
        <f t="shared" si="17"/>
        <v>113.50198375807889</v>
      </c>
      <c r="K37" s="13">
        <f t="shared" si="7"/>
        <v>-6.973007111749407</v>
      </c>
      <c r="L37" s="10">
        <f t="shared" si="8"/>
        <v>-4.5083205306399545</v>
      </c>
      <c r="M37" s="10">
        <f t="shared" si="9"/>
        <v>-2.0436339495305038</v>
      </c>
      <c r="N37" s="10">
        <f t="shared" si="10"/>
        <v>0.42105263157894735</v>
      </c>
      <c r="O37" s="10">
        <f t="shared" si="11"/>
        <v>2.8857392126883985</v>
      </c>
      <c r="P37" s="10">
        <f t="shared" si="12"/>
        <v>5.3504257937978501</v>
      </c>
      <c r="Q37" s="14">
        <f t="shared" si="13"/>
        <v>7.8151123749073008</v>
      </c>
    </row>
    <row r="38" spans="1:17" x14ac:dyDescent="0.25">
      <c r="A38" s="4">
        <v>45689</v>
      </c>
      <c r="B38" s="5">
        <f>IF('Catalogo de Variaveis'!J43="","",SUM('Catalogo de Variaveis'!J40:J43))</f>
        <v>65</v>
      </c>
      <c r="C38" s="15">
        <f>IFERROR(IF($B38="","",AVERAGE('Catalogo de Variaveis'!J43-'Catalogo de Variaveis'!J42,'Catalogo de Variaveis'!J42-'Catalogo de Variaveis'!J41,'Catalogo de Variaveis'!J41-'Catalogo de Variaveis'!J40,'Catalogo de Variaveis'!J40-'Catalogo de Variaveis'!J39)),0)</f>
        <v>-0.75</v>
      </c>
      <c r="D38" s="13">
        <f t="shared" si="0"/>
        <v>1.7611741366579494</v>
      </c>
      <c r="E38" s="10">
        <f t="shared" si="14"/>
        <v>20.38464240689477</v>
      </c>
      <c r="F38" s="10">
        <f t="shared" si="15"/>
        <v>39.008110677131597</v>
      </c>
      <c r="G38" s="10">
        <f t="shared" si="3"/>
        <v>57.631578947368418</v>
      </c>
      <c r="H38" s="10">
        <f t="shared" si="16"/>
        <v>76.255047217605238</v>
      </c>
      <c r="I38" s="10">
        <f t="shared" si="5"/>
        <v>94.878515487842066</v>
      </c>
      <c r="J38" s="14">
        <f t="shared" si="17"/>
        <v>113.50198375807889</v>
      </c>
      <c r="K38" s="13">
        <f t="shared" si="7"/>
        <v>-6.973007111749407</v>
      </c>
      <c r="L38" s="10">
        <f t="shared" si="8"/>
        <v>-4.5083205306399545</v>
      </c>
      <c r="M38" s="10">
        <f t="shared" si="9"/>
        <v>-2.0436339495305038</v>
      </c>
      <c r="N38" s="10">
        <f t="shared" si="10"/>
        <v>0.42105263157894735</v>
      </c>
      <c r="O38" s="10">
        <f t="shared" si="11"/>
        <v>2.8857392126883985</v>
      </c>
      <c r="P38" s="10">
        <f t="shared" si="12"/>
        <v>5.3504257937978501</v>
      </c>
      <c r="Q38" s="14">
        <f t="shared" si="13"/>
        <v>7.8151123749073008</v>
      </c>
    </row>
    <row r="39" spans="1:17" x14ac:dyDescent="0.25">
      <c r="A39" s="4">
        <v>45717</v>
      </c>
      <c r="B39" s="5">
        <f>IF('Catalogo de Variaveis'!J44="","",SUM('Catalogo de Variaveis'!J41:J44))</f>
        <v>67</v>
      </c>
      <c r="C39" s="15">
        <f>IFERROR(IF($B39="","",AVERAGE('Catalogo de Variaveis'!J44-'Catalogo de Variaveis'!J43,'Catalogo de Variaveis'!J43-'Catalogo de Variaveis'!J42,'Catalogo de Variaveis'!J42-'Catalogo de Variaveis'!J41,'Catalogo de Variaveis'!J41-'Catalogo de Variaveis'!J40)),0)</f>
        <v>0.5</v>
      </c>
      <c r="D39" s="13">
        <f t="shared" si="0"/>
        <v>1.7611741366579494</v>
      </c>
      <c r="E39" s="10">
        <f t="shared" si="14"/>
        <v>20.38464240689477</v>
      </c>
      <c r="F39" s="10">
        <f t="shared" si="15"/>
        <v>39.008110677131597</v>
      </c>
      <c r="G39" s="10">
        <f t="shared" si="3"/>
        <v>57.631578947368418</v>
      </c>
      <c r="H39" s="10">
        <f t="shared" si="16"/>
        <v>76.255047217605238</v>
      </c>
      <c r="I39" s="10">
        <f t="shared" si="5"/>
        <v>94.878515487842066</v>
      </c>
      <c r="J39" s="14">
        <f t="shared" si="17"/>
        <v>113.50198375807889</v>
      </c>
      <c r="K39" s="13">
        <f t="shared" si="7"/>
        <v>-6.973007111749407</v>
      </c>
      <c r="L39" s="10">
        <f t="shared" si="8"/>
        <v>-4.5083205306399545</v>
      </c>
      <c r="M39" s="10">
        <f t="shared" si="9"/>
        <v>-2.0436339495305038</v>
      </c>
      <c r="N39" s="10">
        <f t="shared" si="10"/>
        <v>0.42105263157894735</v>
      </c>
      <c r="O39" s="10">
        <f t="shared" si="11"/>
        <v>2.8857392126883985</v>
      </c>
      <c r="P39" s="10">
        <f t="shared" si="12"/>
        <v>5.3504257937978501</v>
      </c>
      <c r="Q39" s="14">
        <f t="shared" si="13"/>
        <v>7.8151123749073008</v>
      </c>
    </row>
    <row r="40" spans="1:17" x14ac:dyDescent="0.25">
      <c r="A40" s="4">
        <v>45748</v>
      </c>
      <c r="B40" s="5">
        <f>IF('Catalogo de Variaveis'!J45="","",SUM('Catalogo de Variaveis'!J42:J45))</f>
        <v>81</v>
      </c>
      <c r="C40" s="15">
        <f>IFERROR(IF($B40="","",AVERAGE('Catalogo de Variaveis'!J45-'Catalogo de Variaveis'!J44,'Catalogo de Variaveis'!J44-'Catalogo de Variaveis'!J43,'Catalogo de Variaveis'!J43-'Catalogo de Variaveis'!J42,'Catalogo de Variaveis'!J42-'Catalogo de Variaveis'!J41)),0)</f>
        <v>3.5</v>
      </c>
      <c r="D40" s="13">
        <f t="shared" si="0"/>
        <v>1.7611741366579494</v>
      </c>
      <c r="E40" s="10">
        <f t="shared" si="14"/>
        <v>20.38464240689477</v>
      </c>
      <c r="F40" s="10">
        <f t="shared" si="15"/>
        <v>39.008110677131597</v>
      </c>
      <c r="G40" s="10">
        <f t="shared" si="3"/>
        <v>57.631578947368418</v>
      </c>
      <c r="H40" s="10">
        <f t="shared" si="16"/>
        <v>76.255047217605238</v>
      </c>
      <c r="I40" s="10">
        <f t="shared" si="5"/>
        <v>94.878515487842066</v>
      </c>
      <c r="J40" s="14">
        <f t="shared" si="17"/>
        <v>113.50198375807889</v>
      </c>
      <c r="K40" s="13">
        <f t="shared" si="7"/>
        <v>-6.973007111749407</v>
      </c>
      <c r="L40" s="10">
        <f t="shared" si="8"/>
        <v>-4.5083205306399545</v>
      </c>
      <c r="M40" s="10">
        <f t="shared" si="9"/>
        <v>-2.0436339495305038</v>
      </c>
      <c r="N40" s="10">
        <f t="shared" si="10"/>
        <v>0.42105263157894735</v>
      </c>
      <c r="O40" s="10">
        <f t="shared" si="11"/>
        <v>2.8857392126883985</v>
      </c>
      <c r="P40" s="10">
        <f t="shared" si="12"/>
        <v>5.3504257937978501</v>
      </c>
      <c r="Q40" s="14">
        <f t="shared" si="13"/>
        <v>7.8151123749073008</v>
      </c>
    </row>
    <row r="41" spans="1:17" x14ac:dyDescent="0.25">
      <c r="A41" s="4">
        <v>45778</v>
      </c>
      <c r="B41" s="5">
        <f>IF('Catalogo de Variaveis'!J46="","",SUM('Catalogo de Variaveis'!J43:J46))</f>
        <v>61</v>
      </c>
      <c r="C41" s="15">
        <f>IFERROR(IF($B41="","",AVERAGE('Catalogo de Variaveis'!J46-'Catalogo de Variaveis'!J45,'Catalogo de Variaveis'!J45-'Catalogo de Variaveis'!J44,'Catalogo de Variaveis'!J44-'Catalogo de Variaveis'!J43,'Catalogo de Variaveis'!J43-'Catalogo de Variaveis'!J42)),0)</f>
        <v>-5</v>
      </c>
      <c r="D41" s="13">
        <f t="shared" si="0"/>
        <v>1.7611741366579494</v>
      </c>
      <c r="E41" s="10">
        <f t="shared" si="14"/>
        <v>20.38464240689477</v>
      </c>
      <c r="F41" s="10">
        <f t="shared" si="15"/>
        <v>39.008110677131597</v>
      </c>
      <c r="G41" s="10">
        <f t="shared" si="3"/>
        <v>57.631578947368418</v>
      </c>
      <c r="H41" s="10">
        <f t="shared" si="16"/>
        <v>76.255047217605238</v>
      </c>
      <c r="I41" s="10">
        <f t="shared" si="5"/>
        <v>94.878515487842066</v>
      </c>
      <c r="J41" s="14">
        <f t="shared" si="17"/>
        <v>113.50198375807889</v>
      </c>
      <c r="K41" s="13">
        <f t="shared" si="7"/>
        <v>-6.973007111749407</v>
      </c>
      <c r="L41" s="10">
        <f t="shared" si="8"/>
        <v>-4.5083205306399545</v>
      </c>
      <c r="M41" s="10">
        <f t="shared" si="9"/>
        <v>-2.0436339495305038</v>
      </c>
      <c r="N41" s="10">
        <f t="shared" si="10"/>
        <v>0.42105263157894735</v>
      </c>
      <c r="O41" s="10">
        <f t="shared" si="11"/>
        <v>2.8857392126883985</v>
      </c>
      <c r="P41" s="10">
        <f t="shared" si="12"/>
        <v>5.3504257937978501</v>
      </c>
      <c r="Q41" s="14">
        <f t="shared" si="13"/>
        <v>7.8151123749073008</v>
      </c>
    </row>
    <row r="42" spans="1:17" x14ac:dyDescent="0.25">
      <c r="A42" s="4">
        <v>45809</v>
      </c>
      <c r="B42" s="5">
        <f>IF('Catalogo de Variaveis'!J47="","",SUM('Catalogo de Variaveis'!J44:J47))</f>
        <v>51</v>
      </c>
      <c r="C42" s="15">
        <f>IFERROR(IF($B42="","",AVERAGE('Catalogo de Variaveis'!J47-'Catalogo de Variaveis'!J46,'Catalogo de Variaveis'!J46-'Catalogo de Variaveis'!J45,'Catalogo de Variaveis'!J45-'Catalogo de Variaveis'!J44,'Catalogo de Variaveis'!J44-'Catalogo de Variaveis'!J43)),0)</f>
        <v>-2.5</v>
      </c>
      <c r="D42" s="13">
        <f t="shared" si="0"/>
        <v>1.7611741366579494</v>
      </c>
      <c r="E42" s="10">
        <f t="shared" si="14"/>
        <v>20.38464240689477</v>
      </c>
      <c r="F42" s="10">
        <f t="shared" si="15"/>
        <v>39.008110677131597</v>
      </c>
      <c r="G42" s="10">
        <f t="shared" si="3"/>
        <v>57.631578947368418</v>
      </c>
      <c r="H42" s="10">
        <f t="shared" si="16"/>
        <v>76.255047217605238</v>
      </c>
      <c r="I42" s="10">
        <f t="shared" si="5"/>
        <v>94.878515487842066</v>
      </c>
      <c r="J42" s="14">
        <f t="shared" si="17"/>
        <v>113.50198375807889</v>
      </c>
      <c r="K42" s="13">
        <f t="shared" si="7"/>
        <v>-6.973007111749407</v>
      </c>
      <c r="L42" s="10">
        <f t="shared" si="8"/>
        <v>-4.5083205306399545</v>
      </c>
      <c r="M42" s="10">
        <f t="shared" si="9"/>
        <v>-2.0436339495305038</v>
      </c>
      <c r="N42" s="10">
        <f t="shared" si="10"/>
        <v>0.42105263157894735</v>
      </c>
      <c r="O42" s="10">
        <f t="shared" si="11"/>
        <v>2.8857392126883985</v>
      </c>
      <c r="P42" s="10">
        <f t="shared" si="12"/>
        <v>5.3504257937978501</v>
      </c>
      <c r="Q42" s="14">
        <f t="shared" si="13"/>
        <v>7.8151123749073008</v>
      </c>
    </row>
    <row r="43" spans="1:17" x14ac:dyDescent="0.25">
      <c r="A43" s="4">
        <v>45839</v>
      </c>
      <c r="B43" s="5">
        <f>IF('Catalogo de Variaveis'!J48="","",SUM('Catalogo de Variaveis'!J45:J48))</f>
        <v>49</v>
      </c>
      <c r="C43" s="15">
        <f>IFERROR(IF($B43="","",AVERAGE('Catalogo de Variaveis'!J48-'Catalogo de Variaveis'!J47,'Catalogo de Variaveis'!J47-'Catalogo de Variaveis'!J46,'Catalogo de Variaveis'!J46-'Catalogo de Variaveis'!J45,'Catalogo de Variaveis'!J45-'Catalogo de Variaveis'!J44)),0)</f>
        <v>-0.5</v>
      </c>
      <c r="D43" s="13">
        <f t="shared" si="0"/>
        <v>1.7611741366579494</v>
      </c>
      <c r="E43" s="10">
        <f t="shared" si="14"/>
        <v>20.38464240689477</v>
      </c>
      <c r="F43" s="10">
        <f t="shared" si="15"/>
        <v>39.008110677131597</v>
      </c>
      <c r="G43" s="10">
        <f t="shared" si="3"/>
        <v>57.631578947368418</v>
      </c>
      <c r="H43" s="10">
        <f t="shared" si="16"/>
        <v>76.255047217605238</v>
      </c>
      <c r="I43" s="10">
        <f t="shared" si="5"/>
        <v>94.878515487842066</v>
      </c>
      <c r="J43" s="14">
        <f t="shared" si="17"/>
        <v>113.50198375807889</v>
      </c>
      <c r="K43" s="13">
        <f t="shared" si="7"/>
        <v>-6.973007111749407</v>
      </c>
      <c r="L43" s="10">
        <f t="shared" si="8"/>
        <v>-4.5083205306399545</v>
      </c>
      <c r="M43" s="10">
        <f t="shared" si="9"/>
        <v>-2.0436339495305038</v>
      </c>
      <c r="N43" s="10">
        <f t="shared" si="10"/>
        <v>0.42105263157894735</v>
      </c>
      <c r="O43" s="10">
        <f t="shared" si="11"/>
        <v>2.8857392126883985</v>
      </c>
      <c r="P43" s="10">
        <f t="shared" si="12"/>
        <v>5.3504257937978501</v>
      </c>
      <c r="Q43" s="14">
        <f t="shared" si="13"/>
        <v>7.8151123749073008</v>
      </c>
    </row>
    <row r="44" spans="1:17" x14ac:dyDescent="0.25">
      <c r="A44" s="4">
        <v>45870</v>
      </c>
      <c r="B44" s="5">
        <f>IF('Catalogo de Variaveis'!J49="","",SUM('Catalogo de Variaveis'!J46:J49))</f>
        <v>46</v>
      </c>
      <c r="C44" s="15">
        <f>IFERROR(IF($B44="","",AVERAGE('Catalogo de Variaveis'!J49-'Catalogo de Variaveis'!J48,'Catalogo de Variaveis'!J48-'Catalogo de Variaveis'!J47,'Catalogo de Variaveis'!J47-'Catalogo de Variaveis'!J46,'Catalogo de Variaveis'!J46-'Catalogo de Variaveis'!J45)),0)</f>
        <v>-0.75</v>
      </c>
      <c r="D44" s="13">
        <f t="shared" si="0"/>
        <v>1.7611741366579494</v>
      </c>
      <c r="E44" s="10">
        <f t="shared" si="14"/>
        <v>20.38464240689477</v>
      </c>
      <c r="F44" s="10">
        <f t="shared" si="15"/>
        <v>39.008110677131597</v>
      </c>
      <c r="G44" s="10">
        <f t="shared" si="3"/>
        <v>57.631578947368418</v>
      </c>
      <c r="H44" s="10">
        <f t="shared" si="16"/>
        <v>76.255047217605238</v>
      </c>
      <c r="I44" s="10">
        <f t="shared" si="5"/>
        <v>94.878515487842066</v>
      </c>
      <c r="J44" s="14">
        <f t="shared" si="17"/>
        <v>113.50198375807889</v>
      </c>
      <c r="K44" s="13">
        <f t="shared" si="7"/>
        <v>-6.973007111749407</v>
      </c>
      <c r="L44" s="10">
        <f t="shared" si="8"/>
        <v>-4.5083205306399545</v>
      </c>
      <c r="M44" s="10">
        <f t="shared" si="9"/>
        <v>-2.0436339495305038</v>
      </c>
      <c r="N44" s="10">
        <f t="shared" si="10"/>
        <v>0.42105263157894735</v>
      </c>
      <c r="O44" s="10">
        <f t="shared" si="11"/>
        <v>2.8857392126883985</v>
      </c>
      <c r="P44" s="10">
        <f t="shared" si="12"/>
        <v>5.3504257937978501</v>
      </c>
      <c r="Q44" s="14">
        <f t="shared" si="13"/>
        <v>7.8151123749073008</v>
      </c>
    </row>
    <row r="45" spans="1:17" x14ac:dyDescent="0.25">
      <c r="A45" s="4">
        <v>45901</v>
      </c>
      <c r="B45" s="5">
        <f>IF('Catalogo de Variaveis'!J50="","",SUM('Catalogo de Variaveis'!J47:J50))</f>
        <v>56</v>
      </c>
      <c r="C45" s="15">
        <f>IFERROR(IF($B45="","",AVERAGE('Catalogo de Variaveis'!J50-'Catalogo de Variaveis'!J49,'Catalogo de Variaveis'!J49-'Catalogo de Variaveis'!J48,'Catalogo de Variaveis'!J48-'Catalogo de Variaveis'!J47,'Catalogo de Variaveis'!J47-'Catalogo de Variaveis'!J46)),0)</f>
        <v>2.5</v>
      </c>
      <c r="D45" s="13">
        <f t="shared" si="0"/>
        <v>1.7611741366579494</v>
      </c>
      <c r="E45" s="10">
        <f t="shared" si="14"/>
        <v>20.38464240689477</v>
      </c>
      <c r="F45" s="10">
        <f t="shared" si="15"/>
        <v>39.008110677131597</v>
      </c>
      <c r="G45" s="10">
        <f t="shared" si="3"/>
        <v>57.631578947368418</v>
      </c>
      <c r="H45" s="10">
        <f t="shared" si="16"/>
        <v>76.255047217605238</v>
      </c>
      <c r="I45" s="10">
        <f t="shared" si="5"/>
        <v>94.878515487842066</v>
      </c>
      <c r="J45" s="14">
        <f t="shared" si="17"/>
        <v>113.50198375807889</v>
      </c>
      <c r="K45" s="13">
        <f t="shared" si="7"/>
        <v>-6.973007111749407</v>
      </c>
      <c r="L45" s="10">
        <f t="shared" si="8"/>
        <v>-4.5083205306399545</v>
      </c>
      <c r="M45" s="10">
        <f t="shared" si="9"/>
        <v>-2.0436339495305038</v>
      </c>
      <c r="N45" s="10">
        <f t="shared" si="10"/>
        <v>0.42105263157894735</v>
      </c>
      <c r="O45" s="10">
        <f t="shared" si="11"/>
        <v>2.8857392126883985</v>
      </c>
      <c r="P45" s="10">
        <f t="shared" si="12"/>
        <v>5.3504257937978501</v>
      </c>
      <c r="Q45" s="14">
        <f t="shared" si="13"/>
        <v>7.8151123749073008</v>
      </c>
    </row>
    <row r="46" spans="1:17" x14ac:dyDescent="0.25">
      <c r="A46" s="4">
        <v>45931</v>
      </c>
      <c r="B46" s="5">
        <f>IF('Catalogo de Variaveis'!J51="","",SUM('Catalogo de Variaveis'!J48:J51))</f>
        <v>64</v>
      </c>
      <c r="C46" s="15">
        <f>IFERROR(IF($B46="","",AVERAGE('Catalogo de Variaveis'!J51-'Catalogo de Variaveis'!J50,'Catalogo de Variaveis'!J50-'Catalogo de Variaveis'!J49,'Catalogo de Variaveis'!J49-'Catalogo de Variaveis'!J48,'Catalogo de Variaveis'!J48-'Catalogo de Variaveis'!J47)),0)</f>
        <v>2</v>
      </c>
      <c r="D46" s="13">
        <f t="shared" si="0"/>
        <v>1.7611741366579494</v>
      </c>
      <c r="E46" s="10">
        <f t="shared" si="14"/>
        <v>20.38464240689477</v>
      </c>
      <c r="F46" s="10">
        <f t="shared" si="15"/>
        <v>39.008110677131597</v>
      </c>
      <c r="G46" s="10">
        <f t="shared" si="3"/>
        <v>57.631578947368418</v>
      </c>
      <c r="H46" s="10">
        <f t="shared" si="16"/>
        <v>76.255047217605238</v>
      </c>
      <c r="I46" s="10">
        <f t="shared" si="5"/>
        <v>94.878515487842066</v>
      </c>
      <c r="J46" s="14">
        <f t="shared" si="17"/>
        <v>113.50198375807889</v>
      </c>
      <c r="K46" s="13">
        <f t="shared" si="7"/>
        <v>-6.973007111749407</v>
      </c>
      <c r="L46" s="10">
        <f t="shared" si="8"/>
        <v>-4.5083205306399545</v>
      </c>
      <c r="M46" s="10">
        <f t="shared" si="9"/>
        <v>-2.0436339495305038</v>
      </c>
      <c r="N46" s="10">
        <f t="shared" si="10"/>
        <v>0.42105263157894735</v>
      </c>
      <c r="O46" s="10">
        <f t="shared" si="11"/>
        <v>2.8857392126883985</v>
      </c>
      <c r="P46" s="10">
        <f t="shared" si="12"/>
        <v>5.3504257937978501</v>
      </c>
      <c r="Q46" s="14">
        <f t="shared" si="13"/>
        <v>7.8151123749073008</v>
      </c>
    </row>
    <row r="47" spans="1:17" x14ac:dyDescent="0.25">
      <c r="A47" s="4">
        <v>45962</v>
      </c>
      <c r="B47" s="5" t="str">
        <f>IF('Catalogo de Variaveis'!J52="","",SUM('Catalogo de Variaveis'!J49:J52))</f>
        <v/>
      </c>
      <c r="C47" s="15" t="str">
        <f>IFERROR(IF($B47="","",AVERAGE('Catalogo de Variaveis'!J52-'Catalogo de Variaveis'!J51,'Catalogo de Variaveis'!J51-'Catalogo de Variaveis'!J50,'Catalogo de Variaveis'!J50-'Catalogo de Variaveis'!J49,'Catalogo de Variaveis'!J49-'Catalogo de Variaveis'!J48)),0)</f>
        <v/>
      </c>
      <c r="D47" s="13" t="str">
        <f t="shared" si="0"/>
        <v/>
      </c>
      <c r="E47" s="10" t="str">
        <f t="shared" si="14"/>
        <v/>
      </c>
      <c r="F47" s="10" t="str">
        <f t="shared" si="15"/>
        <v/>
      </c>
      <c r="G47" s="10" t="str">
        <f t="shared" si="3"/>
        <v/>
      </c>
      <c r="H47" s="10" t="str">
        <f t="shared" si="16"/>
        <v/>
      </c>
      <c r="I47" s="10" t="str">
        <f t="shared" si="5"/>
        <v/>
      </c>
      <c r="J47" s="14" t="str">
        <f t="shared" si="17"/>
        <v/>
      </c>
      <c r="K47" s="13" t="str">
        <f t="shared" si="7"/>
        <v/>
      </c>
      <c r="L47" s="10" t="str">
        <f t="shared" si="8"/>
        <v/>
      </c>
      <c r="M47" s="10" t="str">
        <f t="shared" si="9"/>
        <v/>
      </c>
      <c r="N47" s="10" t="str">
        <f t="shared" si="10"/>
        <v/>
      </c>
      <c r="O47" s="10" t="str">
        <f t="shared" si="11"/>
        <v/>
      </c>
      <c r="P47" s="10" t="str">
        <f t="shared" si="12"/>
        <v/>
      </c>
      <c r="Q47" s="14" t="str">
        <f t="shared" si="13"/>
        <v/>
      </c>
    </row>
    <row r="48" spans="1:17" x14ac:dyDescent="0.25">
      <c r="A48" s="4">
        <v>45992</v>
      </c>
      <c r="B48" s="5" t="str">
        <f>IF('Catalogo de Variaveis'!J53="","",SUM('Catalogo de Variaveis'!J50:J53))</f>
        <v/>
      </c>
      <c r="C48" s="15" t="str">
        <f>IFERROR(IF($B48="","",AVERAGE('Catalogo de Variaveis'!J53-'Catalogo de Variaveis'!J52,'Catalogo de Variaveis'!J52-'Catalogo de Variaveis'!J51,'Catalogo de Variaveis'!J51-'Catalogo de Variaveis'!J50,'Catalogo de Variaveis'!J50-'Catalogo de Variaveis'!J49)),0)</f>
        <v/>
      </c>
      <c r="D48" s="13" t="str">
        <f t="shared" si="0"/>
        <v/>
      </c>
      <c r="E48" s="10" t="str">
        <f t="shared" si="14"/>
        <v/>
      </c>
      <c r="F48" s="10" t="str">
        <f t="shared" si="15"/>
        <v/>
      </c>
      <c r="G48" s="10" t="str">
        <f t="shared" si="3"/>
        <v/>
      </c>
      <c r="H48" s="10" t="str">
        <f t="shared" si="16"/>
        <v/>
      </c>
      <c r="I48" s="10" t="str">
        <f t="shared" si="5"/>
        <v/>
      </c>
      <c r="J48" s="14" t="str">
        <f t="shared" si="17"/>
        <v/>
      </c>
      <c r="K48" s="13" t="str">
        <f t="shared" si="7"/>
        <v/>
      </c>
      <c r="L48" s="10" t="str">
        <f t="shared" si="8"/>
        <v/>
      </c>
      <c r="M48" s="10" t="str">
        <f t="shared" si="9"/>
        <v/>
      </c>
      <c r="N48" s="10" t="str">
        <f t="shared" si="10"/>
        <v/>
      </c>
      <c r="O48" s="10" t="str">
        <f t="shared" si="11"/>
        <v/>
      </c>
      <c r="P48" s="10" t="str">
        <f t="shared" si="12"/>
        <v/>
      </c>
      <c r="Q48" s="14" t="str">
        <f t="shared" si="13"/>
        <v/>
      </c>
    </row>
    <row r="49" spans="1:17" x14ac:dyDescent="0.25">
      <c r="A49" s="4">
        <v>46023</v>
      </c>
      <c r="B49" s="5" t="str">
        <f>IF('Catalogo de Variaveis'!J54="","",SUM('Catalogo de Variaveis'!J51:J54))</f>
        <v/>
      </c>
      <c r="C49" s="15" t="str">
        <f>IFERROR(IF($B49="","",AVERAGE('Catalogo de Variaveis'!J54-'Catalogo de Variaveis'!J53,'Catalogo de Variaveis'!J53-'Catalogo de Variaveis'!J52,'Catalogo de Variaveis'!J52-'Catalogo de Variaveis'!J51,'Catalogo de Variaveis'!J51-'Catalogo de Variaveis'!J50)),0)</f>
        <v/>
      </c>
      <c r="D49" s="13" t="str">
        <f t="shared" si="0"/>
        <v/>
      </c>
      <c r="E49" s="10" t="str">
        <f t="shared" si="14"/>
        <v/>
      </c>
      <c r="F49" s="10" t="str">
        <f t="shared" si="15"/>
        <v/>
      </c>
      <c r="G49" s="10" t="str">
        <f t="shared" si="3"/>
        <v/>
      </c>
      <c r="H49" s="10" t="str">
        <f t="shared" si="16"/>
        <v/>
      </c>
      <c r="I49" s="10" t="str">
        <f t="shared" si="5"/>
        <v/>
      </c>
      <c r="J49" s="14" t="str">
        <f t="shared" si="17"/>
        <v/>
      </c>
      <c r="K49" s="13" t="str">
        <f t="shared" si="7"/>
        <v/>
      </c>
      <c r="L49" s="10" t="str">
        <f t="shared" si="8"/>
        <v/>
      </c>
      <c r="M49" s="10" t="str">
        <f t="shared" si="9"/>
        <v/>
      </c>
      <c r="N49" s="10" t="str">
        <f t="shared" si="10"/>
        <v/>
      </c>
      <c r="O49" s="10" t="str">
        <f t="shared" si="11"/>
        <v/>
      </c>
      <c r="P49" s="10" t="str">
        <f t="shared" si="12"/>
        <v/>
      </c>
      <c r="Q49" s="14" t="str">
        <f t="shared" si="13"/>
        <v/>
      </c>
    </row>
    <row r="50" spans="1:17" x14ac:dyDescent="0.25">
      <c r="A50" s="4">
        <v>46054</v>
      </c>
      <c r="B50" s="5" t="str">
        <f>IF('Catalogo de Variaveis'!J55="","",SUM('Catalogo de Variaveis'!J52:J55))</f>
        <v/>
      </c>
      <c r="C50" s="15" t="str">
        <f>IFERROR(IF($B50="","",AVERAGE('Catalogo de Variaveis'!J55-'Catalogo de Variaveis'!J54,'Catalogo de Variaveis'!J54-'Catalogo de Variaveis'!J53,'Catalogo de Variaveis'!J53-'Catalogo de Variaveis'!J52,'Catalogo de Variaveis'!J52-'Catalogo de Variaveis'!J51)),0)</f>
        <v/>
      </c>
      <c r="D50" s="13" t="str">
        <f t="shared" si="0"/>
        <v/>
      </c>
      <c r="E50" s="10" t="str">
        <f t="shared" si="14"/>
        <v/>
      </c>
      <c r="F50" s="10" t="str">
        <f t="shared" si="15"/>
        <v/>
      </c>
      <c r="G50" s="10" t="str">
        <f t="shared" si="3"/>
        <v/>
      </c>
      <c r="H50" s="10" t="str">
        <f t="shared" si="16"/>
        <v/>
      </c>
      <c r="I50" s="10" t="str">
        <f t="shared" si="5"/>
        <v/>
      </c>
      <c r="J50" s="14" t="str">
        <f t="shared" si="17"/>
        <v/>
      </c>
      <c r="K50" s="13" t="str">
        <f t="shared" si="7"/>
        <v/>
      </c>
      <c r="L50" s="10" t="str">
        <f t="shared" si="8"/>
        <v/>
      </c>
      <c r="M50" s="10" t="str">
        <f t="shared" si="9"/>
        <v/>
      </c>
      <c r="N50" s="10" t="str">
        <f t="shared" si="10"/>
        <v/>
      </c>
      <c r="O50" s="10" t="str">
        <f t="shared" si="11"/>
        <v/>
      </c>
      <c r="P50" s="10" t="str">
        <f t="shared" si="12"/>
        <v/>
      </c>
      <c r="Q50" s="14" t="str">
        <f t="shared" si="13"/>
        <v/>
      </c>
    </row>
    <row r="51" spans="1:17" x14ac:dyDescent="0.25">
      <c r="A51" s="4">
        <v>46082</v>
      </c>
      <c r="B51" s="5" t="str">
        <f>IF('Catalogo de Variaveis'!J56="","",SUM('Catalogo de Variaveis'!J53:J56))</f>
        <v/>
      </c>
      <c r="C51" s="15" t="str">
        <f>IFERROR(IF($B51="","",AVERAGE('Catalogo de Variaveis'!J56-'Catalogo de Variaveis'!J55,'Catalogo de Variaveis'!J55-'Catalogo de Variaveis'!J54,'Catalogo de Variaveis'!J54-'Catalogo de Variaveis'!J53,'Catalogo de Variaveis'!J53-'Catalogo de Variaveis'!J52)),0)</f>
        <v/>
      </c>
      <c r="D51" s="13" t="str">
        <f t="shared" si="0"/>
        <v/>
      </c>
      <c r="E51" s="10" t="str">
        <f t="shared" si="14"/>
        <v/>
      </c>
      <c r="F51" s="10" t="str">
        <f t="shared" si="15"/>
        <v/>
      </c>
      <c r="G51" s="10" t="str">
        <f t="shared" si="3"/>
        <v/>
      </c>
      <c r="H51" s="10" t="str">
        <f t="shared" si="16"/>
        <v/>
      </c>
      <c r="I51" s="10" t="str">
        <f t="shared" si="5"/>
        <v/>
      </c>
      <c r="J51" s="14" t="str">
        <f t="shared" si="17"/>
        <v/>
      </c>
      <c r="K51" s="13" t="str">
        <f t="shared" si="7"/>
        <v/>
      </c>
      <c r="L51" s="10" t="str">
        <f t="shared" si="8"/>
        <v/>
      </c>
      <c r="M51" s="10" t="str">
        <f t="shared" si="9"/>
        <v/>
      </c>
      <c r="N51" s="10" t="str">
        <f t="shared" si="10"/>
        <v/>
      </c>
      <c r="O51" s="10" t="str">
        <f t="shared" si="11"/>
        <v/>
      </c>
      <c r="P51" s="10" t="str">
        <f t="shared" si="12"/>
        <v/>
      </c>
      <c r="Q51" s="14" t="str">
        <f t="shared" si="13"/>
        <v/>
      </c>
    </row>
    <row r="52" spans="1:17" x14ac:dyDescent="0.25">
      <c r="A52" s="4">
        <v>46113</v>
      </c>
      <c r="B52" s="5" t="str">
        <f>IF('Catalogo de Variaveis'!J57="","",SUM('Catalogo de Variaveis'!J54:J57))</f>
        <v/>
      </c>
      <c r="C52" s="15" t="str">
        <f>IFERROR(IF($B52="","",AVERAGE('Catalogo de Variaveis'!J57-'Catalogo de Variaveis'!J56,'Catalogo de Variaveis'!J56-'Catalogo de Variaveis'!J55,'Catalogo de Variaveis'!J55-'Catalogo de Variaveis'!J54,'Catalogo de Variaveis'!J54-'Catalogo de Variaveis'!J53)),0)</f>
        <v/>
      </c>
      <c r="D52" s="13" t="str">
        <f t="shared" si="0"/>
        <v/>
      </c>
      <c r="E52" s="10" t="str">
        <f t="shared" si="14"/>
        <v/>
      </c>
      <c r="F52" s="10" t="str">
        <f t="shared" si="15"/>
        <v/>
      </c>
      <c r="G52" s="10" t="str">
        <f t="shared" si="3"/>
        <v/>
      </c>
      <c r="H52" s="10" t="str">
        <f t="shared" si="16"/>
        <v/>
      </c>
      <c r="I52" s="10" t="str">
        <f t="shared" si="5"/>
        <v/>
      </c>
      <c r="J52" s="14" t="str">
        <f t="shared" si="17"/>
        <v/>
      </c>
      <c r="K52" s="13" t="str">
        <f t="shared" si="7"/>
        <v/>
      </c>
      <c r="L52" s="10" t="str">
        <f t="shared" si="8"/>
        <v/>
      </c>
      <c r="M52" s="10" t="str">
        <f t="shared" si="9"/>
        <v/>
      </c>
      <c r="N52" s="10" t="str">
        <f t="shared" si="10"/>
        <v/>
      </c>
      <c r="O52" s="10" t="str">
        <f t="shared" si="11"/>
        <v/>
      </c>
      <c r="P52" s="10" t="str">
        <f t="shared" si="12"/>
        <v/>
      </c>
      <c r="Q52" s="14" t="str">
        <f t="shared" si="13"/>
        <v/>
      </c>
    </row>
    <row r="53" spans="1:17" x14ac:dyDescent="0.25">
      <c r="A53" s="4">
        <v>46143</v>
      </c>
      <c r="B53" s="5" t="str">
        <f>IF('Catalogo de Variaveis'!J58="","",SUM('Catalogo de Variaveis'!J55:J58))</f>
        <v/>
      </c>
      <c r="C53" s="15" t="str">
        <f>IFERROR(IF($B53="","",AVERAGE('Catalogo de Variaveis'!J58-'Catalogo de Variaveis'!J57,'Catalogo de Variaveis'!J57-'Catalogo de Variaveis'!J56,'Catalogo de Variaveis'!J56-'Catalogo de Variaveis'!J55,'Catalogo de Variaveis'!J55-'Catalogo de Variaveis'!J54)),0)</f>
        <v/>
      </c>
      <c r="D53" s="13" t="str">
        <f t="shared" si="0"/>
        <v/>
      </c>
      <c r="E53" s="10" t="str">
        <f t="shared" si="14"/>
        <v/>
      </c>
      <c r="F53" s="10" t="str">
        <f t="shared" si="15"/>
        <v/>
      </c>
      <c r="G53" s="10" t="str">
        <f t="shared" si="3"/>
        <v/>
      </c>
      <c r="H53" s="10" t="str">
        <f t="shared" si="16"/>
        <v/>
      </c>
      <c r="I53" s="10" t="str">
        <f t="shared" si="5"/>
        <v/>
      </c>
      <c r="J53" s="14" t="str">
        <f t="shared" si="17"/>
        <v/>
      </c>
      <c r="K53" s="13" t="str">
        <f t="shared" si="7"/>
        <v/>
      </c>
      <c r="L53" s="10" t="str">
        <f t="shared" si="8"/>
        <v/>
      </c>
      <c r="M53" s="10" t="str">
        <f t="shared" si="9"/>
        <v/>
      </c>
      <c r="N53" s="10" t="str">
        <f t="shared" si="10"/>
        <v/>
      </c>
      <c r="O53" s="10" t="str">
        <f t="shared" si="11"/>
        <v/>
      </c>
      <c r="P53" s="10" t="str">
        <f t="shared" si="12"/>
        <v/>
      </c>
      <c r="Q53" s="14" t="str">
        <f t="shared" si="13"/>
        <v/>
      </c>
    </row>
    <row r="54" spans="1:17" x14ac:dyDescent="0.25">
      <c r="A54" s="4">
        <v>46174</v>
      </c>
      <c r="B54" s="5" t="str">
        <f>IF('Catalogo de Variaveis'!J59="","",SUM('Catalogo de Variaveis'!J56:J59))</f>
        <v/>
      </c>
      <c r="C54" s="15" t="str">
        <f>IFERROR(IF($B54="","",AVERAGE('Catalogo de Variaveis'!J59-'Catalogo de Variaveis'!J58,'Catalogo de Variaveis'!J58-'Catalogo de Variaveis'!J57,'Catalogo de Variaveis'!J57-'Catalogo de Variaveis'!J56,'Catalogo de Variaveis'!J56-'Catalogo de Variaveis'!J55)),0)</f>
        <v/>
      </c>
      <c r="D54" s="13" t="str">
        <f t="shared" si="0"/>
        <v/>
      </c>
      <c r="E54" s="10" t="str">
        <f t="shared" si="14"/>
        <v/>
      </c>
      <c r="F54" s="10" t="str">
        <f t="shared" si="15"/>
        <v/>
      </c>
      <c r="G54" s="10" t="str">
        <f t="shared" si="3"/>
        <v/>
      </c>
      <c r="H54" s="10" t="str">
        <f t="shared" si="16"/>
        <v/>
      </c>
      <c r="I54" s="10" t="str">
        <f t="shared" si="5"/>
        <v/>
      </c>
      <c r="J54" s="14" t="str">
        <f t="shared" si="17"/>
        <v/>
      </c>
      <c r="K54" s="13" t="str">
        <f t="shared" si="7"/>
        <v/>
      </c>
      <c r="L54" s="10" t="str">
        <f t="shared" si="8"/>
        <v/>
      </c>
      <c r="M54" s="10" t="str">
        <f t="shared" si="9"/>
        <v/>
      </c>
      <c r="N54" s="10" t="str">
        <f t="shared" si="10"/>
        <v/>
      </c>
      <c r="O54" s="10" t="str">
        <f t="shared" si="11"/>
        <v/>
      </c>
      <c r="P54" s="10" t="str">
        <f t="shared" si="12"/>
        <v/>
      </c>
      <c r="Q54" s="14" t="str">
        <f t="shared" si="13"/>
        <v/>
      </c>
    </row>
    <row r="55" spans="1:17" x14ac:dyDescent="0.25">
      <c r="A55" s="4">
        <v>46204</v>
      </c>
      <c r="B55" s="5" t="str">
        <f>IF('Catalogo de Variaveis'!J60="","",SUM('Catalogo de Variaveis'!J57:J60))</f>
        <v/>
      </c>
      <c r="C55" s="15" t="str">
        <f>IFERROR(IF($B55="","",AVERAGE('Catalogo de Variaveis'!J60-'Catalogo de Variaveis'!J59,'Catalogo de Variaveis'!J59-'Catalogo de Variaveis'!J58,'Catalogo de Variaveis'!J58-'Catalogo de Variaveis'!J57,'Catalogo de Variaveis'!J57-'Catalogo de Variaveis'!J56)),0)</f>
        <v/>
      </c>
      <c r="D55" s="13" t="str">
        <f t="shared" si="0"/>
        <v/>
      </c>
      <c r="E55" s="10" t="str">
        <f t="shared" si="14"/>
        <v/>
      </c>
      <c r="F55" s="10" t="str">
        <f t="shared" si="15"/>
        <v/>
      </c>
      <c r="G55" s="10" t="str">
        <f t="shared" si="3"/>
        <v/>
      </c>
      <c r="H55" s="10" t="str">
        <f t="shared" si="16"/>
        <v/>
      </c>
      <c r="I55" s="10" t="str">
        <f t="shared" si="5"/>
        <v/>
      </c>
      <c r="J55" s="14" t="str">
        <f t="shared" si="17"/>
        <v/>
      </c>
      <c r="K55" s="13" t="str">
        <f t="shared" si="7"/>
        <v/>
      </c>
      <c r="L55" s="10" t="str">
        <f t="shared" si="8"/>
        <v/>
      </c>
      <c r="M55" s="10" t="str">
        <f t="shared" si="9"/>
        <v/>
      </c>
      <c r="N55" s="10" t="str">
        <f t="shared" si="10"/>
        <v/>
      </c>
      <c r="O55" s="10" t="str">
        <f t="shared" si="11"/>
        <v/>
      </c>
      <c r="P55" s="10" t="str">
        <f t="shared" si="12"/>
        <v/>
      </c>
      <c r="Q55" s="14" t="str">
        <f t="shared" si="13"/>
        <v/>
      </c>
    </row>
    <row r="56" spans="1:17" x14ac:dyDescent="0.25">
      <c r="A56" s="4">
        <v>46235</v>
      </c>
      <c r="B56" s="5" t="str">
        <f>IF('Catalogo de Variaveis'!J61="","",SUM('Catalogo de Variaveis'!J58:J61))</f>
        <v/>
      </c>
      <c r="C56" s="15" t="str">
        <f>IFERROR(IF($B56="","",AVERAGE('Catalogo de Variaveis'!J61-'Catalogo de Variaveis'!J60,'Catalogo de Variaveis'!J60-'Catalogo de Variaveis'!J59,'Catalogo de Variaveis'!J59-'Catalogo de Variaveis'!J58,'Catalogo de Variaveis'!J58-'Catalogo de Variaveis'!J57)),0)</f>
        <v/>
      </c>
      <c r="D56" s="13" t="str">
        <f t="shared" si="0"/>
        <v/>
      </c>
      <c r="E56" s="10" t="str">
        <f t="shared" si="14"/>
        <v/>
      </c>
      <c r="F56" s="10" t="str">
        <f t="shared" si="15"/>
        <v/>
      </c>
      <c r="G56" s="10" t="str">
        <f t="shared" si="3"/>
        <v/>
      </c>
      <c r="H56" s="10" t="str">
        <f t="shared" si="16"/>
        <v/>
      </c>
      <c r="I56" s="10" t="str">
        <f t="shared" si="5"/>
        <v/>
      </c>
      <c r="J56" s="14" t="str">
        <f t="shared" si="17"/>
        <v/>
      </c>
      <c r="K56" s="13" t="str">
        <f t="shared" si="7"/>
        <v/>
      </c>
      <c r="L56" s="10" t="str">
        <f t="shared" si="8"/>
        <v/>
      </c>
      <c r="M56" s="10" t="str">
        <f t="shared" si="9"/>
        <v/>
      </c>
      <c r="N56" s="10" t="str">
        <f t="shared" si="10"/>
        <v/>
      </c>
      <c r="O56" s="10" t="str">
        <f t="shared" si="11"/>
        <v/>
      </c>
      <c r="P56" s="10" t="str">
        <f t="shared" si="12"/>
        <v/>
      </c>
      <c r="Q56" s="14" t="str">
        <f t="shared" si="13"/>
        <v/>
      </c>
    </row>
    <row r="57" spans="1:17" x14ac:dyDescent="0.25">
      <c r="A57" s="4">
        <v>46266</v>
      </c>
      <c r="B57" s="5" t="str">
        <f>IF('Catalogo de Variaveis'!J62="","",SUM('Catalogo de Variaveis'!J59:J62))</f>
        <v/>
      </c>
      <c r="C57" s="15" t="str">
        <f>IFERROR(IF($B57="","",AVERAGE('Catalogo de Variaveis'!J62-'Catalogo de Variaveis'!J61,'Catalogo de Variaveis'!J61-'Catalogo de Variaveis'!J60,'Catalogo de Variaveis'!J60-'Catalogo de Variaveis'!J59,'Catalogo de Variaveis'!J59-'Catalogo de Variaveis'!J58)),0)</f>
        <v/>
      </c>
      <c r="D57" s="13" t="str">
        <f t="shared" si="0"/>
        <v/>
      </c>
      <c r="E57" s="10" t="str">
        <f t="shared" si="14"/>
        <v/>
      </c>
      <c r="F57" s="10" t="str">
        <f t="shared" si="15"/>
        <v/>
      </c>
      <c r="G57" s="10" t="str">
        <f t="shared" si="3"/>
        <v/>
      </c>
      <c r="H57" s="10" t="str">
        <f t="shared" si="16"/>
        <v/>
      </c>
      <c r="I57" s="10" t="str">
        <f t="shared" si="5"/>
        <v/>
      </c>
      <c r="J57" s="14" t="str">
        <f t="shared" si="17"/>
        <v/>
      </c>
      <c r="K57" s="13" t="str">
        <f t="shared" si="7"/>
        <v/>
      </c>
      <c r="L57" s="10" t="str">
        <f t="shared" si="8"/>
        <v/>
      </c>
      <c r="M57" s="10" t="str">
        <f t="shared" si="9"/>
        <v/>
      </c>
      <c r="N57" s="10" t="str">
        <f t="shared" si="10"/>
        <v/>
      </c>
      <c r="O57" s="10" t="str">
        <f t="shared" si="11"/>
        <v/>
      </c>
      <c r="P57" s="10" t="str">
        <f t="shared" si="12"/>
        <v/>
      </c>
      <c r="Q57" s="14" t="str">
        <f t="shared" si="13"/>
        <v/>
      </c>
    </row>
    <row r="58" spans="1:17" x14ac:dyDescent="0.25">
      <c r="A58" s="4">
        <v>46296</v>
      </c>
      <c r="B58" s="5" t="str">
        <f>IF('Catalogo de Variaveis'!J63="","",SUM('Catalogo de Variaveis'!J60:J63))</f>
        <v/>
      </c>
      <c r="C58" s="15" t="str">
        <f>IFERROR(IF($B58="","",AVERAGE('Catalogo de Variaveis'!J63-'Catalogo de Variaveis'!J62,'Catalogo de Variaveis'!J62-'Catalogo de Variaveis'!J61,'Catalogo de Variaveis'!J61-'Catalogo de Variaveis'!J60,'Catalogo de Variaveis'!J60-'Catalogo de Variaveis'!J59)),0)</f>
        <v/>
      </c>
      <c r="D58" s="13" t="str">
        <f t="shared" si="0"/>
        <v/>
      </c>
      <c r="E58" s="10" t="str">
        <f t="shared" si="14"/>
        <v/>
      </c>
      <c r="F58" s="10" t="str">
        <f t="shared" si="15"/>
        <v/>
      </c>
      <c r="G58" s="10" t="str">
        <f t="shared" si="3"/>
        <v/>
      </c>
      <c r="H58" s="10" t="str">
        <f t="shared" si="16"/>
        <v/>
      </c>
      <c r="I58" s="10" t="str">
        <f t="shared" si="5"/>
        <v/>
      </c>
      <c r="J58" s="14" t="str">
        <f t="shared" si="17"/>
        <v/>
      </c>
      <c r="K58" s="13" t="str">
        <f t="shared" si="7"/>
        <v/>
      </c>
      <c r="L58" s="10" t="str">
        <f t="shared" si="8"/>
        <v/>
      </c>
      <c r="M58" s="10" t="str">
        <f t="shared" si="9"/>
        <v/>
      </c>
      <c r="N58" s="10" t="str">
        <f t="shared" si="10"/>
        <v/>
      </c>
      <c r="O58" s="10" t="str">
        <f t="shared" si="11"/>
        <v/>
      </c>
      <c r="P58" s="10" t="str">
        <f t="shared" si="12"/>
        <v/>
      </c>
      <c r="Q58" s="14" t="str">
        <f t="shared" si="13"/>
        <v/>
      </c>
    </row>
    <row r="59" spans="1:17" x14ac:dyDescent="0.25">
      <c r="A59" s="4">
        <v>46327</v>
      </c>
      <c r="B59" s="5" t="str">
        <f>IF('Catalogo de Variaveis'!J64="","",SUM('Catalogo de Variaveis'!J61:J64))</f>
        <v/>
      </c>
      <c r="C59" s="15" t="str">
        <f>IFERROR(IF($B59="","",AVERAGE('Catalogo de Variaveis'!J64-'Catalogo de Variaveis'!J63,'Catalogo de Variaveis'!J63-'Catalogo de Variaveis'!J62,'Catalogo de Variaveis'!J62-'Catalogo de Variaveis'!J61,'Catalogo de Variaveis'!J61-'Catalogo de Variaveis'!J60)),0)</f>
        <v/>
      </c>
      <c r="D59" s="13" t="str">
        <f t="shared" si="0"/>
        <v/>
      </c>
      <c r="E59" s="10" t="str">
        <f t="shared" si="14"/>
        <v/>
      </c>
      <c r="F59" s="10" t="str">
        <f t="shared" si="15"/>
        <v/>
      </c>
      <c r="G59" s="10" t="str">
        <f t="shared" si="3"/>
        <v/>
      </c>
      <c r="H59" s="10" t="str">
        <f t="shared" si="16"/>
        <v/>
      </c>
      <c r="I59" s="10" t="str">
        <f t="shared" si="5"/>
        <v/>
      </c>
      <c r="J59" s="14" t="str">
        <f t="shared" si="17"/>
        <v/>
      </c>
      <c r="K59" s="13" t="str">
        <f t="shared" si="7"/>
        <v/>
      </c>
      <c r="L59" s="10" t="str">
        <f t="shared" si="8"/>
        <v/>
      </c>
      <c r="M59" s="10" t="str">
        <f t="shared" si="9"/>
        <v/>
      </c>
      <c r="N59" s="10" t="str">
        <f t="shared" si="10"/>
        <v/>
      </c>
      <c r="O59" s="10" t="str">
        <f t="shared" si="11"/>
        <v/>
      </c>
      <c r="P59" s="10" t="str">
        <f t="shared" si="12"/>
        <v/>
      </c>
      <c r="Q59" s="14" t="str">
        <f t="shared" si="13"/>
        <v/>
      </c>
    </row>
    <row r="60" spans="1:17" x14ac:dyDescent="0.25">
      <c r="A60" s="4">
        <v>46357</v>
      </c>
      <c r="B60" s="5" t="str">
        <f>IF('Catalogo de Variaveis'!J65="","",SUM('Catalogo de Variaveis'!J62:J65))</f>
        <v/>
      </c>
      <c r="C60" s="15" t="str">
        <f>IFERROR(IF($B60="","",AVERAGE('Catalogo de Variaveis'!J65-'Catalogo de Variaveis'!J64,'Catalogo de Variaveis'!J64-'Catalogo de Variaveis'!J63,'Catalogo de Variaveis'!J63-'Catalogo de Variaveis'!J62,'Catalogo de Variaveis'!J62-'Catalogo de Variaveis'!J61)),0)</f>
        <v/>
      </c>
      <c r="D60" s="13" t="str">
        <f>IF($B60="","",IF(OR($J$1="",$J$2=""),$B$1-3*$B$2,$J$1-3*$J$2))</f>
        <v/>
      </c>
      <c r="E60" s="10" t="str">
        <f t="shared" si="14"/>
        <v/>
      </c>
      <c r="F60" s="10" t="str">
        <f t="shared" si="15"/>
        <v/>
      </c>
      <c r="G60" s="10" t="str">
        <f>IF($B60="","",IF(OR($J$1="",$J$2=""),$B$1,$J$1))</f>
        <v/>
      </c>
      <c r="H60" s="10" t="str">
        <f t="shared" si="16"/>
        <v/>
      </c>
      <c r="I60" s="10" t="str">
        <f>IF($B60="","",IF(OR($J$1="",$J$2=""),$B$1+2*$B$2,$J$1+2*$J$2))</f>
        <v/>
      </c>
      <c r="J60" s="14" t="str">
        <f t="shared" si="17"/>
        <v/>
      </c>
      <c r="K60" s="13" t="str">
        <f t="shared" si="7"/>
        <v/>
      </c>
      <c r="L60" s="10" t="str">
        <f t="shared" si="8"/>
        <v/>
      </c>
      <c r="M60" s="10" t="str">
        <f t="shared" si="9"/>
        <v/>
      </c>
      <c r="N60" s="10" t="str">
        <f t="shared" si="10"/>
        <v/>
      </c>
      <c r="O60" s="10" t="str">
        <f t="shared" si="11"/>
        <v/>
      </c>
      <c r="P60" s="10" t="str">
        <f t="shared" si="12"/>
        <v/>
      </c>
      <c r="Q60" s="14" t="str">
        <f t="shared" si="13"/>
        <v/>
      </c>
    </row>
    <row r="61" spans="1:17" x14ac:dyDescent="0.25">
      <c r="A61" s="4">
        <v>46388</v>
      </c>
      <c r="B61" s="5" t="str">
        <f>IF('Catalogo de Variaveis'!J66="","",SUM('Catalogo de Variaveis'!J63:J66))</f>
        <v/>
      </c>
      <c r="C61" s="15" t="str">
        <f>IFERROR(IF($B61="","",AVERAGE('Catalogo de Variaveis'!J66-'Catalogo de Variaveis'!J65,'Catalogo de Variaveis'!J65-'Catalogo de Variaveis'!J64,'Catalogo de Variaveis'!J64-'Catalogo de Variaveis'!J63,'Catalogo de Variaveis'!J63-'Catalogo de Variaveis'!J62)),0)</f>
        <v/>
      </c>
      <c r="D61" s="13" t="str">
        <f t="shared" ref="D61:D96" si="18">IF($B61="","",IF(OR($J$1="",$J$2=""),$B$1-3*$B$2,$J$1-3*$J$2))</f>
        <v/>
      </c>
      <c r="E61" s="10" t="str">
        <f t="shared" si="14"/>
        <v/>
      </c>
      <c r="F61" s="10" t="str">
        <f t="shared" si="15"/>
        <v/>
      </c>
      <c r="G61" s="10" t="str">
        <f t="shared" ref="G61:G96" si="19">IF($B61="","",IF(OR($J$1="",$J$2=""),$B$1,$J$1))</f>
        <v/>
      </c>
      <c r="H61" s="10" t="str">
        <f t="shared" si="16"/>
        <v/>
      </c>
      <c r="I61" s="10" t="str">
        <f t="shared" ref="I61:I96" si="20">IF($B61="","",IF(OR($J$1="",$J$2=""),$B$1+2*$B$2,$J$1+2*$J$2))</f>
        <v/>
      </c>
      <c r="J61" s="14" t="str">
        <f t="shared" si="17"/>
        <v/>
      </c>
      <c r="K61" s="13" t="str">
        <f t="shared" si="7"/>
        <v/>
      </c>
      <c r="L61" s="10" t="str">
        <f t="shared" si="8"/>
        <v/>
      </c>
      <c r="M61" s="10" t="str">
        <f t="shared" si="9"/>
        <v/>
      </c>
      <c r="N61" s="10" t="str">
        <f t="shared" si="10"/>
        <v/>
      </c>
      <c r="O61" s="10" t="str">
        <f t="shared" si="11"/>
        <v/>
      </c>
      <c r="P61" s="10" t="str">
        <f t="shared" si="12"/>
        <v/>
      </c>
      <c r="Q61" s="14" t="str">
        <f t="shared" si="13"/>
        <v/>
      </c>
    </row>
    <row r="62" spans="1:17" x14ac:dyDescent="0.25">
      <c r="A62" s="4">
        <v>46419</v>
      </c>
      <c r="B62" s="5" t="str">
        <f>IF('Catalogo de Variaveis'!J67="","",SUM('Catalogo de Variaveis'!J64:J67))</f>
        <v/>
      </c>
      <c r="C62" s="15" t="str">
        <f>IFERROR(IF($B62="","",AVERAGE('Catalogo de Variaveis'!J67-'Catalogo de Variaveis'!J66,'Catalogo de Variaveis'!J66-'Catalogo de Variaveis'!J65,'Catalogo de Variaveis'!J65-'Catalogo de Variaveis'!J64,'Catalogo de Variaveis'!J64-'Catalogo de Variaveis'!J63)),0)</f>
        <v/>
      </c>
      <c r="D62" s="13" t="str">
        <f t="shared" si="18"/>
        <v/>
      </c>
      <c r="E62" s="10" t="str">
        <f t="shared" si="14"/>
        <v/>
      </c>
      <c r="F62" s="10" t="str">
        <f t="shared" si="15"/>
        <v/>
      </c>
      <c r="G62" s="10" t="str">
        <f t="shared" si="19"/>
        <v/>
      </c>
      <c r="H62" s="10" t="str">
        <f t="shared" si="16"/>
        <v/>
      </c>
      <c r="I62" s="10" t="str">
        <f t="shared" si="20"/>
        <v/>
      </c>
      <c r="J62" s="14" t="str">
        <f t="shared" si="17"/>
        <v/>
      </c>
      <c r="K62" s="13" t="str">
        <f t="shared" si="7"/>
        <v/>
      </c>
      <c r="L62" s="10" t="str">
        <f t="shared" si="8"/>
        <v/>
      </c>
      <c r="M62" s="10" t="str">
        <f t="shared" si="9"/>
        <v/>
      </c>
      <c r="N62" s="10" t="str">
        <f t="shared" si="10"/>
        <v/>
      </c>
      <c r="O62" s="10" t="str">
        <f t="shared" si="11"/>
        <v/>
      </c>
      <c r="P62" s="10" t="str">
        <f t="shared" si="12"/>
        <v/>
      </c>
      <c r="Q62" s="14" t="str">
        <f t="shared" si="13"/>
        <v/>
      </c>
    </row>
    <row r="63" spans="1:17" x14ac:dyDescent="0.25">
      <c r="A63" s="4">
        <v>46447</v>
      </c>
      <c r="B63" s="5" t="str">
        <f>IF('Catalogo de Variaveis'!J68="","",SUM('Catalogo de Variaveis'!J65:J68))</f>
        <v/>
      </c>
      <c r="C63" s="15" t="str">
        <f>IFERROR(IF($B63="","",AVERAGE('Catalogo de Variaveis'!J68-'Catalogo de Variaveis'!J67,'Catalogo de Variaveis'!J67-'Catalogo de Variaveis'!J66,'Catalogo de Variaveis'!J66-'Catalogo de Variaveis'!J65,'Catalogo de Variaveis'!J65-'Catalogo de Variaveis'!J64)),0)</f>
        <v/>
      </c>
      <c r="D63" s="13" t="str">
        <f t="shared" si="18"/>
        <v/>
      </c>
      <c r="E63" s="10" t="str">
        <f t="shared" si="14"/>
        <v/>
      </c>
      <c r="F63" s="10" t="str">
        <f t="shared" si="15"/>
        <v/>
      </c>
      <c r="G63" s="10" t="str">
        <f t="shared" si="19"/>
        <v/>
      </c>
      <c r="H63" s="10" t="str">
        <f t="shared" si="16"/>
        <v/>
      </c>
      <c r="I63" s="10" t="str">
        <f t="shared" si="20"/>
        <v/>
      </c>
      <c r="J63" s="14" t="str">
        <f t="shared" si="17"/>
        <v/>
      </c>
      <c r="K63" s="13" t="str">
        <f t="shared" si="7"/>
        <v/>
      </c>
      <c r="L63" s="10" t="str">
        <f t="shared" si="8"/>
        <v/>
      </c>
      <c r="M63" s="10" t="str">
        <f t="shared" si="9"/>
        <v/>
      </c>
      <c r="N63" s="10" t="str">
        <f t="shared" si="10"/>
        <v/>
      </c>
      <c r="O63" s="10" t="str">
        <f t="shared" si="11"/>
        <v/>
      </c>
      <c r="P63" s="10" t="str">
        <f t="shared" si="12"/>
        <v/>
      </c>
      <c r="Q63" s="14" t="str">
        <f t="shared" si="13"/>
        <v/>
      </c>
    </row>
    <row r="64" spans="1:17" x14ac:dyDescent="0.25">
      <c r="A64" s="4">
        <v>46478</v>
      </c>
      <c r="B64" s="5" t="str">
        <f>IF('Catalogo de Variaveis'!J69="","",SUM('Catalogo de Variaveis'!J66:J69))</f>
        <v/>
      </c>
      <c r="C64" s="15" t="str">
        <f>IFERROR(IF($B64="","",AVERAGE('Catalogo de Variaveis'!J69-'Catalogo de Variaveis'!J68,'Catalogo de Variaveis'!J68-'Catalogo de Variaveis'!J67,'Catalogo de Variaveis'!J67-'Catalogo de Variaveis'!J66,'Catalogo de Variaveis'!J66-'Catalogo de Variaveis'!J65)),0)</f>
        <v/>
      </c>
      <c r="D64" s="13" t="str">
        <f t="shared" si="18"/>
        <v/>
      </c>
      <c r="E64" s="10" t="str">
        <f t="shared" si="14"/>
        <v/>
      </c>
      <c r="F64" s="10" t="str">
        <f t="shared" si="15"/>
        <v/>
      </c>
      <c r="G64" s="10" t="str">
        <f t="shared" si="19"/>
        <v/>
      </c>
      <c r="H64" s="10" t="str">
        <f t="shared" si="16"/>
        <v/>
      </c>
      <c r="I64" s="10" t="str">
        <f t="shared" si="20"/>
        <v/>
      </c>
      <c r="J64" s="14" t="str">
        <f t="shared" si="17"/>
        <v/>
      </c>
      <c r="K64" s="13" t="str">
        <f t="shared" si="7"/>
        <v/>
      </c>
      <c r="L64" s="10" t="str">
        <f t="shared" si="8"/>
        <v/>
      </c>
      <c r="M64" s="10" t="str">
        <f t="shared" si="9"/>
        <v/>
      </c>
      <c r="N64" s="10" t="str">
        <f t="shared" si="10"/>
        <v/>
      </c>
      <c r="O64" s="10" t="str">
        <f t="shared" si="11"/>
        <v/>
      </c>
      <c r="P64" s="10" t="str">
        <f t="shared" si="12"/>
        <v/>
      </c>
      <c r="Q64" s="14" t="str">
        <f t="shared" si="13"/>
        <v/>
      </c>
    </row>
    <row r="65" spans="1:17" x14ac:dyDescent="0.25">
      <c r="A65" s="4">
        <v>46508</v>
      </c>
      <c r="B65" s="5" t="str">
        <f>IF('Catalogo de Variaveis'!J70="","",SUM('Catalogo de Variaveis'!J67:J70))</f>
        <v/>
      </c>
      <c r="C65" s="15" t="str">
        <f>IFERROR(IF($B65="","",AVERAGE('Catalogo de Variaveis'!J70-'Catalogo de Variaveis'!J69,'Catalogo de Variaveis'!J69-'Catalogo de Variaveis'!J68,'Catalogo de Variaveis'!J68-'Catalogo de Variaveis'!J67,'Catalogo de Variaveis'!J67-'Catalogo de Variaveis'!J66)),0)</f>
        <v/>
      </c>
      <c r="D65" s="13" t="str">
        <f t="shared" si="18"/>
        <v/>
      </c>
      <c r="E65" s="10" t="str">
        <f t="shared" si="14"/>
        <v/>
      </c>
      <c r="F65" s="10" t="str">
        <f t="shared" si="15"/>
        <v/>
      </c>
      <c r="G65" s="10" t="str">
        <f t="shared" si="19"/>
        <v/>
      </c>
      <c r="H65" s="10" t="str">
        <f t="shared" si="16"/>
        <v/>
      </c>
      <c r="I65" s="10" t="str">
        <f t="shared" si="20"/>
        <v/>
      </c>
      <c r="J65" s="14" t="str">
        <f t="shared" si="17"/>
        <v/>
      </c>
      <c r="K65" s="13" t="str">
        <f t="shared" si="7"/>
        <v/>
      </c>
      <c r="L65" s="10" t="str">
        <f t="shared" si="8"/>
        <v/>
      </c>
      <c r="M65" s="10" t="str">
        <f t="shared" si="9"/>
        <v/>
      </c>
      <c r="N65" s="10" t="str">
        <f t="shared" si="10"/>
        <v/>
      </c>
      <c r="O65" s="10" t="str">
        <f t="shared" si="11"/>
        <v/>
      </c>
      <c r="P65" s="10" t="str">
        <f t="shared" si="12"/>
        <v/>
      </c>
      <c r="Q65" s="14" t="str">
        <f t="shared" si="13"/>
        <v/>
      </c>
    </row>
    <row r="66" spans="1:17" x14ac:dyDescent="0.25">
      <c r="A66" s="4">
        <v>46539</v>
      </c>
      <c r="B66" s="5" t="str">
        <f>IF('Catalogo de Variaveis'!J71="","",SUM('Catalogo de Variaveis'!J68:J71))</f>
        <v/>
      </c>
      <c r="C66" s="15" t="str">
        <f>IFERROR(IF($B66="","",AVERAGE('Catalogo de Variaveis'!J71-'Catalogo de Variaveis'!J70,'Catalogo de Variaveis'!J70-'Catalogo de Variaveis'!J69,'Catalogo de Variaveis'!J69-'Catalogo de Variaveis'!J68,'Catalogo de Variaveis'!J68-'Catalogo de Variaveis'!J67)),0)</f>
        <v/>
      </c>
      <c r="D66" s="13" t="str">
        <f t="shared" si="18"/>
        <v/>
      </c>
      <c r="E66" s="10" t="str">
        <f t="shared" si="14"/>
        <v/>
      </c>
      <c r="F66" s="10" t="str">
        <f t="shared" si="15"/>
        <v/>
      </c>
      <c r="G66" s="10" t="str">
        <f t="shared" si="19"/>
        <v/>
      </c>
      <c r="H66" s="10" t="str">
        <f t="shared" si="16"/>
        <v/>
      </c>
      <c r="I66" s="10" t="str">
        <f t="shared" si="20"/>
        <v/>
      </c>
      <c r="J66" s="14" t="str">
        <f t="shared" si="17"/>
        <v/>
      </c>
      <c r="K66" s="13" t="str">
        <f t="shared" si="7"/>
        <v/>
      </c>
      <c r="L66" s="10" t="str">
        <f t="shared" si="8"/>
        <v/>
      </c>
      <c r="M66" s="10" t="str">
        <f t="shared" si="9"/>
        <v/>
      </c>
      <c r="N66" s="10" t="str">
        <f t="shared" si="10"/>
        <v/>
      </c>
      <c r="O66" s="10" t="str">
        <f t="shared" si="11"/>
        <v/>
      </c>
      <c r="P66" s="10" t="str">
        <f t="shared" si="12"/>
        <v/>
      </c>
      <c r="Q66" s="14" t="str">
        <f t="shared" si="13"/>
        <v/>
      </c>
    </row>
    <row r="67" spans="1:17" x14ac:dyDescent="0.25">
      <c r="A67" s="4">
        <v>46569</v>
      </c>
      <c r="B67" s="5" t="str">
        <f>IF('Catalogo de Variaveis'!J72="","",SUM('Catalogo de Variaveis'!J69:J72))</f>
        <v/>
      </c>
      <c r="C67" s="15" t="str">
        <f>IFERROR(IF($B67="","",AVERAGE('Catalogo de Variaveis'!J72-'Catalogo de Variaveis'!J71,'Catalogo de Variaveis'!J71-'Catalogo de Variaveis'!J70,'Catalogo de Variaveis'!J70-'Catalogo de Variaveis'!J69,'Catalogo de Variaveis'!J69-'Catalogo de Variaveis'!J68)),0)</f>
        <v/>
      </c>
      <c r="D67" s="13" t="str">
        <f t="shared" si="18"/>
        <v/>
      </c>
      <c r="E67" s="10" t="str">
        <f t="shared" si="14"/>
        <v/>
      </c>
      <c r="F67" s="10" t="str">
        <f t="shared" si="15"/>
        <v/>
      </c>
      <c r="G67" s="10" t="str">
        <f t="shared" si="19"/>
        <v/>
      </c>
      <c r="H67" s="10" t="str">
        <f t="shared" si="16"/>
        <v/>
      </c>
      <c r="I67" s="10" t="str">
        <f t="shared" si="20"/>
        <v/>
      </c>
      <c r="J67" s="14" t="str">
        <f t="shared" si="17"/>
        <v/>
      </c>
      <c r="K67" s="13" t="str">
        <f t="shared" si="7"/>
        <v/>
      </c>
      <c r="L67" s="10" t="str">
        <f t="shared" si="8"/>
        <v/>
      </c>
      <c r="M67" s="10" t="str">
        <f t="shared" si="9"/>
        <v/>
      </c>
      <c r="N67" s="10" t="str">
        <f t="shared" si="10"/>
        <v/>
      </c>
      <c r="O67" s="10" t="str">
        <f t="shared" si="11"/>
        <v/>
      </c>
      <c r="P67" s="10" t="str">
        <f t="shared" si="12"/>
        <v/>
      </c>
      <c r="Q67" s="14" t="str">
        <f t="shared" si="13"/>
        <v/>
      </c>
    </row>
    <row r="68" spans="1:17" x14ac:dyDescent="0.25">
      <c r="A68" s="4">
        <v>46600</v>
      </c>
      <c r="B68" s="5" t="str">
        <f>IF('Catalogo de Variaveis'!J73="","",SUM('Catalogo de Variaveis'!J70:J73))</f>
        <v/>
      </c>
      <c r="C68" s="15" t="str">
        <f>IFERROR(IF($B68="","",AVERAGE('Catalogo de Variaveis'!J73-'Catalogo de Variaveis'!J72,'Catalogo de Variaveis'!J72-'Catalogo de Variaveis'!J71,'Catalogo de Variaveis'!J71-'Catalogo de Variaveis'!J70,'Catalogo de Variaveis'!J70-'Catalogo de Variaveis'!J69)),0)</f>
        <v/>
      </c>
      <c r="D68" s="13" t="str">
        <f t="shared" si="18"/>
        <v/>
      </c>
      <c r="E68" s="10" t="str">
        <f t="shared" si="14"/>
        <v/>
      </c>
      <c r="F68" s="10" t="str">
        <f t="shared" si="15"/>
        <v/>
      </c>
      <c r="G68" s="10" t="str">
        <f t="shared" si="19"/>
        <v/>
      </c>
      <c r="H68" s="10" t="str">
        <f t="shared" si="16"/>
        <v/>
      </c>
      <c r="I68" s="10" t="str">
        <f t="shared" si="20"/>
        <v/>
      </c>
      <c r="J68" s="14" t="str">
        <f t="shared" si="17"/>
        <v/>
      </c>
      <c r="K68" s="13" t="str">
        <f t="shared" si="7"/>
        <v/>
      </c>
      <c r="L68" s="10" t="str">
        <f t="shared" si="8"/>
        <v/>
      </c>
      <c r="M68" s="10" t="str">
        <f t="shared" si="9"/>
        <v/>
      </c>
      <c r="N68" s="10" t="str">
        <f t="shared" si="10"/>
        <v/>
      </c>
      <c r="O68" s="10" t="str">
        <f t="shared" si="11"/>
        <v/>
      </c>
      <c r="P68" s="10" t="str">
        <f t="shared" si="12"/>
        <v/>
      </c>
      <c r="Q68" s="14" t="str">
        <f t="shared" si="13"/>
        <v/>
      </c>
    </row>
    <row r="69" spans="1:17" x14ac:dyDescent="0.25">
      <c r="A69" s="4">
        <v>46631</v>
      </c>
      <c r="B69" s="5" t="str">
        <f>IF('Catalogo de Variaveis'!J74="","",SUM('Catalogo de Variaveis'!J71:J74))</f>
        <v/>
      </c>
      <c r="C69" s="15" t="str">
        <f>IFERROR(IF($B69="","",AVERAGE('Catalogo de Variaveis'!J74-'Catalogo de Variaveis'!J73,'Catalogo de Variaveis'!J73-'Catalogo de Variaveis'!J72,'Catalogo de Variaveis'!J72-'Catalogo de Variaveis'!J71,'Catalogo de Variaveis'!J71-'Catalogo de Variaveis'!J70)),0)</f>
        <v/>
      </c>
      <c r="D69" s="13" t="str">
        <f t="shared" si="18"/>
        <v/>
      </c>
      <c r="E69" s="10" t="str">
        <f t="shared" si="14"/>
        <v/>
      </c>
      <c r="F69" s="10" t="str">
        <f t="shared" si="15"/>
        <v/>
      </c>
      <c r="G69" s="10" t="str">
        <f t="shared" si="19"/>
        <v/>
      </c>
      <c r="H69" s="10" t="str">
        <f t="shared" si="16"/>
        <v/>
      </c>
      <c r="I69" s="10" t="str">
        <f t="shared" si="20"/>
        <v/>
      </c>
      <c r="J69" s="14" t="str">
        <f t="shared" si="17"/>
        <v/>
      </c>
      <c r="K69" s="13" t="str">
        <f t="shared" si="7"/>
        <v/>
      </c>
      <c r="L69" s="10" t="str">
        <f t="shared" si="8"/>
        <v/>
      </c>
      <c r="M69" s="10" t="str">
        <f t="shared" si="9"/>
        <v/>
      </c>
      <c r="N69" s="10" t="str">
        <f t="shared" si="10"/>
        <v/>
      </c>
      <c r="O69" s="10" t="str">
        <f t="shared" si="11"/>
        <v/>
      </c>
      <c r="P69" s="10" t="str">
        <f t="shared" si="12"/>
        <v/>
      </c>
      <c r="Q69" s="14" t="str">
        <f t="shared" si="13"/>
        <v/>
      </c>
    </row>
    <row r="70" spans="1:17" x14ac:dyDescent="0.25">
      <c r="A70" s="4">
        <v>46661</v>
      </c>
      <c r="B70" s="5" t="str">
        <f>IF('Catalogo de Variaveis'!J75="","",SUM('Catalogo de Variaveis'!J72:J75))</f>
        <v/>
      </c>
      <c r="C70" s="15" t="str">
        <f>IFERROR(IF($B70="","",AVERAGE('Catalogo de Variaveis'!J75-'Catalogo de Variaveis'!J74,'Catalogo de Variaveis'!J74-'Catalogo de Variaveis'!J73,'Catalogo de Variaveis'!J73-'Catalogo de Variaveis'!J72,'Catalogo de Variaveis'!J72-'Catalogo de Variaveis'!J71)),0)</f>
        <v/>
      </c>
      <c r="D70" s="13" t="str">
        <f t="shared" si="18"/>
        <v/>
      </c>
      <c r="E70" s="10" t="str">
        <f t="shared" si="14"/>
        <v/>
      </c>
      <c r="F70" s="10" t="str">
        <f t="shared" si="15"/>
        <v/>
      </c>
      <c r="G70" s="10" t="str">
        <f t="shared" si="19"/>
        <v/>
      </c>
      <c r="H70" s="10" t="str">
        <f t="shared" si="16"/>
        <v/>
      </c>
      <c r="I70" s="10" t="str">
        <f t="shared" si="20"/>
        <v/>
      </c>
      <c r="J70" s="14" t="str">
        <f t="shared" si="17"/>
        <v/>
      </c>
      <c r="K70" s="13" t="str">
        <f t="shared" si="7"/>
        <v/>
      </c>
      <c r="L70" s="10" t="str">
        <f t="shared" si="8"/>
        <v/>
      </c>
      <c r="M70" s="10" t="str">
        <f t="shared" si="9"/>
        <v/>
      </c>
      <c r="N70" s="10" t="str">
        <f t="shared" si="10"/>
        <v/>
      </c>
      <c r="O70" s="10" t="str">
        <f t="shared" si="11"/>
        <v/>
      </c>
      <c r="P70" s="10" t="str">
        <f t="shared" si="12"/>
        <v/>
      </c>
      <c r="Q70" s="14" t="str">
        <f t="shared" si="13"/>
        <v/>
      </c>
    </row>
    <row r="71" spans="1:17" x14ac:dyDescent="0.25">
      <c r="A71" s="4">
        <v>46692</v>
      </c>
      <c r="B71" s="5" t="str">
        <f>IF('Catalogo de Variaveis'!J76="","",SUM('Catalogo de Variaveis'!J73:J76))</f>
        <v/>
      </c>
      <c r="C71" s="15" t="str">
        <f>IFERROR(IF($B71="","",AVERAGE('Catalogo de Variaveis'!J76-'Catalogo de Variaveis'!J75,'Catalogo de Variaveis'!J75-'Catalogo de Variaveis'!J74,'Catalogo de Variaveis'!J74-'Catalogo de Variaveis'!J73,'Catalogo de Variaveis'!J73-'Catalogo de Variaveis'!J72)),0)</f>
        <v/>
      </c>
      <c r="D71" s="13" t="str">
        <f t="shared" si="18"/>
        <v/>
      </c>
      <c r="E71" s="10" t="str">
        <f t="shared" si="14"/>
        <v/>
      </c>
      <c r="F71" s="10" t="str">
        <f t="shared" si="15"/>
        <v/>
      </c>
      <c r="G71" s="10" t="str">
        <f t="shared" si="19"/>
        <v/>
      </c>
      <c r="H71" s="10" t="str">
        <f t="shared" si="16"/>
        <v/>
      </c>
      <c r="I71" s="10" t="str">
        <f t="shared" si="20"/>
        <v/>
      </c>
      <c r="J71" s="14" t="str">
        <f t="shared" si="17"/>
        <v/>
      </c>
      <c r="K71" s="13" t="str">
        <f t="shared" si="7"/>
        <v/>
      </c>
      <c r="L71" s="10" t="str">
        <f t="shared" si="8"/>
        <v/>
      </c>
      <c r="M71" s="10" t="str">
        <f t="shared" si="9"/>
        <v/>
      </c>
      <c r="N71" s="10" t="str">
        <f t="shared" si="10"/>
        <v/>
      </c>
      <c r="O71" s="10" t="str">
        <f t="shared" si="11"/>
        <v/>
      </c>
      <c r="P71" s="10" t="str">
        <f t="shared" si="12"/>
        <v/>
      </c>
      <c r="Q71" s="14" t="str">
        <f t="shared" si="13"/>
        <v/>
      </c>
    </row>
    <row r="72" spans="1:17" x14ac:dyDescent="0.25">
      <c r="A72" s="4">
        <v>46722</v>
      </c>
      <c r="B72" s="5" t="str">
        <f>IF('Catalogo de Variaveis'!J77="","",SUM('Catalogo de Variaveis'!J74:J77))</f>
        <v/>
      </c>
      <c r="C72" s="15" t="str">
        <f>IFERROR(IF($B72="","",AVERAGE('Catalogo de Variaveis'!J77-'Catalogo de Variaveis'!J76,'Catalogo de Variaveis'!J76-'Catalogo de Variaveis'!J75,'Catalogo de Variaveis'!J75-'Catalogo de Variaveis'!J74,'Catalogo de Variaveis'!J74-'Catalogo de Variaveis'!J73)),0)</f>
        <v/>
      </c>
      <c r="D72" s="13" t="str">
        <f t="shared" si="18"/>
        <v/>
      </c>
      <c r="E72" s="10" t="str">
        <f t="shared" si="14"/>
        <v/>
      </c>
      <c r="F72" s="10" t="str">
        <f t="shared" si="15"/>
        <v/>
      </c>
      <c r="G72" s="10" t="str">
        <f t="shared" si="19"/>
        <v/>
      </c>
      <c r="H72" s="10" t="str">
        <f t="shared" si="16"/>
        <v/>
      </c>
      <c r="I72" s="10" t="str">
        <f t="shared" si="20"/>
        <v/>
      </c>
      <c r="J72" s="14" t="str">
        <f t="shared" si="17"/>
        <v/>
      </c>
      <c r="K72" s="13" t="str">
        <f t="shared" si="7"/>
        <v/>
      </c>
      <c r="L72" s="10" t="str">
        <f t="shared" si="8"/>
        <v/>
      </c>
      <c r="M72" s="10" t="str">
        <f t="shared" si="9"/>
        <v/>
      </c>
      <c r="N72" s="10" t="str">
        <f t="shared" si="10"/>
        <v/>
      </c>
      <c r="O72" s="10" t="str">
        <f t="shared" si="11"/>
        <v/>
      </c>
      <c r="P72" s="10" t="str">
        <f t="shared" si="12"/>
        <v/>
      </c>
      <c r="Q72" s="14" t="str">
        <f t="shared" si="13"/>
        <v/>
      </c>
    </row>
    <row r="73" spans="1:17" x14ac:dyDescent="0.25">
      <c r="A73" s="4">
        <v>46753</v>
      </c>
      <c r="B73" s="5" t="str">
        <f>IF('Catalogo de Variaveis'!J78="","",SUM('Catalogo de Variaveis'!J75:J78))</f>
        <v/>
      </c>
      <c r="C73" s="15" t="str">
        <f>IFERROR(IF($B73="","",AVERAGE('Catalogo de Variaveis'!J78-'Catalogo de Variaveis'!J77,'Catalogo de Variaveis'!J77-'Catalogo de Variaveis'!J76,'Catalogo de Variaveis'!J76-'Catalogo de Variaveis'!J75,'Catalogo de Variaveis'!J75-'Catalogo de Variaveis'!J74)),0)</f>
        <v/>
      </c>
      <c r="D73" s="13" t="str">
        <f t="shared" si="18"/>
        <v/>
      </c>
      <c r="E73" s="10" t="str">
        <f t="shared" si="14"/>
        <v/>
      </c>
      <c r="F73" s="10" t="str">
        <f t="shared" si="15"/>
        <v/>
      </c>
      <c r="G73" s="10" t="str">
        <f t="shared" si="19"/>
        <v/>
      </c>
      <c r="H73" s="10" t="str">
        <f t="shared" si="16"/>
        <v/>
      </c>
      <c r="I73" s="10" t="str">
        <f t="shared" si="20"/>
        <v/>
      </c>
      <c r="J73" s="14" t="str">
        <f t="shared" si="17"/>
        <v/>
      </c>
      <c r="K73" s="13" t="str">
        <f t="shared" ref="K73:K96" si="21">IF($B73="","",$C$1-3*$C$2)</f>
        <v/>
      </c>
      <c r="L73" s="10" t="str">
        <f t="shared" ref="L73:L96" si="22">IF($B73="","",$C$1-2*$C$2)</f>
        <v/>
      </c>
      <c r="M73" s="10" t="str">
        <f t="shared" ref="M73:M96" si="23">IF($B73="","",$C$1-$C$2)</f>
        <v/>
      </c>
      <c r="N73" s="10" t="str">
        <f t="shared" ref="N73:N96" si="24">IF($B73="","",$C$1)</f>
        <v/>
      </c>
      <c r="O73" s="10" t="str">
        <f t="shared" ref="O73:O96" si="25">IF($B73="","",$C$1+1*$C$2)</f>
        <v/>
      </c>
      <c r="P73" s="10" t="str">
        <f t="shared" ref="P73:P96" si="26">IF($B73="","",$C$1+2*$C$2)</f>
        <v/>
      </c>
      <c r="Q73" s="14" t="str">
        <f t="shared" ref="Q73:Q96" si="27">IF($B73="","",$C$1+3*$C$2)</f>
        <v/>
      </c>
    </row>
    <row r="74" spans="1:17" x14ac:dyDescent="0.25">
      <c r="A74" s="4">
        <v>46784</v>
      </c>
      <c r="B74" s="5" t="str">
        <f>IF('Catalogo de Variaveis'!J79="","",SUM('Catalogo de Variaveis'!J76:J79))</f>
        <v/>
      </c>
      <c r="C74" s="15" t="str">
        <f>IFERROR(IF($B74="","",AVERAGE('Catalogo de Variaveis'!J79-'Catalogo de Variaveis'!J78,'Catalogo de Variaveis'!J78-'Catalogo de Variaveis'!J77,'Catalogo de Variaveis'!J77-'Catalogo de Variaveis'!J76,'Catalogo de Variaveis'!J76-'Catalogo de Variaveis'!J75)),0)</f>
        <v/>
      </c>
      <c r="D74" s="13" t="str">
        <f t="shared" si="18"/>
        <v/>
      </c>
      <c r="E74" s="10" t="str">
        <f t="shared" si="14"/>
        <v/>
      </c>
      <c r="F74" s="10" t="str">
        <f t="shared" si="15"/>
        <v/>
      </c>
      <c r="G74" s="10" t="str">
        <f t="shared" si="19"/>
        <v/>
      </c>
      <c r="H74" s="10" t="str">
        <f t="shared" si="16"/>
        <v/>
      </c>
      <c r="I74" s="10" t="str">
        <f t="shared" si="20"/>
        <v/>
      </c>
      <c r="J74" s="14" t="str">
        <f t="shared" si="17"/>
        <v/>
      </c>
      <c r="K74" s="13" t="str">
        <f t="shared" si="21"/>
        <v/>
      </c>
      <c r="L74" s="10" t="str">
        <f t="shared" si="22"/>
        <v/>
      </c>
      <c r="M74" s="10" t="str">
        <f t="shared" si="23"/>
        <v/>
      </c>
      <c r="N74" s="10" t="str">
        <f t="shared" si="24"/>
        <v/>
      </c>
      <c r="O74" s="10" t="str">
        <f t="shared" si="25"/>
        <v/>
      </c>
      <c r="P74" s="10" t="str">
        <f t="shared" si="26"/>
        <v/>
      </c>
      <c r="Q74" s="14" t="str">
        <f t="shared" si="27"/>
        <v/>
      </c>
    </row>
    <row r="75" spans="1:17" x14ac:dyDescent="0.25">
      <c r="A75" s="4">
        <v>46813</v>
      </c>
      <c r="B75" s="5" t="str">
        <f>IF('Catalogo de Variaveis'!J80="","",SUM('Catalogo de Variaveis'!J77:J80))</f>
        <v/>
      </c>
      <c r="C75" s="15" t="str">
        <f>IFERROR(IF($B75="","",AVERAGE('Catalogo de Variaveis'!J80-'Catalogo de Variaveis'!J79,'Catalogo de Variaveis'!J79-'Catalogo de Variaveis'!J78,'Catalogo de Variaveis'!J78-'Catalogo de Variaveis'!J77,'Catalogo de Variaveis'!J77-'Catalogo de Variaveis'!J76)),0)</f>
        <v/>
      </c>
      <c r="D75" s="13" t="str">
        <f t="shared" si="18"/>
        <v/>
      </c>
      <c r="E75" s="10" t="str">
        <f t="shared" si="14"/>
        <v/>
      </c>
      <c r="F75" s="10" t="str">
        <f t="shared" si="15"/>
        <v/>
      </c>
      <c r="G75" s="10" t="str">
        <f t="shared" si="19"/>
        <v/>
      </c>
      <c r="H75" s="10" t="str">
        <f t="shared" si="16"/>
        <v/>
      </c>
      <c r="I75" s="10" t="str">
        <f t="shared" si="20"/>
        <v/>
      </c>
      <c r="J75" s="14" t="str">
        <f t="shared" si="17"/>
        <v/>
      </c>
      <c r="K75" s="13" t="str">
        <f t="shared" si="21"/>
        <v/>
      </c>
      <c r="L75" s="10" t="str">
        <f t="shared" si="22"/>
        <v/>
      </c>
      <c r="M75" s="10" t="str">
        <f t="shared" si="23"/>
        <v/>
      </c>
      <c r="N75" s="10" t="str">
        <f t="shared" si="24"/>
        <v/>
      </c>
      <c r="O75" s="10" t="str">
        <f t="shared" si="25"/>
        <v/>
      </c>
      <c r="P75" s="10" t="str">
        <f t="shared" si="26"/>
        <v/>
      </c>
      <c r="Q75" s="14" t="str">
        <f t="shared" si="27"/>
        <v/>
      </c>
    </row>
    <row r="76" spans="1:17" x14ac:dyDescent="0.25">
      <c r="A76" s="4">
        <v>46844</v>
      </c>
      <c r="B76" s="5" t="str">
        <f>IF('Catalogo de Variaveis'!J81="","",SUM('Catalogo de Variaveis'!J78:J81))</f>
        <v/>
      </c>
      <c r="C76" s="15" t="str">
        <f>IFERROR(IF($B76="","",AVERAGE('Catalogo de Variaveis'!J81-'Catalogo de Variaveis'!J80,'Catalogo de Variaveis'!J80-'Catalogo de Variaveis'!J79,'Catalogo de Variaveis'!J79-'Catalogo de Variaveis'!J78,'Catalogo de Variaveis'!J78-'Catalogo de Variaveis'!J77)),0)</f>
        <v/>
      </c>
      <c r="D76" s="13" t="str">
        <f t="shared" si="18"/>
        <v/>
      </c>
      <c r="E76" s="10" t="str">
        <f t="shared" si="14"/>
        <v/>
      </c>
      <c r="F76" s="10" t="str">
        <f t="shared" si="15"/>
        <v/>
      </c>
      <c r="G76" s="10" t="str">
        <f t="shared" si="19"/>
        <v/>
      </c>
      <c r="H76" s="10" t="str">
        <f t="shared" si="16"/>
        <v/>
      </c>
      <c r="I76" s="10" t="str">
        <f t="shared" si="20"/>
        <v/>
      </c>
      <c r="J76" s="14" t="str">
        <f t="shared" si="17"/>
        <v/>
      </c>
      <c r="K76" s="13" t="str">
        <f t="shared" si="21"/>
        <v/>
      </c>
      <c r="L76" s="10" t="str">
        <f t="shared" si="22"/>
        <v/>
      </c>
      <c r="M76" s="10" t="str">
        <f t="shared" si="23"/>
        <v/>
      </c>
      <c r="N76" s="10" t="str">
        <f t="shared" si="24"/>
        <v/>
      </c>
      <c r="O76" s="10" t="str">
        <f t="shared" si="25"/>
        <v/>
      </c>
      <c r="P76" s="10" t="str">
        <f t="shared" si="26"/>
        <v/>
      </c>
      <c r="Q76" s="14" t="str">
        <f t="shared" si="27"/>
        <v/>
      </c>
    </row>
    <row r="77" spans="1:17" x14ac:dyDescent="0.25">
      <c r="A77" s="4">
        <v>46874</v>
      </c>
      <c r="B77" s="5" t="str">
        <f>IF('Catalogo de Variaveis'!J82="","",SUM('Catalogo de Variaveis'!J79:J82))</f>
        <v/>
      </c>
      <c r="C77" s="15" t="str">
        <f>IFERROR(IF($B77="","",AVERAGE('Catalogo de Variaveis'!J82-'Catalogo de Variaveis'!J81,'Catalogo de Variaveis'!J81-'Catalogo de Variaveis'!J80,'Catalogo de Variaveis'!J80-'Catalogo de Variaveis'!J79,'Catalogo de Variaveis'!J79-'Catalogo de Variaveis'!J78)),0)</f>
        <v/>
      </c>
      <c r="D77" s="13" t="str">
        <f t="shared" si="18"/>
        <v/>
      </c>
      <c r="E77" s="10" t="str">
        <f t="shared" si="14"/>
        <v/>
      </c>
      <c r="F77" s="10" t="str">
        <f t="shared" si="15"/>
        <v/>
      </c>
      <c r="G77" s="10" t="str">
        <f t="shared" si="19"/>
        <v/>
      </c>
      <c r="H77" s="10" t="str">
        <f t="shared" si="16"/>
        <v/>
      </c>
      <c r="I77" s="10" t="str">
        <f t="shared" si="20"/>
        <v/>
      </c>
      <c r="J77" s="14" t="str">
        <f t="shared" si="17"/>
        <v/>
      </c>
      <c r="K77" s="13" t="str">
        <f t="shared" si="21"/>
        <v/>
      </c>
      <c r="L77" s="10" t="str">
        <f t="shared" si="22"/>
        <v/>
      </c>
      <c r="M77" s="10" t="str">
        <f t="shared" si="23"/>
        <v/>
      </c>
      <c r="N77" s="10" t="str">
        <f t="shared" si="24"/>
        <v/>
      </c>
      <c r="O77" s="10" t="str">
        <f t="shared" si="25"/>
        <v/>
      </c>
      <c r="P77" s="10" t="str">
        <f t="shared" si="26"/>
        <v/>
      </c>
      <c r="Q77" s="14" t="str">
        <f t="shared" si="27"/>
        <v/>
      </c>
    </row>
    <row r="78" spans="1:17" x14ac:dyDescent="0.25">
      <c r="A78" s="4">
        <v>46905</v>
      </c>
      <c r="B78" s="5" t="str">
        <f>IF('Catalogo de Variaveis'!J83="","",SUM('Catalogo de Variaveis'!J80:J83))</f>
        <v/>
      </c>
      <c r="C78" s="15" t="str">
        <f>IFERROR(IF($B78="","",AVERAGE('Catalogo de Variaveis'!J83-'Catalogo de Variaveis'!J82,'Catalogo de Variaveis'!J82-'Catalogo de Variaveis'!J81,'Catalogo de Variaveis'!J81-'Catalogo de Variaveis'!J80,'Catalogo de Variaveis'!J80-'Catalogo de Variaveis'!J79)),0)</f>
        <v/>
      </c>
      <c r="D78" s="13" t="str">
        <f t="shared" si="18"/>
        <v/>
      </c>
      <c r="E78" s="10" t="str">
        <f t="shared" si="14"/>
        <v/>
      </c>
      <c r="F78" s="10" t="str">
        <f t="shared" si="15"/>
        <v/>
      </c>
      <c r="G78" s="10" t="str">
        <f t="shared" si="19"/>
        <v/>
      </c>
      <c r="H78" s="10" t="str">
        <f t="shared" si="16"/>
        <v/>
      </c>
      <c r="I78" s="10" t="str">
        <f t="shared" si="20"/>
        <v/>
      </c>
      <c r="J78" s="14" t="str">
        <f t="shared" si="17"/>
        <v/>
      </c>
      <c r="K78" s="13" t="str">
        <f t="shared" si="21"/>
        <v/>
      </c>
      <c r="L78" s="10" t="str">
        <f t="shared" si="22"/>
        <v/>
      </c>
      <c r="M78" s="10" t="str">
        <f t="shared" si="23"/>
        <v/>
      </c>
      <c r="N78" s="10" t="str">
        <f t="shared" si="24"/>
        <v/>
      </c>
      <c r="O78" s="10" t="str">
        <f t="shared" si="25"/>
        <v/>
      </c>
      <c r="P78" s="10" t="str">
        <f t="shared" si="26"/>
        <v/>
      </c>
      <c r="Q78" s="14" t="str">
        <f t="shared" si="27"/>
        <v/>
      </c>
    </row>
    <row r="79" spans="1:17" x14ac:dyDescent="0.25">
      <c r="A79" s="4">
        <v>46935</v>
      </c>
      <c r="B79" s="5" t="str">
        <f>IF('Catalogo de Variaveis'!J84="","",SUM('Catalogo de Variaveis'!J81:J84))</f>
        <v/>
      </c>
      <c r="C79" s="15" t="str">
        <f>IFERROR(IF($B79="","",AVERAGE('Catalogo de Variaveis'!J84-'Catalogo de Variaveis'!J83,'Catalogo de Variaveis'!J83-'Catalogo de Variaveis'!J82,'Catalogo de Variaveis'!J82-'Catalogo de Variaveis'!J81,'Catalogo de Variaveis'!J81-'Catalogo de Variaveis'!J80)),0)</f>
        <v/>
      </c>
      <c r="D79" s="13" t="str">
        <f t="shared" si="18"/>
        <v/>
      </c>
      <c r="E79" s="10" t="str">
        <f t="shared" si="14"/>
        <v/>
      </c>
      <c r="F79" s="10" t="str">
        <f t="shared" si="15"/>
        <v/>
      </c>
      <c r="G79" s="10" t="str">
        <f t="shared" si="19"/>
        <v/>
      </c>
      <c r="H79" s="10" t="str">
        <f t="shared" si="16"/>
        <v/>
      </c>
      <c r="I79" s="10" t="str">
        <f t="shared" si="20"/>
        <v/>
      </c>
      <c r="J79" s="14" t="str">
        <f t="shared" si="17"/>
        <v/>
      </c>
      <c r="K79" s="13" t="str">
        <f t="shared" si="21"/>
        <v/>
      </c>
      <c r="L79" s="10" t="str">
        <f t="shared" si="22"/>
        <v/>
      </c>
      <c r="M79" s="10" t="str">
        <f t="shared" si="23"/>
        <v/>
      </c>
      <c r="N79" s="10" t="str">
        <f t="shared" si="24"/>
        <v/>
      </c>
      <c r="O79" s="10" t="str">
        <f t="shared" si="25"/>
        <v/>
      </c>
      <c r="P79" s="10" t="str">
        <f t="shared" si="26"/>
        <v/>
      </c>
      <c r="Q79" s="14" t="str">
        <f t="shared" si="27"/>
        <v/>
      </c>
    </row>
    <row r="80" spans="1:17" x14ac:dyDescent="0.25">
      <c r="A80" s="4">
        <v>46966</v>
      </c>
      <c r="B80" s="5" t="str">
        <f>IF('Catalogo de Variaveis'!J85="","",SUM('Catalogo de Variaveis'!J82:J85))</f>
        <v/>
      </c>
      <c r="C80" s="15" t="str">
        <f>IFERROR(IF($B80="","",AVERAGE('Catalogo de Variaveis'!J85-'Catalogo de Variaveis'!J84,'Catalogo de Variaveis'!J84-'Catalogo de Variaveis'!J83,'Catalogo de Variaveis'!J83-'Catalogo de Variaveis'!J82,'Catalogo de Variaveis'!J82-'Catalogo de Variaveis'!J81)),0)</f>
        <v/>
      </c>
      <c r="D80" s="13" t="str">
        <f t="shared" si="18"/>
        <v/>
      </c>
      <c r="E80" s="10" t="str">
        <f t="shared" si="14"/>
        <v/>
      </c>
      <c r="F80" s="10" t="str">
        <f t="shared" si="15"/>
        <v/>
      </c>
      <c r="G80" s="10" t="str">
        <f t="shared" si="19"/>
        <v/>
      </c>
      <c r="H80" s="10" t="str">
        <f t="shared" si="16"/>
        <v/>
      </c>
      <c r="I80" s="10" t="str">
        <f t="shared" si="20"/>
        <v/>
      </c>
      <c r="J80" s="14" t="str">
        <f t="shared" si="17"/>
        <v/>
      </c>
      <c r="K80" s="13" t="str">
        <f t="shared" si="21"/>
        <v/>
      </c>
      <c r="L80" s="10" t="str">
        <f t="shared" si="22"/>
        <v/>
      </c>
      <c r="M80" s="10" t="str">
        <f t="shared" si="23"/>
        <v/>
      </c>
      <c r="N80" s="10" t="str">
        <f t="shared" si="24"/>
        <v/>
      </c>
      <c r="O80" s="10" t="str">
        <f t="shared" si="25"/>
        <v/>
      </c>
      <c r="P80" s="10" t="str">
        <f t="shared" si="26"/>
        <v/>
      </c>
      <c r="Q80" s="14" t="str">
        <f t="shared" si="27"/>
        <v/>
      </c>
    </row>
    <row r="81" spans="1:17" x14ac:dyDescent="0.25">
      <c r="A81" s="4">
        <v>46997</v>
      </c>
      <c r="B81" s="5" t="str">
        <f>IF('Catalogo de Variaveis'!J86="","",SUM('Catalogo de Variaveis'!J83:J86))</f>
        <v/>
      </c>
      <c r="C81" s="15" t="str">
        <f>IFERROR(IF($B81="","",AVERAGE('Catalogo de Variaveis'!J86-'Catalogo de Variaveis'!J85,'Catalogo de Variaveis'!J85-'Catalogo de Variaveis'!J84,'Catalogo de Variaveis'!J84-'Catalogo de Variaveis'!J83,'Catalogo de Variaveis'!J83-'Catalogo de Variaveis'!J82)),0)</f>
        <v/>
      </c>
      <c r="D81" s="13" t="str">
        <f t="shared" si="18"/>
        <v/>
      </c>
      <c r="E81" s="10" t="str">
        <f t="shared" si="14"/>
        <v/>
      </c>
      <c r="F81" s="10" t="str">
        <f t="shared" si="15"/>
        <v/>
      </c>
      <c r="G81" s="10" t="str">
        <f t="shared" si="19"/>
        <v/>
      </c>
      <c r="H81" s="10" t="str">
        <f t="shared" si="16"/>
        <v/>
      </c>
      <c r="I81" s="10" t="str">
        <f t="shared" si="20"/>
        <v/>
      </c>
      <c r="J81" s="14" t="str">
        <f t="shared" si="17"/>
        <v/>
      </c>
      <c r="K81" s="13" t="str">
        <f t="shared" si="21"/>
        <v/>
      </c>
      <c r="L81" s="10" t="str">
        <f t="shared" si="22"/>
        <v/>
      </c>
      <c r="M81" s="10" t="str">
        <f t="shared" si="23"/>
        <v/>
      </c>
      <c r="N81" s="10" t="str">
        <f t="shared" si="24"/>
        <v/>
      </c>
      <c r="O81" s="10" t="str">
        <f t="shared" si="25"/>
        <v/>
      </c>
      <c r="P81" s="10" t="str">
        <f t="shared" si="26"/>
        <v/>
      </c>
      <c r="Q81" s="14" t="str">
        <f t="shared" si="27"/>
        <v/>
      </c>
    </row>
    <row r="82" spans="1:17" x14ac:dyDescent="0.25">
      <c r="A82" s="4">
        <v>47027</v>
      </c>
      <c r="B82" s="5" t="str">
        <f>IF('Catalogo de Variaveis'!J87="","",SUM('Catalogo de Variaveis'!J84:J87))</f>
        <v/>
      </c>
      <c r="C82" s="15" t="str">
        <f>IFERROR(IF($B82="","",AVERAGE('Catalogo de Variaveis'!J87-'Catalogo de Variaveis'!J86,'Catalogo de Variaveis'!J86-'Catalogo de Variaveis'!J85,'Catalogo de Variaveis'!J85-'Catalogo de Variaveis'!J84,'Catalogo de Variaveis'!J84-'Catalogo de Variaveis'!J83)),0)</f>
        <v/>
      </c>
      <c r="D82" s="13" t="str">
        <f t="shared" si="18"/>
        <v/>
      </c>
      <c r="E82" s="10" t="str">
        <f t="shared" si="14"/>
        <v/>
      </c>
      <c r="F82" s="10" t="str">
        <f t="shared" si="15"/>
        <v/>
      </c>
      <c r="G82" s="10" t="str">
        <f t="shared" si="19"/>
        <v/>
      </c>
      <c r="H82" s="10" t="str">
        <f t="shared" si="16"/>
        <v/>
      </c>
      <c r="I82" s="10" t="str">
        <f t="shared" si="20"/>
        <v/>
      </c>
      <c r="J82" s="14" t="str">
        <f t="shared" si="17"/>
        <v/>
      </c>
      <c r="K82" s="13" t="str">
        <f t="shared" si="21"/>
        <v/>
      </c>
      <c r="L82" s="10" t="str">
        <f t="shared" si="22"/>
        <v/>
      </c>
      <c r="M82" s="10" t="str">
        <f t="shared" si="23"/>
        <v/>
      </c>
      <c r="N82" s="10" t="str">
        <f t="shared" si="24"/>
        <v/>
      </c>
      <c r="O82" s="10" t="str">
        <f t="shared" si="25"/>
        <v/>
      </c>
      <c r="P82" s="10" t="str">
        <f t="shared" si="26"/>
        <v/>
      </c>
      <c r="Q82" s="14" t="str">
        <f t="shared" si="27"/>
        <v/>
      </c>
    </row>
    <row r="83" spans="1:17" x14ac:dyDescent="0.25">
      <c r="A83" s="4">
        <v>47058</v>
      </c>
      <c r="B83" s="5" t="str">
        <f>IF('Catalogo de Variaveis'!J88="","",SUM('Catalogo de Variaveis'!J85:J88))</f>
        <v/>
      </c>
      <c r="C83" s="15" t="str">
        <f>IFERROR(IF($B83="","",AVERAGE('Catalogo de Variaveis'!J88-'Catalogo de Variaveis'!J87,'Catalogo de Variaveis'!J87-'Catalogo de Variaveis'!J86,'Catalogo de Variaveis'!J86-'Catalogo de Variaveis'!J85,'Catalogo de Variaveis'!J85-'Catalogo de Variaveis'!J84)),0)</f>
        <v/>
      </c>
      <c r="D83" s="13" t="str">
        <f t="shared" si="18"/>
        <v/>
      </c>
      <c r="E83" s="10" t="str">
        <f t="shared" si="14"/>
        <v/>
      </c>
      <c r="F83" s="10" t="str">
        <f t="shared" si="15"/>
        <v/>
      </c>
      <c r="G83" s="10" t="str">
        <f t="shared" si="19"/>
        <v/>
      </c>
      <c r="H83" s="10" t="str">
        <f t="shared" si="16"/>
        <v/>
      </c>
      <c r="I83" s="10" t="str">
        <f t="shared" si="20"/>
        <v/>
      </c>
      <c r="J83" s="14" t="str">
        <f t="shared" si="17"/>
        <v/>
      </c>
      <c r="K83" s="13" t="str">
        <f t="shared" si="21"/>
        <v/>
      </c>
      <c r="L83" s="10" t="str">
        <f t="shared" si="22"/>
        <v/>
      </c>
      <c r="M83" s="10" t="str">
        <f t="shared" si="23"/>
        <v/>
      </c>
      <c r="N83" s="10" t="str">
        <f t="shared" si="24"/>
        <v/>
      </c>
      <c r="O83" s="10" t="str">
        <f t="shared" si="25"/>
        <v/>
      </c>
      <c r="P83" s="10" t="str">
        <f t="shared" si="26"/>
        <v/>
      </c>
      <c r="Q83" s="14" t="str">
        <f t="shared" si="27"/>
        <v/>
      </c>
    </row>
    <row r="84" spans="1:17" x14ac:dyDescent="0.25">
      <c r="A84" s="4">
        <v>47088</v>
      </c>
      <c r="B84" s="5" t="str">
        <f>IF('Catalogo de Variaveis'!J89="","",SUM('Catalogo de Variaveis'!J86:J89))</f>
        <v/>
      </c>
      <c r="C84" s="15" t="str">
        <f>IFERROR(IF($B84="","",AVERAGE('Catalogo de Variaveis'!J89-'Catalogo de Variaveis'!J88,'Catalogo de Variaveis'!J88-'Catalogo de Variaveis'!J87,'Catalogo de Variaveis'!J87-'Catalogo de Variaveis'!J86,'Catalogo de Variaveis'!J86-'Catalogo de Variaveis'!J85)),0)</f>
        <v/>
      </c>
      <c r="D84" s="13" t="str">
        <f t="shared" si="18"/>
        <v/>
      </c>
      <c r="E84" s="10" t="str">
        <f t="shared" si="14"/>
        <v/>
      </c>
      <c r="F84" s="10" t="str">
        <f t="shared" si="15"/>
        <v/>
      </c>
      <c r="G84" s="10" t="str">
        <f t="shared" si="19"/>
        <v/>
      </c>
      <c r="H84" s="10" t="str">
        <f t="shared" si="16"/>
        <v/>
      </c>
      <c r="I84" s="10" t="str">
        <f t="shared" si="20"/>
        <v/>
      </c>
      <c r="J84" s="14" t="str">
        <f t="shared" si="17"/>
        <v/>
      </c>
      <c r="K84" s="13" t="str">
        <f t="shared" si="21"/>
        <v/>
      </c>
      <c r="L84" s="10" t="str">
        <f t="shared" si="22"/>
        <v/>
      </c>
      <c r="M84" s="10" t="str">
        <f t="shared" si="23"/>
        <v/>
      </c>
      <c r="N84" s="10" t="str">
        <f t="shared" si="24"/>
        <v/>
      </c>
      <c r="O84" s="10" t="str">
        <f t="shared" si="25"/>
        <v/>
      </c>
      <c r="P84" s="10" t="str">
        <f t="shared" si="26"/>
        <v/>
      </c>
      <c r="Q84" s="14" t="str">
        <f t="shared" si="27"/>
        <v/>
      </c>
    </row>
    <row r="85" spans="1:17" x14ac:dyDescent="0.25">
      <c r="A85" s="4">
        <v>47119</v>
      </c>
      <c r="B85" s="5" t="str">
        <f>IF('Catalogo de Variaveis'!J90="","",SUM('Catalogo de Variaveis'!J87:J90))</f>
        <v/>
      </c>
      <c r="C85" s="15" t="str">
        <f>IFERROR(IF($B85="","",AVERAGE('Catalogo de Variaveis'!J90-'Catalogo de Variaveis'!J89,'Catalogo de Variaveis'!J89-'Catalogo de Variaveis'!J88,'Catalogo de Variaveis'!J88-'Catalogo de Variaveis'!J87,'Catalogo de Variaveis'!J87-'Catalogo de Variaveis'!J86)),0)</f>
        <v/>
      </c>
      <c r="D85" s="13" t="str">
        <f t="shared" si="18"/>
        <v/>
      </c>
      <c r="E85" s="10" t="str">
        <f t="shared" si="14"/>
        <v/>
      </c>
      <c r="F85" s="10" t="str">
        <f t="shared" si="15"/>
        <v/>
      </c>
      <c r="G85" s="10" t="str">
        <f t="shared" si="19"/>
        <v/>
      </c>
      <c r="H85" s="10" t="str">
        <f t="shared" si="16"/>
        <v/>
      </c>
      <c r="I85" s="10" t="str">
        <f t="shared" si="20"/>
        <v/>
      </c>
      <c r="J85" s="14" t="str">
        <f t="shared" si="17"/>
        <v/>
      </c>
      <c r="K85" s="13" t="str">
        <f t="shared" si="21"/>
        <v/>
      </c>
      <c r="L85" s="10" t="str">
        <f t="shared" si="22"/>
        <v/>
      </c>
      <c r="M85" s="10" t="str">
        <f t="shared" si="23"/>
        <v/>
      </c>
      <c r="N85" s="10" t="str">
        <f t="shared" si="24"/>
        <v/>
      </c>
      <c r="O85" s="10" t="str">
        <f t="shared" si="25"/>
        <v/>
      </c>
      <c r="P85" s="10" t="str">
        <f t="shared" si="26"/>
        <v/>
      </c>
      <c r="Q85" s="14" t="str">
        <f t="shared" si="27"/>
        <v/>
      </c>
    </row>
    <row r="86" spans="1:17" x14ac:dyDescent="0.25">
      <c r="A86" s="4">
        <v>47150</v>
      </c>
      <c r="B86" s="5" t="str">
        <f>IF('Catalogo de Variaveis'!J91="","",SUM('Catalogo de Variaveis'!J88:J91))</f>
        <v/>
      </c>
      <c r="C86" s="15" t="str">
        <f>IFERROR(IF($B86="","",AVERAGE('Catalogo de Variaveis'!J91-'Catalogo de Variaveis'!J90,'Catalogo de Variaveis'!J90-'Catalogo de Variaveis'!J89,'Catalogo de Variaveis'!J89-'Catalogo de Variaveis'!J88,'Catalogo de Variaveis'!J88-'Catalogo de Variaveis'!J87)),0)</f>
        <v/>
      </c>
      <c r="D86" s="13" t="str">
        <f t="shared" si="18"/>
        <v/>
      </c>
      <c r="E86" s="10" t="str">
        <f t="shared" si="14"/>
        <v/>
      </c>
      <c r="F86" s="10" t="str">
        <f t="shared" si="15"/>
        <v/>
      </c>
      <c r="G86" s="10" t="str">
        <f t="shared" si="19"/>
        <v/>
      </c>
      <c r="H86" s="10" t="str">
        <f t="shared" si="16"/>
        <v/>
      </c>
      <c r="I86" s="10" t="str">
        <f t="shared" si="20"/>
        <v/>
      </c>
      <c r="J86" s="14" t="str">
        <f t="shared" si="17"/>
        <v/>
      </c>
      <c r="K86" s="13" t="str">
        <f t="shared" si="21"/>
        <v/>
      </c>
      <c r="L86" s="10" t="str">
        <f t="shared" si="22"/>
        <v/>
      </c>
      <c r="M86" s="10" t="str">
        <f t="shared" si="23"/>
        <v/>
      </c>
      <c r="N86" s="10" t="str">
        <f t="shared" si="24"/>
        <v/>
      </c>
      <c r="O86" s="10" t="str">
        <f t="shared" si="25"/>
        <v/>
      </c>
      <c r="P86" s="10" t="str">
        <f t="shared" si="26"/>
        <v/>
      </c>
      <c r="Q86" s="14" t="str">
        <f t="shared" si="27"/>
        <v/>
      </c>
    </row>
    <row r="87" spans="1:17" x14ac:dyDescent="0.25">
      <c r="A87" s="4">
        <v>47178</v>
      </c>
      <c r="B87" s="5" t="str">
        <f>IF('Catalogo de Variaveis'!J92="","",SUM('Catalogo de Variaveis'!J89:J92))</f>
        <v/>
      </c>
      <c r="C87" s="15" t="str">
        <f>IFERROR(IF($B87="","",AVERAGE('Catalogo de Variaveis'!J92-'Catalogo de Variaveis'!J91,'Catalogo de Variaveis'!J91-'Catalogo de Variaveis'!J90,'Catalogo de Variaveis'!J90-'Catalogo de Variaveis'!J89,'Catalogo de Variaveis'!J89-'Catalogo de Variaveis'!J88)),0)</f>
        <v/>
      </c>
      <c r="D87" s="13" t="str">
        <f t="shared" si="18"/>
        <v/>
      </c>
      <c r="E87" s="10" t="str">
        <f t="shared" si="14"/>
        <v/>
      </c>
      <c r="F87" s="10" t="str">
        <f t="shared" si="15"/>
        <v/>
      </c>
      <c r="G87" s="10" t="str">
        <f t="shared" si="19"/>
        <v/>
      </c>
      <c r="H87" s="10" t="str">
        <f t="shared" si="16"/>
        <v/>
      </c>
      <c r="I87" s="10" t="str">
        <f t="shared" si="20"/>
        <v/>
      </c>
      <c r="J87" s="14" t="str">
        <f t="shared" si="17"/>
        <v/>
      </c>
      <c r="K87" s="13" t="str">
        <f t="shared" si="21"/>
        <v/>
      </c>
      <c r="L87" s="10" t="str">
        <f t="shared" si="22"/>
        <v/>
      </c>
      <c r="M87" s="10" t="str">
        <f t="shared" si="23"/>
        <v/>
      </c>
      <c r="N87" s="10" t="str">
        <f t="shared" si="24"/>
        <v/>
      </c>
      <c r="O87" s="10" t="str">
        <f t="shared" si="25"/>
        <v/>
      </c>
      <c r="P87" s="10" t="str">
        <f t="shared" si="26"/>
        <v/>
      </c>
      <c r="Q87" s="14" t="str">
        <f t="shared" si="27"/>
        <v/>
      </c>
    </row>
    <row r="88" spans="1:17" x14ac:dyDescent="0.25">
      <c r="A88" s="4">
        <v>47209</v>
      </c>
      <c r="B88" s="5" t="str">
        <f>IF('Catalogo de Variaveis'!J93="","",SUM('Catalogo de Variaveis'!J90:J93))</f>
        <v/>
      </c>
      <c r="C88" s="15" t="str">
        <f>IFERROR(IF($B88="","",AVERAGE('Catalogo de Variaveis'!J93-'Catalogo de Variaveis'!J92,'Catalogo de Variaveis'!J92-'Catalogo de Variaveis'!J91,'Catalogo de Variaveis'!J91-'Catalogo de Variaveis'!J90,'Catalogo de Variaveis'!J90-'Catalogo de Variaveis'!J89)),0)</f>
        <v/>
      </c>
      <c r="D88" s="13" t="str">
        <f t="shared" si="18"/>
        <v/>
      </c>
      <c r="E88" s="10" t="str">
        <f t="shared" si="14"/>
        <v/>
      </c>
      <c r="F88" s="10" t="str">
        <f t="shared" si="15"/>
        <v/>
      </c>
      <c r="G88" s="10" t="str">
        <f t="shared" si="19"/>
        <v/>
      </c>
      <c r="H88" s="10" t="str">
        <f t="shared" si="16"/>
        <v/>
      </c>
      <c r="I88" s="10" t="str">
        <f t="shared" si="20"/>
        <v/>
      </c>
      <c r="J88" s="14" t="str">
        <f t="shared" si="17"/>
        <v/>
      </c>
      <c r="K88" s="13" t="str">
        <f t="shared" si="21"/>
        <v/>
      </c>
      <c r="L88" s="10" t="str">
        <f t="shared" si="22"/>
        <v/>
      </c>
      <c r="M88" s="10" t="str">
        <f t="shared" si="23"/>
        <v/>
      </c>
      <c r="N88" s="10" t="str">
        <f t="shared" si="24"/>
        <v/>
      </c>
      <c r="O88" s="10" t="str">
        <f t="shared" si="25"/>
        <v/>
      </c>
      <c r="P88" s="10" t="str">
        <f t="shared" si="26"/>
        <v/>
      </c>
      <c r="Q88" s="14" t="str">
        <f t="shared" si="27"/>
        <v/>
      </c>
    </row>
    <row r="89" spans="1:17" x14ac:dyDescent="0.25">
      <c r="A89" s="4">
        <v>47239</v>
      </c>
      <c r="B89" s="5" t="str">
        <f>IF('Catalogo de Variaveis'!J94="","",SUM('Catalogo de Variaveis'!J91:J94))</f>
        <v/>
      </c>
      <c r="C89" s="15" t="str">
        <f>IFERROR(IF($B89="","",AVERAGE('Catalogo de Variaveis'!J94-'Catalogo de Variaveis'!J93,'Catalogo de Variaveis'!J93-'Catalogo de Variaveis'!J92,'Catalogo de Variaveis'!J92-'Catalogo de Variaveis'!J91,'Catalogo de Variaveis'!J91-'Catalogo de Variaveis'!J90)),0)</f>
        <v/>
      </c>
      <c r="D89" s="13" t="str">
        <f t="shared" si="18"/>
        <v/>
      </c>
      <c r="E89" s="10" t="str">
        <f t="shared" si="14"/>
        <v/>
      </c>
      <c r="F89" s="10" t="str">
        <f t="shared" si="15"/>
        <v/>
      </c>
      <c r="G89" s="10" t="str">
        <f t="shared" si="19"/>
        <v/>
      </c>
      <c r="H89" s="10" t="str">
        <f t="shared" si="16"/>
        <v/>
      </c>
      <c r="I89" s="10" t="str">
        <f t="shared" si="20"/>
        <v/>
      </c>
      <c r="J89" s="14" t="str">
        <f t="shared" si="17"/>
        <v/>
      </c>
      <c r="K89" s="13" t="str">
        <f t="shared" si="21"/>
        <v/>
      </c>
      <c r="L89" s="10" t="str">
        <f t="shared" si="22"/>
        <v/>
      </c>
      <c r="M89" s="10" t="str">
        <f t="shared" si="23"/>
        <v/>
      </c>
      <c r="N89" s="10" t="str">
        <f t="shared" si="24"/>
        <v/>
      </c>
      <c r="O89" s="10" t="str">
        <f t="shared" si="25"/>
        <v/>
      </c>
      <c r="P89" s="10" t="str">
        <f t="shared" si="26"/>
        <v/>
      </c>
      <c r="Q89" s="14" t="str">
        <f t="shared" si="27"/>
        <v/>
      </c>
    </row>
    <row r="90" spans="1:17" x14ac:dyDescent="0.25">
      <c r="A90" s="4">
        <v>47270</v>
      </c>
      <c r="B90" s="5" t="str">
        <f>IF('Catalogo de Variaveis'!J95="","",SUM('Catalogo de Variaveis'!J92:J95))</f>
        <v/>
      </c>
      <c r="C90" s="15" t="str">
        <f>IFERROR(IF($B90="","",AVERAGE('Catalogo de Variaveis'!J95-'Catalogo de Variaveis'!J94,'Catalogo de Variaveis'!J94-'Catalogo de Variaveis'!J93,'Catalogo de Variaveis'!J93-'Catalogo de Variaveis'!J92,'Catalogo de Variaveis'!J92-'Catalogo de Variaveis'!J91)),0)</f>
        <v/>
      </c>
      <c r="D90" s="13" t="str">
        <f t="shared" si="18"/>
        <v/>
      </c>
      <c r="E90" s="10" t="str">
        <f t="shared" si="14"/>
        <v/>
      </c>
      <c r="F90" s="10" t="str">
        <f t="shared" si="15"/>
        <v/>
      </c>
      <c r="G90" s="10" t="str">
        <f t="shared" si="19"/>
        <v/>
      </c>
      <c r="H90" s="10" t="str">
        <f t="shared" si="16"/>
        <v/>
      </c>
      <c r="I90" s="10" t="str">
        <f t="shared" si="20"/>
        <v/>
      </c>
      <c r="J90" s="14" t="str">
        <f t="shared" si="17"/>
        <v/>
      </c>
      <c r="K90" s="13" t="str">
        <f t="shared" si="21"/>
        <v/>
      </c>
      <c r="L90" s="10" t="str">
        <f t="shared" si="22"/>
        <v/>
      </c>
      <c r="M90" s="10" t="str">
        <f t="shared" si="23"/>
        <v/>
      </c>
      <c r="N90" s="10" t="str">
        <f t="shared" si="24"/>
        <v/>
      </c>
      <c r="O90" s="10" t="str">
        <f t="shared" si="25"/>
        <v/>
      </c>
      <c r="P90" s="10" t="str">
        <f t="shared" si="26"/>
        <v/>
      </c>
      <c r="Q90" s="14" t="str">
        <f t="shared" si="27"/>
        <v/>
      </c>
    </row>
    <row r="91" spans="1:17" x14ac:dyDescent="0.25">
      <c r="A91" s="4">
        <v>47300</v>
      </c>
      <c r="B91" s="5" t="str">
        <f>IF('Catalogo de Variaveis'!J96="","",SUM('Catalogo de Variaveis'!J93:J96))</f>
        <v/>
      </c>
      <c r="C91" s="15" t="str">
        <f>IFERROR(IF($B91="","",AVERAGE('Catalogo de Variaveis'!J96-'Catalogo de Variaveis'!J95,'Catalogo de Variaveis'!J95-'Catalogo de Variaveis'!J94,'Catalogo de Variaveis'!J94-'Catalogo de Variaveis'!J93,'Catalogo de Variaveis'!J93-'Catalogo de Variaveis'!J92)),0)</f>
        <v/>
      </c>
      <c r="D91" s="13" t="str">
        <f t="shared" si="18"/>
        <v/>
      </c>
      <c r="E91" s="10" t="str">
        <f t="shared" si="14"/>
        <v/>
      </c>
      <c r="F91" s="10" t="str">
        <f t="shared" si="15"/>
        <v/>
      </c>
      <c r="G91" s="10" t="str">
        <f t="shared" si="19"/>
        <v/>
      </c>
      <c r="H91" s="10" t="str">
        <f t="shared" si="16"/>
        <v/>
      </c>
      <c r="I91" s="10" t="str">
        <f t="shared" si="20"/>
        <v/>
      </c>
      <c r="J91" s="14" t="str">
        <f t="shared" si="17"/>
        <v/>
      </c>
      <c r="K91" s="13" t="str">
        <f t="shared" si="21"/>
        <v/>
      </c>
      <c r="L91" s="10" t="str">
        <f t="shared" si="22"/>
        <v/>
      </c>
      <c r="M91" s="10" t="str">
        <f t="shared" si="23"/>
        <v/>
      </c>
      <c r="N91" s="10" t="str">
        <f t="shared" si="24"/>
        <v/>
      </c>
      <c r="O91" s="10" t="str">
        <f t="shared" si="25"/>
        <v/>
      </c>
      <c r="P91" s="10" t="str">
        <f t="shared" si="26"/>
        <v/>
      </c>
      <c r="Q91" s="14" t="str">
        <f t="shared" si="27"/>
        <v/>
      </c>
    </row>
    <row r="92" spans="1:17" x14ac:dyDescent="0.25">
      <c r="A92" s="4">
        <v>47331</v>
      </c>
      <c r="B92" s="5" t="str">
        <f>IF('Catalogo de Variaveis'!J97="","",SUM('Catalogo de Variaveis'!J94:J97))</f>
        <v/>
      </c>
      <c r="C92" s="15" t="str">
        <f>IFERROR(IF($B92="","",AVERAGE('Catalogo de Variaveis'!J97-'Catalogo de Variaveis'!J96,'Catalogo de Variaveis'!J96-'Catalogo de Variaveis'!J95,'Catalogo de Variaveis'!J95-'Catalogo de Variaveis'!J94,'Catalogo de Variaveis'!J94-'Catalogo de Variaveis'!J93)),0)</f>
        <v/>
      </c>
      <c r="D92" s="13" t="str">
        <f t="shared" si="18"/>
        <v/>
      </c>
      <c r="E92" s="10" t="str">
        <f t="shared" si="14"/>
        <v/>
      </c>
      <c r="F92" s="10" t="str">
        <f t="shared" si="15"/>
        <v/>
      </c>
      <c r="G92" s="10" t="str">
        <f t="shared" si="19"/>
        <v/>
      </c>
      <c r="H92" s="10" t="str">
        <f t="shared" si="16"/>
        <v/>
      </c>
      <c r="I92" s="10" t="str">
        <f t="shared" si="20"/>
        <v/>
      </c>
      <c r="J92" s="14" t="str">
        <f t="shared" si="17"/>
        <v/>
      </c>
      <c r="K92" s="13" t="str">
        <f t="shared" si="21"/>
        <v/>
      </c>
      <c r="L92" s="10" t="str">
        <f t="shared" si="22"/>
        <v/>
      </c>
      <c r="M92" s="10" t="str">
        <f t="shared" si="23"/>
        <v/>
      </c>
      <c r="N92" s="10" t="str">
        <f t="shared" si="24"/>
        <v/>
      </c>
      <c r="O92" s="10" t="str">
        <f t="shared" si="25"/>
        <v/>
      </c>
      <c r="P92" s="10" t="str">
        <f t="shared" si="26"/>
        <v/>
      </c>
      <c r="Q92" s="14" t="str">
        <f t="shared" si="27"/>
        <v/>
      </c>
    </row>
    <row r="93" spans="1:17" x14ac:dyDescent="0.25">
      <c r="A93" s="4">
        <v>47362</v>
      </c>
      <c r="B93" s="5" t="str">
        <f>IF('Catalogo de Variaveis'!J98="","",SUM('Catalogo de Variaveis'!J95:J98))</f>
        <v/>
      </c>
      <c r="C93" s="15" t="str">
        <f>IFERROR(IF($B93="","",AVERAGE('Catalogo de Variaveis'!J98-'Catalogo de Variaveis'!J97,'Catalogo de Variaveis'!J97-'Catalogo de Variaveis'!J96,'Catalogo de Variaveis'!J96-'Catalogo de Variaveis'!J95,'Catalogo de Variaveis'!J95-'Catalogo de Variaveis'!J94)),0)</f>
        <v/>
      </c>
      <c r="D93" s="13" t="str">
        <f t="shared" si="18"/>
        <v/>
      </c>
      <c r="E93" s="10" t="str">
        <f t="shared" si="14"/>
        <v/>
      </c>
      <c r="F93" s="10" t="str">
        <f t="shared" si="15"/>
        <v/>
      </c>
      <c r="G93" s="10" t="str">
        <f t="shared" si="19"/>
        <v/>
      </c>
      <c r="H93" s="10" t="str">
        <f t="shared" si="16"/>
        <v/>
      </c>
      <c r="I93" s="10" t="str">
        <f t="shared" si="20"/>
        <v/>
      </c>
      <c r="J93" s="14" t="str">
        <f t="shared" si="17"/>
        <v/>
      </c>
      <c r="K93" s="13" t="str">
        <f t="shared" si="21"/>
        <v/>
      </c>
      <c r="L93" s="10" t="str">
        <f t="shared" si="22"/>
        <v/>
      </c>
      <c r="M93" s="10" t="str">
        <f t="shared" si="23"/>
        <v/>
      </c>
      <c r="N93" s="10" t="str">
        <f t="shared" si="24"/>
        <v/>
      </c>
      <c r="O93" s="10" t="str">
        <f t="shared" si="25"/>
        <v/>
      </c>
      <c r="P93" s="10" t="str">
        <f t="shared" si="26"/>
        <v/>
      </c>
      <c r="Q93" s="14" t="str">
        <f t="shared" si="27"/>
        <v/>
      </c>
    </row>
    <row r="94" spans="1:17" x14ac:dyDescent="0.25">
      <c r="A94" s="4">
        <v>47392</v>
      </c>
      <c r="B94" s="5" t="str">
        <f>IF('Catalogo de Variaveis'!J99="","",SUM('Catalogo de Variaveis'!J96:J99))</f>
        <v/>
      </c>
      <c r="C94" s="15" t="str">
        <f>IFERROR(IF($B94="","",AVERAGE('Catalogo de Variaveis'!J99-'Catalogo de Variaveis'!J98,'Catalogo de Variaveis'!J98-'Catalogo de Variaveis'!J97,'Catalogo de Variaveis'!J97-'Catalogo de Variaveis'!J96,'Catalogo de Variaveis'!J96-'Catalogo de Variaveis'!J95)),0)</f>
        <v/>
      </c>
      <c r="D94" s="13" t="str">
        <f t="shared" si="18"/>
        <v/>
      </c>
      <c r="E94" s="10" t="str">
        <f t="shared" si="14"/>
        <v/>
      </c>
      <c r="F94" s="10" t="str">
        <f t="shared" si="15"/>
        <v/>
      </c>
      <c r="G94" s="10" t="str">
        <f t="shared" si="19"/>
        <v/>
      </c>
      <c r="H94" s="10" t="str">
        <f t="shared" si="16"/>
        <v/>
      </c>
      <c r="I94" s="10" t="str">
        <f t="shared" si="20"/>
        <v/>
      </c>
      <c r="J94" s="14" t="str">
        <f t="shared" si="17"/>
        <v/>
      </c>
      <c r="K94" s="13" t="str">
        <f t="shared" si="21"/>
        <v/>
      </c>
      <c r="L94" s="10" t="str">
        <f t="shared" si="22"/>
        <v/>
      </c>
      <c r="M94" s="10" t="str">
        <f t="shared" si="23"/>
        <v/>
      </c>
      <c r="N94" s="10" t="str">
        <f t="shared" si="24"/>
        <v/>
      </c>
      <c r="O94" s="10" t="str">
        <f t="shared" si="25"/>
        <v/>
      </c>
      <c r="P94" s="10" t="str">
        <f t="shared" si="26"/>
        <v/>
      </c>
      <c r="Q94" s="14" t="str">
        <f t="shared" si="27"/>
        <v/>
      </c>
    </row>
    <row r="95" spans="1:17" x14ac:dyDescent="0.25">
      <c r="A95" s="4">
        <v>47423</v>
      </c>
      <c r="B95" s="5" t="str">
        <f>IF('Catalogo de Variaveis'!J100="","",SUM('Catalogo de Variaveis'!J97:J100))</f>
        <v/>
      </c>
      <c r="C95" s="15" t="str">
        <f>IFERROR(IF($B95="","",AVERAGE('Catalogo de Variaveis'!J100-'Catalogo de Variaveis'!J99,'Catalogo de Variaveis'!J99-'Catalogo de Variaveis'!J98,'Catalogo de Variaveis'!J98-'Catalogo de Variaveis'!J97,'Catalogo de Variaveis'!J97-'Catalogo de Variaveis'!J96)),0)</f>
        <v/>
      </c>
      <c r="D95" s="13" t="str">
        <f t="shared" si="18"/>
        <v/>
      </c>
      <c r="E95" s="10" t="str">
        <f t="shared" ref="E95:E96" si="28">IF($B95="","",IF(OR($J$1="",$J$2=""),$B$1-2*$B$2,$J$1-2*$J$2))</f>
        <v/>
      </c>
      <c r="F95" s="10" t="str">
        <f t="shared" ref="F95:F96" si="29">IF($B95="","",IF(OR($J$1="",$J$2=""),$B$1-$B$2,$J$1-$J$2))</f>
        <v/>
      </c>
      <c r="G95" s="10" t="str">
        <f t="shared" si="19"/>
        <v/>
      </c>
      <c r="H95" s="10" t="str">
        <f t="shared" ref="H95:H96" si="30">IF($B95="","",IF(OR($J$1="",$J$2=""),$B$1+$B$2,$J$1+$J$2))</f>
        <v/>
      </c>
      <c r="I95" s="10" t="str">
        <f t="shared" si="20"/>
        <v/>
      </c>
      <c r="J95" s="14" t="str">
        <f t="shared" ref="J95:J96" si="31">IF($B95="","",IF(OR($J$1="",$J$2=""),$B$1+3*$B$2,$J$1+3*$J$2))</f>
        <v/>
      </c>
      <c r="K95" s="13" t="str">
        <f t="shared" si="21"/>
        <v/>
      </c>
      <c r="L95" s="10" t="str">
        <f t="shared" si="22"/>
        <v/>
      </c>
      <c r="M95" s="10" t="str">
        <f t="shared" si="23"/>
        <v/>
      </c>
      <c r="N95" s="10" t="str">
        <f t="shared" si="24"/>
        <v/>
      </c>
      <c r="O95" s="10" t="str">
        <f t="shared" si="25"/>
        <v/>
      </c>
      <c r="P95" s="10" t="str">
        <f t="shared" si="26"/>
        <v/>
      </c>
      <c r="Q95" s="14" t="str">
        <f t="shared" si="27"/>
        <v/>
      </c>
    </row>
    <row r="96" spans="1:17" x14ac:dyDescent="0.25">
      <c r="A96" s="4">
        <v>47453</v>
      </c>
      <c r="B96" s="5" t="str">
        <f>IF('Catalogo de Variaveis'!J101="","",SUM('Catalogo de Variaveis'!J98:J101))</f>
        <v/>
      </c>
      <c r="C96" s="15" t="str">
        <f>IFERROR(IF($B96="","",AVERAGE('Catalogo de Variaveis'!J101-'Catalogo de Variaveis'!J100,'Catalogo de Variaveis'!J100-'Catalogo de Variaveis'!J99,'Catalogo de Variaveis'!J99-'Catalogo de Variaveis'!J98,'Catalogo de Variaveis'!J98-'Catalogo de Variaveis'!J97)),0)</f>
        <v/>
      </c>
      <c r="D96" s="13" t="str">
        <f t="shared" si="18"/>
        <v/>
      </c>
      <c r="E96" s="10" t="str">
        <f t="shared" si="28"/>
        <v/>
      </c>
      <c r="F96" s="10" t="str">
        <f t="shared" si="29"/>
        <v/>
      </c>
      <c r="G96" s="10" t="str">
        <f t="shared" si="19"/>
        <v/>
      </c>
      <c r="H96" s="10" t="str">
        <f t="shared" si="30"/>
        <v/>
      </c>
      <c r="I96" s="10" t="str">
        <f t="shared" si="20"/>
        <v/>
      </c>
      <c r="J96" s="14" t="str">
        <f t="shared" si="31"/>
        <v/>
      </c>
      <c r="K96" s="13" t="str">
        <f t="shared" si="21"/>
        <v/>
      </c>
      <c r="L96" s="10" t="str">
        <f t="shared" si="22"/>
        <v/>
      </c>
      <c r="M96" s="10" t="str">
        <f t="shared" si="23"/>
        <v/>
      </c>
      <c r="N96" s="10" t="str">
        <f t="shared" si="24"/>
        <v/>
      </c>
      <c r="O96" s="10" t="str">
        <f t="shared" si="25"/>
        <v/>
      </c>
      <c r="P96" s="10" t="str">
        <f t="shared" si="26"/>
        <v/>
      </c>
      <c r="Q96" s="14" t="str">
        <f t="shared" si="27"/>
        <v/>
      </c>
    </row>
  </sheetData>
  <mergeCells count="4">
    <mergeCell ref="A5:Q6"/>
    <mergeCell ref="A7:C7"/>
    <mergeCell ref="D7:J7"/>
    <mergeCell ref="K7:Q7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86B0-2665-41D6-9CD6-CE5973019FF0}">
  <dimension ref="A1:Q60"/>
  <sheetViews>
    <sheetView topLeftCell="A5" zoomScale="161" zoomScaleNormal="161" workbookViewId="0">
      <selection activeCell="A9" sqref="A9"/>
    </sheetView>
  </sheetViews>
  <sheetFormatPr defaultRowHeight="15" x14ac:dyDescent="0.25"/>
  <cols>
    <col min="1" max="1" width="13.85546875" style="2" bestFit="1" customWidth="1"/>
    <col min="2" max="3" width="10.7109375" customWidth="1"/>
  </cols>
  <sheetData>
    <row r="1" spans="1:17" hidden="1" x14ac:dyDescent="0.25">
      <c r="A1" s="7" t="s">
        <v>0</v>
      </c>
      <c r="B1" s="9">
        <f>AVERAGE(B9:B1048576)</f>
        <v>52.142857142857146</v>
      </c>
      <c r="C1" s="9">
        <f>AVERAGE(C9:C1048576)</f>
        <v>9</v>
      </c>
      <c r="I1" s="7" t="s">
        <v>25</v>
      </c>
      <c r="J1" s="16" t="str">
        <f>IF(LME="","",LME)</f>
        <v/>
      </c>
    </row>
    <row r="2" spans="1:17" hidden="1" x14ac:dyDescent="0.25">
      <c r="A2" s="7" t="s">
        <v>1</v>
      </c>
      <c r="B2" s="9">
        <f>_xlfn.STDEV.S(B9:B1048576)</f>
        <v>52.148597205257502</v>
      </c>
      <c r="C2" s="9">
        <f>_xlfn.STDEV.S(C9:C1048576)</f>
        <v>76.221169412878126</v>
      </c>
      <c r="I2" s="7" t="s">
        <v>26</v>
      </c>
      <c r="J2" s="16" t="str">
        <f>IF(VME="","",VME/3)</f>
        <v/>
      </c>
    </row>
    <row r="3" spans="1:17" hidden="1" x14ac:dyDescent="0.25">
      <c r="A3" s="7" t="s">
        <v>2</v>
      </c>
      <c r="B3" s="9">
        <f>MAX(B9:B1048576)</f>
        <v>124</v>
      </c>
      <c r="C3" s="9">
        <f>MAX(C9:C1048576)</f>
        <v>124</v>
      </c>
    </row>
    <row r="4" spans="1:17" hidden="1" x14ac:dyDescent="0.25">
      <c r="A4" s="7" t="s">
        <v>3</v>
      </c>
      <c r="B4" s="9">
        <f>MIN(B9:B1048576)</f>
        <v>0</v>
      </c>
      <c r="C4" s="9">
        <f>MIN(C9:C1048576)</f>
        <v>-98</v>
      </c>
    </row>
    <row r="5" spans="1:17" ht="15" customHeight="1" x14ac:dyDescent="0.25">
      <c r="A5" s="22" t="s">
        <v>44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 t="s">
        <v>45</v>
      </c>
      <c r="B9" s="5">
        <f>IF(A9="","",SUMIFS('Catalogo de Variaveis'!$M$5:$M$1048576,'Catalogo de Variaveis'!$A$5:$A$1048576,LEFT(A9,4),'Catalogo de Variaveis'!$D$5:$D$1048576,RIGHT(A9,1)))</f>
        <v>0</v>
      </c>
      <c r="C9" s="19">
        <f>IFERROR(IF(A9="","",B9-B8),0)</f>
        <v>0</v>
      </c>
      <c r="D9" s="13"/>
      <c r="E9" s="10"/>
      <c r="F9" s="10"/>
      <c r="G9" s="10"/>
      <c r="H9" s="10"/>
      <c r="I9" s="10"/>
      <c r="J9" s="14"/>
      <c r="K9" s="13"/>
      <c r="L9" s="10"/>
      <c r="M9" s="10"/>
      <c r="N9" s="10"/>
      <c r="O9" s="10"/>
      <c r="P9" s="10"/>
      <c r="Q9" s="14"/>
    </row>
    <row r="10" spans="1:17" x14ac:dyDescent="0.25">
      <c r="A10" s="4" t="s">
        <v>46</v>
      </c>
      <c r="B10" s="5">
        <f>IF(A10="","",SUMIFS('Catalogo de Variaveis'!$M$5:$M$1048576,'Catalogo de Variaveis'!$A$5:$A$1048576,LEFT(A10,4),'Catalogo de Variaveis'!$D$5:$D$1048576,RIGHT(A10,1)))</f>
        <v>80</v>
      </c>
      <c r="C10" s="19">
        <f t="shared" ref="C10:C60" si="0">IFERROR(IF(A10="","",B10-B9),0)</f>
        <v>80</v>
      </c>
      <c r="D10" s="13"/>
      <c r="E10" s="10"/>
      <c r="F10" s="10"/>
      <c r="G10" s="10"/>
      <c r="H10" s="10"/>
      <c r="I10" s="10"/>
      <c r="J10" s="14"/>
      <c r="K10" s="13"/>
      <c r="L10" s="10"/>
      <c r="M10" s="10"/>
      <c r="N10" s="10"/>
      <c r="O10" s="10"/>
      <c r="P10" s="10"/>
      <c r="Q10" s="14"/>
    </row>
    <row r="11" spans="1:17" x14ac:dyDescent="0.25">
      <c r="A11" s="4" t="s">
        <v>47</v>
      </c>
      <c r="B11" s="5">
        <f>IF(A11="","",SUMIFS('Catalogo de Variaveis'!$M$5:$M$1048576,'Catalogo de Variaveis'!$A$5:$A$1048576,LEFT(A11,4),'Catalogo de Variaveis'!$D$5:$D$1048576,RIGHT(A11,1)))</f>
        <v>98</v>
      </c>
      <c r="C11" s="19">
        <f t="shared" si="0"/>
        <v>18</v>
      </c>
      <c r="D11" s="13"/>
      <c r="E11" s="10"/>
      <c r="F11" s="10"/>
      <c r="G11" s="10"/>
      <c r="H11" s="10"/>
      <c r="I11" s="10"/>
      <c r="J11" s="14"/>
      <c r="K11" s="13"/>
      <c r="L11" s="10"/>
      <c r="M11" s="10"/>
      <c r="N11" s="10"/>
      <c r="O11" s="10"/>
      <c r="P11" s="10"/>
      <c r="Q11" s="14"/>
    </row>
    <row r="12" spans="1:17" x14ac:dyDescent="0.25">
      <c r="A12" s="4" t="s">
        <v>48</v>
      </c>
      <c r="B12" s="5">
        <f>IF(A12="","",SUMIFS('Catalogo de Variaveis'!$M$5:$M$1048576,'Catalogo de Variaveis'!$A$5:$A$1048576,LEFT(A12,4),'Catalogo de Variaveis'!$D$5:$D$1048576,RIGHT(A12,1)))</f>
        <v>0</v>
      </c>
      <c r="C12" s="19">
        <f t="shared" si="0"/>
        <v>-98</v>
      </c>
      <c r="D12" s="13"/>
      <c r="E12" s="10"/>
      <c r="F12" s="10"/>
      <c r="G12" s="10"/>
      <c r="H12" s="10"/>
      <c r="I12" s="10"/>
      <c r="J12" s="14"/>
      <c r="K12" s="13"/>
      <c r="L12" s="10"/>
      <c r="M12" s="10"/>
      <c r="N12" s="10"/>
      <c r="O12" s="10"/>
      <c r="P12" s="10"/>
      <c r="Q12" s="14"/>
    </row>
    <row r="13" spans="1:17" x14ac:dyDescent="0.25">
      <c r="A13" s="4" t="s">
        <v>49</v>
      </c>
      <c r="B13" s="5">
        <f>IF(A13="","",SUMIFS('Catalogo de Variaveis'!$M$5:$M$1048576,'Catalogo de Variaveis'!$A$5:$A$1048576,LEFT(A13,4),'Catalogo de Variaveis'!$D$5:$D$1048576,RIGHT(A13,1)))</f>
        <v>0</v>
      </c>
      <c r="C13" s="19">
        <f t="shared" si="0"/>
        <v>0</v>
      </c>
      <c r="D13" s="13"/>
      <c r="E13" s="10"/>
      <c r="F13" s="10"/>
      <c r="G13" s="10"/>
      <c r="H13" s="10"/>
      <c r="I13" s="10"/>
      <c r="J13" s="14"/>
      <c r="K13" s="13"/>
      <c r="L13" s="10"/>
      <c r="M13" s="10"/>
      <c r="N13" s="10"/>
      <c r="O13" s="10"/>
      <c r="P13" s="10"/>
      <c r="Q13" s="14"/>
    </row>
    <row r="14" spans="1:17" x14ac:dyDescent="0.25">
      <c r="A14" s="4" t="s">
        <v>50</v>
      </c>
      <c r="B14" s="5">
        <f>IF(A14="","",SUMIFS('Catalogo de Variaveis'!$M$5:$M$1048576,'Catalogo de Variaveis'!$A$5:$A$1048576,LEFT(A14,4),'Catalogo de Variaveis'!$D$5:$D$1048576,RIGHT(A14,1)))</f>
        <v>124</v>
      </c>
      <c r="C14" s="19">
        <f t="shared" si="0"/>
        <v>124</v>
      </c>
      <c r="D14" s="13"/>
      <c r="E14" s="10"/>
      <c r="F14" s="10"/>
      <c r="G14" s="10"/>
      <c r="H14" s="10"/>
      <c r="I14" s="10"/>
      <c r="J14" s="14"/>
      <c r="K14" s="13"/>
      <c r="L14" s="10"/>
      <c r="M14" s="10"/>
      <c r="N14" s="10"/>
      <c r="O14" s="10"/>
      <c r="P14" s="10"/>
      <c r="Q14" s="14"/>
    </row>
    <row r="15" spans="1:17" x14ac:dyDescent="0.25">
      <c r="A15" s="4" t="s">
        <v>51</v>
      </c>
      <c r="B15" s="5">
        <f>IF(A15="","",SUMIFS('Catalogo de Variaveis'!$M$5:$M$1048576,'Catalogo de Variaveis'!$A$5:$A$1048576,LEFT(A15,4),'Catalogo de Variaveis'!$D$5:$D$1048576,RIGHT(A15,1)))</f>
        <v>63</v>
      </c>
      <c r="C15" s="19">
        <f t="shared" si="0"/>
        <v>-61</v>
      </c>
      <c r="D15" s="13"/>
      <c r="E15" s="10"/>
      <c r="F15" s="10"/>
      <c r="G15" s="10"/>
      <c r="H15" s="10"/>
      <c r="I15" s="10"/>
      <c r="J15" s="14"/>
      <c r="K15" s="13"/>
      <c r="L15" s="10"/>
      <c r="M15" s="10"/>
      <c r="N15" s="10"/>
      <c r="O15" s="10"/>
      <c r="P15" s="10"/>
      <c r="Q15" s="14"/>
    </row>
    <row r="16" spans="1:17" x14ac:dyDescent="0.25">
      <c r="A16" s="4"/>
      <c r="B16" s="5" t="str">
        <f>IF(A16="","",SUMIFS('Catalogo de Variaveis'!$M$5:$M$1048576,'Catalogo de Variaveis'!$A$5:$A$1048576,LEFT(A16,4),'Catalogo de Variaveis'!$D$5:$D$1048576,RIGHT(A16,1)))</f>
        <v/>
      </c>
      <c r="C16" s="19" t="str">
        <f t="shared" si="0"/>
        <v/>
      </c>
      <c r="D16" s="13"/>
      <c r="E16" s="10"/>
      <c r="F16" s="10"/>
      <c r="G16" s="10"/>
      <c r="H16" s="10"/>
      <c r="I16" s="10"/>
      <c r="J16" s="14"/>
      <c r="K16" s="13"/>
      <c r="L16" s="10"/>
      <c r="M16" s="10"/>
      <c r="N16" s="10"/>
      <c r="O16" s="10"/>
      <c r="P16" s="10"/>
      <c r="Q16" s="14"/>
    </row>
    <row r="17" spans="1:17" x14ac:dyDescent="0.25">
      <c r="A17" s="4"/>
      <c r="B17" s="5" t="str">
        <f>IF(A17="","",SUMIFS('Catalogo de Variaveis'!$M$5:$M$1048576,'Catalogo de Variaveis'!$A$5:$A$1048576,LEFT(A17,4),'Catalogo de Variaveis'!$D$5:$D$1048576,RIGHT(A17,1)))</f>
        <v/>
      </c>
      <c r="C17" s="19" t="str">
        <f t="shared" si="0"/>
        <v/>
      </c>
      <c r="D17" s="13"/>
      <c r="E17" s="10"/>
      <c r="F17" s="10"/>
      <c r="G17" s="10"/>
      <c r="H17" s="10"/>
      <c r="I17" s="10"/>
      <c r="J17" s="14"/>
      <c r="K17" s="13"/>
      <c r="L17" s="10"/>
      <c r="M17" s="10"/>
      <c r="N17" s="10"/>
      <c r="O17" s="10"/>
      <c r="P17" s="10"/>
      <c r="Q17" s="14"/>
    </row>
    <row r="18" spans="1:17" x14ac:dyDescent="0.25">
      <c r="A18" s="4"/>
      <c r="B18" s="5" t="str">
        <f>IF(A18="","",SUMIFS('Catalogo de Variaveis'!$M$5:$M$1048576,'Catalogo de Variaveis'!$A$5:$A$1048576,LEFT(A18,4),'Catalogo de Variaveis'!$D$5:$D$1048576,RIGHT(A18,1)))</f>
        <v/>
      </c>
      <c r="C18" s="19" t="str">
        <f t="shared" si="0"/>
        <v/>
      </c>
      <c r="D18" s="13"/>
      <c r="E18" s="10"/>
      <c r="F18" s="10"/>
      <c r="G18" s="10"/>
      <c r="H18" s="10"/>
      <c r="I18" s="10"/>
      <c r="J18" s="14"/>
      <c r="K18" s="13"/>
      <c r="L18" s="10"/>
      <c r="M18" s="10"/>
      <c r="N18" s="10"/>
      <c r="O18" s="10"/>
      <c r="P18" s="10"/>
      <c r="Q18" s="14"/>
    </row>
    <row r="19" spans="1:17" x14ac:dyDescent="0.25">
      <c r="A19" s="4"/>
      <c r="B19" s="5" t="str">
        <f>IF(A19="","",SUMIFS('Catalogo de Variaveis'!$M$5:$M$1048576,'Catalogo de Variaveis'!$A$5:$A$1048576,LEFT(A19,4),'Catalogo de Variaveis'!$D$5:$D$1048576,RIGHT(A19,1)))</f>
        <v/>
      </c>
      <c r="C19" s="19" t="str">
        <f t="shared" si="0"/>
        <v/>
      </c>
      <c r="D19" s="13"/>
      <c r="E19" s="10"/>
      <c r="F19" s="10"/>
      <c r="G19" s="10"/>
      <c r="H19" s="10"/>
      <c r="I19" s="10"/>
      <c r="J19" s="14"/>
      <c r="K19" s="13"/>
      <c r="L19" s="10"/>
      <c r="M19" s="10"/>
      <c r="N19" s="10"/>
      <c r="O19" s="10"/>
      <c r="P19" s="10"/>
      <c r="Q19" s="14"/>
    </row>
    <row r="20" spans="1:17" x14ac:dyDescent="0.25">
      <c r="A20" s="4"/>
      <c r="B20" s="5" t="str">
        <f>IF(A20="","",SUMIFS('Catalogo de Variaveis'!$M$5:$M$1048576,'Catalogo de Variaveis'!$A$5:$A$1048576,LEFT(A20,4),'Catalogo de Variaveis'!$D$5:$D$1048576,RIGHT(A20,1)))</f>
        <v/>
      </c>
      <c r="C20" s="19" t="str">
        <f t="shared" si="0"/>
        <v/>
      </c>
      <c r="D20" s="13"/>
      <c r="E20" s="10"/>
      <c r="F20" s="10"/>
      <c r="G20" s="10"/>
      <c r="H20" s="10"/>
      <c r="I20" s="10"/>
      <c r="J20" s="14"/>
      <c r="K20" s="13"/>
      <c r="L20" s="10"/>
      <c r="M20" s="10"/>
      <c r="N20" s="10"/>
      <c r="O20" s="10"/>
      <c r="P20" s="10"/>
      <c r="Q20" s="14"/>
    </row>
    <row r="21" spans="1:17" x14ac:dyDescent="0.25">
      <c r="A21" s="4"/>
      <c r="B21" s="5" t="str">
        <f>IF(A21="","",SUMIFS('Catalogo de Variaveis'!$M$5:$M$1048576,'Catalogo de Variaveis'!$A$5:$A$1048576,LEFT(A21,4),'Catalogo de Variaveis'!$D$5:$D$1048576,RIGHT(A21,1)))</f>
        <v/>
      </c>
      <c r="C21" s="19" t="str">
        <f t="shared" si="0"/>
        <v/>
      </c>
      <c r="D21" s="13"/>
      <c r="E21" s="10"/>
      <c r="F21" s="10"/>
      <c r="G21" s="10"/>
      <c r="H21" s="10"/>
      <c r="I21" s="10"/>
      <c r="J21" s="14"/>
      <c r="K21" s="13"/>
      <c r="L21" s="10"/>
      <c r="M21" s="10"/>
      <c r="N21" s="10"/>
      <c r="O21" s="10"/>
      <c r="P21" s="10"/>
      <c r="Q21" s="14"/>
    </row>
    <row r="22" spans="1:17" x14ac:dyDescent="0.25">
      <c r="A22" s="4"/>
      <c r="B22" s="5" t="str">
        <f>IF(A22="","",SUMIFS('Catalogo de Variaveis'!$M$5:$M$1048576,'Catalogo de Variaveis'!$A$5:$A$1048576,LEFT(A22,4),'Catalogo de Variaveis'!$D$5:$D$1048576,RIGHT(A22,1)))</f>
        <v/>
      </c>
      <c r="C22" s="19" t="str">
        <f t="shared" si="0"/>
        <v/>
      </c>
      <c r="D22" s="13"/>
      <c r="E22" s="10"/>
      <c r="F22" s="10"/>
      <c r="G22" s="10"/>
      <c r="H22" s="10"/>
      <c r="I22" s="10"/>
      <c r="J22" s="14"/>
      <c r="K22" s="13"/>
      <c r="L22" s="10"/>
      <c r="M22" s="10"/>
      <c r="N22" s="10"/>
      <c r="O22" s="10"/>
      <c r="P22" s="10"/>
      <c r="Q22" s="14"/>
    </row>
    <row r="23" spans="1:17" x14ac:dyDescent="0.25">
      <c r="A23" s="4"/>
      <c r="B23" s="5" t="str">
        <f>IF(A23="","",SUMIFS('Catalogo de Variaveis'!$M$5:$M$1048576,'Catalogo de Variaveis'!$A$5:$A$1048576,LEFT(A23,4),'Catalogo de Variaveis'!$D$5:$D$1048576,RIGHT(A23,1)))</f>
        <v/>
      </c>
      <c r="C23" s="19" t="str">
        <f t="shared" si="0"/>
        <v/>
      </c>
      <c r="D23" s="13"/>
      <c r="E23" s="10"/>
      <c r="F23" s="10"/>
      <c r="G23" s="10"/>
      <c r="H23" s="10"/>
      <c r="I23" s="10"/>
      <c r="J23" s="14"/>
      <c r="K23" s="13"/>
      <c r="L23" s="10"/>
      <c r="M23" s="10"/>
      <c r="N23" s="10"/>
      <c r="O23" s="10"/>
      <c r="P23" s="10"/>
      <c r="Q23" s="14"/>
    </row>
    <row r="24" spans="1:17" x14ac:dyDescent="0.25">
      <c r="A24" s="4"/>
      <c r="B24" s="5" t="str">
        <f>IF(A24="","",SUMIFS('Catalogo de Variaveis'!$M$5:$M$1048576,'Catalogo de Variaveis'!$A$5:$A$1048576,LEFT(A24,4),'Catalogo de Variaveis'!$D$5:$D$1048576,RIGHT(A24,1)))</f>
        <v/>
      </c>
      <c r="C24" s="19" t="str">
        <f t="shared" si="0"/>
        <v/>
      </c>
      <c r="D24" s="13"/>
      <c r="E24" s="10"/>
      <c r="F24" s="10"/>
      <c r="G24" s="10"/>
      <c r="H24" s="10"/>
      <c r="I24" s="10"/>
      <c r="J24" s="14"/>
      <c r="K24" s="13"/>
      <c r="L24" s="10"/>
      <c r="M24" s="10"/>
      <c r="N24" s="10"/>
      <c r="O24" s="10"/>
      <c r="P24" s="10"/>
      <c r="Q24" s="14"/>
    </row>
    <row r="25" spans="1:17" x14ac:dyDescent="0.25">
      <c r="A25" s="4"/>
      <c r="B25" s="5" t="str">
        <f>IF(A25="","",SUMIFS('Catalogo de Variaveis'!$M$5:$M$1048576,'Catalogo de Variaveis'!$A$5:$A$1048576,LEFT(A25,4),'Catalogo de Variaveis'!$D$5:$D$1048576,RIGHT(A25,1)))</f>
        <v/>
      </c>
      <c r="C25" s="19" t="str">
        <f t="shared" si="0"/>
        <v/>
      </c>
      <c r="D25" s="13"/>
      <c r="E25" s="10"/>
      <c r="F25" s="10"/>
      <c r="G25" s="10"/>
      <c r="H25" s="10"/>
      <c r="I25" s="10"/>
      <c r="J25" s="14"/>
      <c r="K25" s="13"/>
      <c r="L25" s="10"/>
      <c r="M25" s="10"/>
      <c r="N25" s="10"/>
      <c r="O25" s="10"/>
      <c r="P25" s="10"/>
      <c r="Q25" s="14"/>
    </row>
    <row r="26" spans="1:17" x14ac:dyDescent="0.25">
      <c r="A26" s="4"/>
      <c r="B26" s="5" t="str">
        <f>IF(A26="","",SUMIFS('Catalogo de Variaveis'!$M$5:$M$1048576,'Catalogo de Variaveis'!$A$5:$A$1048576,LEFT(A26,4),'Catalogo de Variaveis'!$D$5:$D$1048576,RIGHT(A26,1)))</f>
        <v/>
      </c>
      <c r="C26" s="19" t="str">
        <f t="shared" si="0"/>
        <v/>
      </c>
      <c r="D26" s="13"/>
      <c r="E26" s="10"/>
      <c r="F26" s="10"/>
      <c r="G26" s="10"/>
      <c r="H26" s="10"/>
      <c r="I26" s="10"/>
      <c r="J26" s="14"/>
      <c r="K26" s="13"/>
      <c r="L26" s="10"/>
      <c r="M26" s="10"/>
      <c r="N26" s="10"/>
      <c r="O26" s="10"/>
      <c r="P26" s="10"/>
      <c r="Q26" s="14"/>
    </row>
    <row r="27" spans="1:17" x14ac:dyDescent="0.25">
      <c r="A27" s="4"/>
      <c r="B27" s="5" t="str">
        <f>IF(A27="","",SUMIFS('Catalogo de Variaveis'!$M$5:$M$1048576,'Catalogo de Variaveis'!$A$5:$A$1048576,LEFT(A27,4),'Catalogo de Variaveis'!$D$5:$D$1048576,RIGHT(A27,1)))</f>
        <v/>
      </c>
      <c r="C27" s="19" t="str">
        <f t="shared" si="0"/>
        <v/>
      </c>
      <c r="D27" s="13"/>
      <c r="E27" s="10"/>
      <c r="F27" s="10"/>
      <c r="G27" s="10"/>
      <c r="H27" s="10"/>
      <c r="I27" s="10"/>
      <c r="J27" s="14"/>
      <c r="K27" s="13"/>
      <c r="L27" s="10"/>
      <c r="M27" s="10"/>
      <c r="N27" s="10"/>
      <c r="O27" s="10"/>
      <c r="P27" s="10"/>
      <c r="Q27" s="14"/>
    </row>
    <row r="28" spans="1:17" x14ac:dyDescent="0.25">
      <c r="A28" s="4"/>
      <c r="B28" s="5" t="str">
        <f>IF(A28="","",SUMIFS('Catalogo de Variaveis'!$M$5:$M$1048576,'Catalogo de Variaveis'!$A$5:$A$1048576,LEFT(A28,4),'Catalogo de Variaveis'!$D$5:$D$1048576,RIGHT(A28,1)))</f>
        <v/>
      </c>
      <c r="C28" s="19" t="str">
        <f t="shared" si="0"/>
        <v/>
      </c>
      <c r="D28" s="13"/>
      <c r="E28" s="10"/>
      <c r="F28" s="10"/>
      <c r="G28" s="10"/>
      <c r="H28" s="10"/>
      <c r="I28" s="10"/>
      <c r="J28" s="14"/>
      <c r="K28" s="13"/>
      <c r="L28" s="10"/>
      <c r="M28" s="10"/>
      <c r="N28" s="10"/>
      <c r="O28" s="10"/>
      <c r="P28" s="10"/>
      <c r="Q28" s="14"/>
    </row>
    <row r="29" spans="1:17" x14ac:dyDescent="0.25">
      <c r="A29" s="4"/>
      <c r="B29" s="5" t="str">
        <f>IF(A29="","",SUMIFS('Catalogo de Variaveis'!$M$5:$M$1048576,'Catalogo de Variaveis'!$A$5:$A$1048576,LEFT(A29,4),'Catalogo de Variaveis'!$D$5:$D$1048576,RIGHT(A29,1)))</f>
        <v/>
      </c>
      <c r="C29" s="19" t="str">
        <f t="shared" si="0"/>
        <v/>
      </c>
      <c r="D29" s="13"/>
      <c r="E29" s="10"/>
      <c r="F29" s="10"/>
      <c r="G29" s="10"/>
      <c r="H29" s="10"/>
      <c r="I29" s="10"/>
      <c r="J29" s="14"/>
      <c r="K29" s="13"/>
      <c r="L29" s="10"/>
      <c r="M29" s="10"/>
      <c r="N29" s="10"/>
      <c r="O29" s="10"/>
      <c r="P29" s="10"/>
      <c r="Q29" s="14"/>
    </row>
    <row r="30" spans="1:17" x14ac:dyDescent="0.25">
      <c r="A30" s="4"/>
      <c r="B30" s="5" t="str">
        <f>IF(A30="","",SUMIFS('Catalogo de Variaveis'!$M$5:$M$1048576,'Catalogo de Variaveis'!$A$5:$A$1048576,LEFT(A30,4),'Catalogo de Variaveis'!$D$5:$D$1048576,RIGHT(A30,1)))</f>
        <v/>
      </c>
      <c r="C30" s="19" t="str">
        <f t="shared" si="0"/>
        <v/>
      </c>
      <c r="D30" s="13"/>
      <c r="E30" s="10"/>
      <c r="F30" s="10"/>
      <c r="G30" s="10"/>
      <c r="H30" s="10"/>
      <c r="I30" s="10"/>
      <c r="J30" s="14"/>
      <c r="K30" s="13"/>
      <c r="L30" s="10"/>
      <c r="M30" s="10"/>
      <c r="N30" s="10"/>
      <c r="O30" s="10"/>
      <c r="P30" s="10"/>
      <c r="Q30" s="14"/>
    </row>
    <row r="31" spans="1:17" x14ac:dyDescent="0.25">
      <c r="A31" s="4"/>
      <c r="B31" s="5" t="str">
        <f>IF(A31="","",SUMIFS('Catalogo de Variaveis'!$M$5:$M$1048576,'Catalogo de Variaveis'!$A$5:$A$1048576,LEFT(A31,4),'Catalogo de Variaveis'!$D$5:$D$1048576,RIGHT(A31,1)))</f>
        <v/>
      </c>
      <c r="C31" s="19" t="str">
        <f t="shared" si="0"/>
        <v/>
      </c>
      <c r="D31" s="13"/>
      <c r="E31" s="10"/>
      <c r="F31" s="10"/>
      <c r="G31" s="10"/>
      <c r="H31" s="10"/>
      <c r="I31" s="10"/>
      <c r="J31" s="14"/>
      <c r="K31" s="13"/>
      <c r="L31" s="10"/>
      <c r="M31" s="10"/>
      <c r="N31" s="10"/>
      <c r="O31" s="10"/>
      <c r="P31" s="10"/>
      <c r="Q31" s="14"/>
    </row>
    <row r="32" spans="1:17" x14ac:dyDescent="0.25">
      <c r="A32" s="4"/>
      <c r="B32" s="5" t="str">
        <f>IF(A32="","",SUMIFS('Catalogo de Variaveis'!$M$5:$M$1048576,'Catalogo de Variaveis'!$A$5:$A$1048576,LEFT(A32,4),'Catalogo de Variaveis'!$D$5:$D$1048576,RIGHT(A32,1)))</f>
        <v/>
      </c>
      <c r="C32" s="19" t="str">
        <f t="shared" si="0"/>
        <v/>
      </c>
      <c r="D32" s="13"/>
      <c r="E32" s="10"/>
      <c r="F32" s="10"/>
      <c r="G32" s="10"/>
      <c r="H32" s="10"/>
      <c r="I32" s="10"/>
      <c r="J32" s="14"/>
      <c r="K32" s="13"/>
      <c r="L32" s="10"/>
      <c r="M32" s="10"/>
      <c r="N32" s="10"/>
      <c r="O32" s="10"/>
      <c r="P32" s="10"/>
      <c r="Q32" s="14"/>
    </row>
    <row r="33" spans="1:17" x14ac:dyDescent="0.25">
      <c r="A33" s="4"/>
      <c r="B33" s="5" t="str">
        <f>IF(A33="","",SUMIFS('Catalogo de Variaveis'!$M$5:$M$1048576,'Catalogo de Variaveis'!$A$5:$A$1048576,LEFT(A33,4),'Catalogo de Variaveis'!$D$5:$D$1048576,RIGHT(A33,1)))</f>
        <v/>
      </c>
      <c r="C33" s="19" t="str">
        <f t="shared" si="0"/>
        <v/>
      </c>
      <c r="D33" s="13"/>
      <c r="E33" s="10"/>
      <c r="F33" s="10"/>
      <c r="G33" s="10"/>
      <c r="H33" s="10"/>
      <c r="I33" s="10"/>
      <c r="J33" s="14"/>
      <c r="K33" s="13"/>
      <c r="L33" s="10"/>
      <c r="M33" s="10"/>
      <c r="N33" s="10"/>
      <c r="O33" s="10"/>
      <c r="P33" s="10"/>
      <c r="Q33" s="14"/>
    </row>
    <row r="34" spans="1:17" x14ac:dyDescent="0.25">
      <c r="A34" s="4"/>
      <c r="B34" s="5" t="str">
        <f>IF(A34="","",SUMIFS('Catalogo de Variaveis'!$M$5:$M$1048576,'Catalogo de Variaveis'!$A$5:$A$1048576,LEFT(A34,4),'Catalogo de Variaveis'!$D$5:$D$1048576,RIGHT(A34,1)))</f>
        <v/>
      </c>
      <c r="C34" s="19" t="str">
        <f t="shared" si="0"/>
        <v/>
      </c>
      <c r="D34" s="13"/>
      <c r="E34" s="10"/>
      <c r="F34" s="10"/>
      <c r="G34" s="10"/>
      <c r="H34" s="10"/>
      <c r="I34" s="10"/>
      <c r="J34" s="14"/>
      <c r="K34" s="13"/>
      <c r="L34" s="10"/>
      <c r="M34" s="10"/>
      <c r="N34" s="10"/>
      <c r="O34" s="10"/>
      <c r="P34" s="10"/>
      <c r="Q34" s="14"/>
    </row>
    <row r="35" spans="1:17" x14ac:dyDescent="0.25">
      <c r="A35" s="4"/>
      <c r="B35" s="5" t="str">
        <f>IF(A35="","",SUMIFS('Catalogo de Variaveis'!$M$5:$M$1048576,'Catalogo de Variaveis'!$A$5:$A$1048576,LEFT(A35,4),'Catalogo de Variaveis'!$D$5:$D$1048576,RIGHT(A35,1)))</f>
        <v/>
      </c>
      <c r="C35" s="19" t="str">
        <f t="shared" si="0"/>
        <v/>
      </c>
      <c r="D35" s="13"/>
      <c r="E35" s="10"/>
      <c r="F35" s="10"/>
      <c r="G35" s="10"/>
      <c r="H35" s="10"/>
      <c r="I35" s="10"/>
      <c r="J35" s="14"/>
      <c r="K35" s="13"/>
      <c r="L35" s="10"/>
      <c r="M35" s="10"/>
      <c r="N35" s="10"/>
      <c r="O35" s="10"/>
      <c r="P35" s="10"/>
      <c r="Q35" s="14"/>
    </row>
    <row r="36" spans="1:17" x14ac:dyDescent="0.25">
      <c r="A36" s="4"/>
      <c r="B36" s="5" t="str">
        <f>IF(A36="","",SUMIFS('Catalogo de Variaveis'!$M$5:$M$1048576,'Catalogo de Variaveis'!$A$5:$A$1048576,LEFT(A36,4),'Catalogo de Variaveis'!$D$5:$D$1048576,RIGHT(A36,1)))</f>
        <v/>
      </c>
      <c r="C36" s="19" t="str">
        <f t="shared" si="0"/>
        <v/>
      </c>
      <c r="D36" s="13"/>
      <c r="E36" s="10"/>
      <c r="F36" s="10"/>
      <c r="G36" s="10"/>
      <c r="H36" s="10"/>
      <c r="I36" s="10"/>
      <c r="J36" s="14"/>
      <c r="K36" s="13"/>
      <c r="L36" s="10"/>
      <c r="M36" s="10"/>
      <c r="N36" s="10"/>
      <c r="O36" s="10"/>
      <c r="P36" s="10"/>
      <c r="Q36" s="14"/>
    </row>
    <row r="37" spans="1:17" x14ac:dyDescent="0.25">
      <c r="A37" s="4"/>
      <c r="B37" s="5" t="str">
        <f>IF(A37="","",SUMIFS('Catalogo de Variaveis'!$M$5:$M$1048576,'Catalogo de Variaveis'!$A$5:$A$1048576,LEFT(A37,4),'Catalogo de Variaveis'!$D$5:$D$1048576,RIGHT(A37,1)))</f>
        <v/>
      </c>
      <c r="C37" s="19" t="str">
        <f t="shared" si="0"/>
        <v/>
      </c>
      <c r="D37" s="13"/>
      <c r="E37" s="10"/>
      <c r="F37" s="10"/>
      <c r="G37" s="10"/>
      <c r="H37" s="10"/>
      <c r="I37" s="10"/>
      <c r="J37" s="14"/>
      <c r="K37" s="13"/>
      <c r="L37" s="10"/>
      <c r="M37" s="10"/>
      <c r="N37" s="10"/>
      <c r="O37" s="10"/>
      <c r="P37" s="10"/>
      <c r="Q37" s="14"/>
    </row>
    <row r="38" spans="1:17" x14ac:dyDescent="0.25">
      <c r="A38" s="4"/>
      <c r="B38" s="5" t="str">
        <f>IF(A38="","",SUMIFS('Catalogo de Variaveis'!$M$5:$M$1048576,'Catalogo de Variaveis'!$A$5:$A$1048576,LEFT(A38,4),'Catalogo de Variaveis'!$D$5:$D$1048576,RIGHT(A38,1)))</f>
        <v/>
      </c>
      <c r="C38" s="19" t="str">
        <f t="shared" si="0"/>
        <v/>
      </c>
      <c r="D38" s="13"/>
      <c r="E38" s="10"/>
      <c r="F38" s="10"/>
      <c r="G38" s="10"/>
      <c r="H38" s="10"/>
      <c r="I38" s="10"/>
      <c r="J38" s="14"/>
      <c r="K38" s="13"/>
      <c r="L38" s="10"/>
      <c r="M38" s="10"/>
      <c r="N38" s="10"/>
      <c r="O38" s="10"/>
      <c r="P38" s="10"/>
      <c r="Q38" s="14"/>
    </row>
    <row r="39" spans="1:17" x14ac:dyDescent="0.25">
      <c r="A39" s="4"/>
      <c r="B39" s="5" t="str">
        <f>IF(A39="","",SUMIFS('Catalogo de Variaveis'!$M$5:$M$1048576,'Catalogo de Variaveis'!$A$5:$A$1048576,LEFT(A39,4),'Catalogo de Variaveis'!$D$5:$D$1048576,RIGHT(A39,1)))</f>
        <v/>
      </c>
      <c r="C39" s="19" t="str">
        <f t="shared" si="0"/>
        <v/>
      </c>
      <c r="D39" s="13"/>
      <c r="E39" s="10"/>
      <c r="F39" s="10"/>
      <c r="G39" s="10"/>
      <c r="H39" s="10"/>
      <c r="I39" s="10"/>
      <c r="J39" s="14"/>
      <c r="K39" s="13"/>
      <c r="L39" s="10"/>
      <c r="M39" s="10"/>
      <c r="N39" s="10"/>
      <c r="O39" s="10"/>
      <c r="P39" s="10"/>
      <c r="Q39" s="14"/>
    </row>
    <row r="40" spans="1:17" x14ac:dyDescent="0.25">
      <c r="A40" s="4"/>
      <c r="B40" s="5" t="str">
        <f>IF(A40="","",SUMIFS('Catalogo de Variaveis'!$M$5:$M$1048576,'Catalogo de Variaveis'!$A$5:$A$1048576,LEFT(A40,4),'Catalogo de Variaveis'!$D$5:$D$1048576,RIGHT(A40,1)))</f>
        <v/>
      </c>
      <c r="C40" s="19" t="str">
        <f t="shared" si="0"/>
        <v/>
      </c>
      <c r="D40" s="13"/>
      <c r="E40" s="10"/>
      <c r="F40" s="10"/>
      <c r="G40" s="10"/>
      <c r="H40" s="10"/>
      <c r="I40" s="10"/>
      <c r="J40" s="14"/>
      <c r="K40" s="13"/>
      <c r="L40" s="10"/>
      <c r="M40" s="10"/>
      <c r="N40" s="10"/>
      <c r="O40" s="10"/>
      <c r="P40" s="10"/>
      <c r="Q40" s="14"/>
    </row>
    <row r="41" spans="1:17" x14ac:dyDescent="0.25">
      <c r="A41" s="4"/>
      <c r="B41" s="5" t="str">
        <f>IF(A41="","",SUMIFS('Catalogo de Variaveis'!$M$5:$M$1048576,'Catalogo de Variaveis'!$A$5:$A$1048576,LEFT(A41,4),'Catalogo de Variaveis'!$D$5:$D$1048576,RIGHT(A41,1)))</f>
        <v/>
      </c>
      <c r="C41" s="19" t="str">
        <f t="shared" si="0"/>
        <v/>
      </c>
      <c r="D41" s="13"/>
      <c r="E41" s="10"/>
      <c r="F41" s="10"/>
      <c r="G41" s="10"/>
      <c r="H41" s="10"/>
      <c r="I41" s="10"/>
      <c r="J41" s="14"/>
      <c r="K41" s="13"/>
      <c r="L41" s="10"/>
      <c r="M41" s="10"/>
      <c r="N41" s="10"/>
      <c r="O41" s="10"/>
      <c r="P41" s="10"/>
      <c r="Q41" s="14"/>
    </row>
    <row r="42" spans="1:17" x14ac:dyDescent="0.25">
      <c r="A42" s="4"/>
      <c r="B42" s="5" t="str">
        <f>IF(A42="","",SUMIFS('Catalogo de Variaveis'!$M$5:$M$1048576,'Catalogo de Variaveis'!$A$5:$A$1048576,LEFT(A42,4),'Catalogo de Variaveis'!$D$5:$D$1048576,RIGHT(A42,1)))</f>
        <v/>
      </c>
      <c r="C42" s="19" t="str">
        <f t="shared" si="0"/>
        <v/>
      </c>
      <c r="D42" s="13"/>
      <c r="E42" s="10"/>
      <c r="F42" s="10"/>
      <c r="G42" s="10"/>
      <c r="H42" s="10"/>
      <c r="I42" s="10"/>
      <c r="J42" s="14"/>
      <c r="K42" s="13"/>
      <c r="L42" s="10"/>
      <c r="M42" s="10"/>
      <c r="N42" s="10"/>
      <c r="O42" s="10"/>
      <c r="P42" s="10"/>
      <c r="Q42" s="14"/>
    </row>
    <row r="43" spans="1:17" x14ac:dyDescent="0.25">
      <c r="A43" s="4"/>
      <c r="B43" s="5" t="str">
        <f>IF(A43="","",SUMIFS('Catalogo de Variaveis'!$M$5:$M$1048576,'Catalogo de Variaveis'!$A$5:$A$1048576,LEFT(A43,4),'Catalogo de Variaveis'!$D$5:$D$1048576,RIGHT(A43,1)))</f>
        <v/>
      </c>
      <c r="C43" s="19" t="str">
        <f t="shared" si="0"/>
        <v/>
      </c>
      <c r="D43" s="13"/>
      <c r="E43" s="10"/>
      <c r="F43" s="10"/>
      <c r="G43" s="10"/>
      <c r="H43" s="10"/>
      <c r="I43" s="10"/>
      <c r="J43" s="14"/>
      <c r="K43" s="13"/>
      <c r="L43" s="10"/>
      <c r="M43" s="10"/>
      <c r="N43" s="10"/>
      <c r="O43" s="10"/>
      <c r="P43" s="10"/>
      <c r="Q43" s="14"/>
    </row>
    <row r="44" spans="1:17" x14ac:dyDescent="0.25">
      <c r="A44" s="4"/>
      <c r="B44" s="5" t="str">
        <f>IF(A44="","",SUMIFS('Catalogo de Variaveis'!$M$5:$M$1048576,'Catalogo de Variaveis'!$A$5:$A$1048576,LEFT(A44,4),'Catalogo de Variaveis'!$D$5:$D$1048576,RIGHT(A44,1)))</f>
        <v/>
      </c>
      <c r="C44" s="19" t="str">
        <f t="shared" si="0"/>
        <v/>
      </c>
      <c r="D44" s="13"/>
      <c r="E44" s="10"/>
      <c r="F44" s="10"/>
      <c r="G44" s="10"/>
      <c r="H44" s="10"/>
      <c r="I44" s="10"/>
      <c r="J44" s="14"/>
      <c r="K44" s="13"/>
      <c r="L44" s="10"/>
      <c r="M44" s="10"/>
      <c r="N44" s="10"/>
      <c r="O44" s="10"/>
      <c r="P44" s="10"/>
      <c r="Q44" s="14"/>
    </row>
    <row r="45" spans="1:17" x14ac:dyDescent="0.25">
      <c r="A45" s="4"/>
      <c r="B45" s="5" t="str">
        <f>IF(A45="","",SUMIFS('Catalogo de Variaveis'!$M$5:$M$1048576,'Catalogo de Variaveis'!$A$5:$A$1048576,LEFT(A45,4),'Catalogo de Variaveis'!$D$5:$D$1048576,RIGHT(A45,1)))</f>
        <v/>
      </c>
      <c r="C45" s="19" t="str">
        <f t="shared" si="0"/>
        <v/>
      </c>
      <c r="D45" s="13"/>
      <c r="E45" s="10"/>
      <c r="F45" s="10"/>
      <c r="G45" s="10"/>
      <c r="H45" s="10"/>
      <c r="I45" s="10"/>
      <c r="J45" s="14"/>
      <c r="K45" s="13"/>
      <c r="L45" s="10"/>
      <c r="M45" s="10"/>
      <c r="N45" s="10"/>
      <c r="O45" s="10"/>
      <c r="P45" s="10"/>
      <c r="Q45" s="14"/>
    </row>
    <row r="46" spans="1:17" x14ac:dyDescent="0.25">
      <c r="A46" s="4"/>
      <c r="B46" s="5" t="str">
        <f>IF(A46="","",SUMIFS('Catalogo de Variaveis'!$M$5:$M$1048576,'Catalogo de Variaveis'!$A$5:$A$1048576,LEFT(A46,4),'Catalogo de Variaveis'!$D$5:$D$1048576,RIGHT(A46,1)))</f>
        <v/>
      </c>
      <c r="C46" s="19" t="str">
        <f t="shared" si="0"/>
        <v/>
      </c>
      <c r="D46" s="13"/>
      <c r="E46" s="10"/>
      <c r="F46" s="10"/>
      <c r="G46" s="10"/>
      <c r="H46" s="10"/>
      <c r="I46" s="10"/>
      <c r="J46" s="14"/>
      <c r="K46" s="13"/>
      <c r="L46" s="10"/>
      <c r="M46" s="10"/>
      <c r="N46" s="10"/>
      <c r="O46" s="10"/>
      <c r="P46" s="10"/>
      <c r="Q46" s="14"/>
    </row>
    <row r="47" spans="1:17" x14ac:dyDescent="0.25">
      <c r="A47" s="4"/>
      <c r="B47" s="5" t="str">
        <f>IF(A47="","",SUMIFS('Catalogo de Variaveis'!$M$5:$M$1048576,'Catalogo de Variaveis'!$A$5:$A$1048576,LEFT(A47,4),'Catalogo de Variaveis'!$D$5:$D$1048576,RIGHT(A47,1)))</f>
        <v/>
      </c>
      <c r="C47" s="19" t="str">
        <f t="shared" si="0"/>
        <v/>
      </c>
      <c r="D47" s="13"/>
      <c r="E47" s="10"/>
      <c r="F47" s="10"/>
      <c r="G47" s="10"/>
      <c r="H47" s="10"/>
      <c r="I47" s="10"/>
      <c r="J47" s="14"/>
      <c r="K47" s="13"/>
      <c r="L47" s="10"/>
      <c r="M47" s="10"/>
      <c r="N47" s="10"/>
      <c r="O47" s="10"/>
      <c r="P47" s="10"/>
      <c r="Q47" s="14"/>
    </row>
    <row r="48" spans="1:17" x14ac:dyDescent="0.25">
      <c r="A48" s="4"/>
      <c r="B48" s="5" t="str">
        <f>IF(A48="","",SUMIFS('Catalogo de Variaveis'!$M$5:$M$1048576,'Catalogo de Variaveis'!$A$5:$A$1048576,LEFT(A48,4),'Catalogo de Variaveis'!$D$5:$D$1048576,RIGHT(A48,1)))</f>
        <v/>
      </c>
      <c r="C48" s="19" t="str">
        <f t="shared" si="0"/>
        <v/>
      </c>
      <c r="D48" s="13"/>
      <c r="E48" s="10"/>
      <c r="F48" s="10"/>
      <c r="G48" s="10"/>
      <c r="H48" s="10"/>
      <c r="I48" s="10"/>
      <c r="J48" s="14"/>
      <c r="K48" s="13"/>
      <c r="L48" s="10"/>
      <c r="M48" s="10"/>
      <c r="N48" s="10"/>
      <c r="O48" s="10"/>
      <c r="P48" s="10"/>
      <c r="Q48" s="14"/>
    </row>
    <row r="49" spans="1:17" x14ac:dyDescent="0.25">
      <c r="A49" s="4"/>
      <c r="B49" s="5" t="str">
        <f>IF(A49="","",SUMIFS('Catalogo de Variaveis'!$M$5:$M$1048576,'Catalogo de Variaveis'!$A$5:$A$1048576,LEFT(A49,4),'Catalogo de Variaveis'!$D$5:$D$1048576,RIGHT(A49,1)))</f>
        <v/>
      </c>
      <c r="C49" s="19" t="str">
        <f t="shared" si="0"/>
        <v/>
      </c>
      <c r="D49" s="13"/>
      <c r="E49" s="10"/>
      <c r="F49" s="10"/>
      <c r="G49" s="10"/>
      <c r="H49" s="10"/>
      <c r="I49" s="10"/>
      <c r="J49" s="14"/>
      <c r="K49" s="13"/>
      <c r="L49" s="10"/>
      <c r="M49" s="10"/>
      <c r="N49" s="10"/>
      <c r="O49" s="10"/>
      <c r="P49" s="10"/>
      <c r="Q49" s="14"/>
    </row>
    <row r="50" spans="1:17" x14ac:dyDescent="0.25">
      <c r="A50" s="4"/>
      <c r="B50" s="5" t="str">
        <f>IF(A50="","",SUMIFS('Catalogo de Variaveis'!$M$5:$M$1048576,'Catalogo de Variaveis'!$A$5:$A$1048576,LEFT(A50,4),'Catalogo de Variaveis'!$D$5:$D$1048576,RIGHT(A50,1)))</f>
        <v/>
      </c>
      <c r="C50" s="19" t="str">
        <f t="shared" si="0"/>
        <v/>
      </c>
      <c r="D50" s="13"/>
      <c r="E50" s="10"/>
      <c r="F50" s="10"/>
      <c r="G50" s="10"/>
      <c r="H50" s="10"/>
      <c r="I50" s="10"/>
      <c r="J50" s="14"/>
      <c r="K50" s="13"/>
      <c r="L50" s="10"/>
      <c r="M50" s="10"/>
      <c r="N50" s="10"/>
      <c r="O50" s="10"/>
      <c r="P50" s="10"/>
      <c r="Q50" s="14"/>
    </row>
    <row r="51" spans="1:17" x14ac:dyDescent="0.25">
      <c r="A51" s="4"/>
      <c r="B51" s="5" t="str">
        <f>IF(A51="","",SUMIFS('Catalogo de Variaveis'!$M$5:$M$1048576,'Catalogo de Variaveis'!$A$5:$A$1048576,LEFT(A51,4),'Catalogo de Variaveis'!$D$5:$D$1048576,RIGHT(A51,1)))</f>
        <v/>
      </c>
      <c r="C51" s="19" t="str">
        <f t="shared" si="0"/>
        <v/>
      </c>
      <c r="D51" s="13"/>
      <c r="E51" s="10"/>
      <c r="F51" s="10"/>
      <c r="G51" s="10"/>
      <c r="H51" s="10"/>
      <c r="I51" s="10"/>
      <c r="J51" s="14"/>
      <c r="K51" s="13"/>
      <c r="L51" s="10"/>
      <c r="M51" s="10"/>
      <c r="N51" s="10"/>
      <c r="O51" s="10"/>
      <c r="P51" s="10"/>
      <c r="Q51" s="14"/>
    </row>
    <row r="52" spans="1:17" x14ac:dyDescent="0.25">
      <c r="A52" s="4"/>
      <c r="B52" s="5" t="str">
        <f>IF(A52="","",SUMIFS('Catalogo de Variaveis'!$M$5:$M$1048576,'Catalogo de Variaveis'!$A$5:$A$1048576,LEFT(A52,4),'Catalogo de Variaveis'!$D$5:$D$1048576,RIGHT(A52,1)))</f>
        <v/>
      </c>
      <c r="C52" s="19" t="str">
        <f t="shared" si="0"/>
        <v/>
      </c>
      <c r="D52" s="13"/>
      <c r="E52" s="10"/>
      <c r="F52" s="10"/>
      <c r="G52" s="10"/>
      <c r="H52" s="10"/>
      <c r="I52" s="10"/>
      <c r="J52" s="14"/>
      <c r="K52" s="13"/>
      <c r="L52" s="10"/>
      <c r="M52" s="10"/>
      <c r="N52" s="10"/>
      <c r="O52" s="10"/>
      <c r="P52" s="10"/>
      <c r="Q52" s="14"/>
    </row>
    <row r="53" spans="1:17" x14ac:dyDescent="0.25">
      <c r="A53" s="4"/>
      <c r="B53" s="5" t="str">
        <f>IF(A53="","",SUMIFS('Catalogo de Variaveis'!$M$5:$M$1048576,'Catalogo de Variaveis'!$A$5:$A$1048576,LEFT(A53,4),'Catalogo de Variaveis'!$D$5:$D$1048576,RIGHT(A53,1)))</f>
        <v/>
      </c>
      <c r="C53" s="19" t="str">
        <f t="shared" si="0"/>
        <v/>
      </c>
      <c r="D53" s="13"/>
      <c r="E53" s="10"/>
      <c r="F53" s="10"/>
      <c r="G53" s="10"/>
      <c r="H53" s="10"/>
      <c r="I53" s="10"/>
      <c r="J53" s="14"/>
      <c r="K53" s="13"/>
      <c r="L53" s="10"/>
      <c r="M53" s="10"/>
      <c r="N53" s="10"/>
      <c r="O53" s="10"/>
      <c r="P53" s="10"/>
      <c r="Q53" s="14"/>
    </row>
    <row r="54" spans="1:17" x14ac:dyDescent="0.25">
      <c r="A54" s="4"/>
      <c r="B54" s="5" t="str">
        <f>IF(A54="","",SUMIFS('Catalogo de Variaveis'!$M$5:$M$1048576,'Catalogo de Variaveis'!$A$5:$A$1048576,LEFT(A54,4),'Catalogo de Variaveis'!$D$5:$D$1048576,RIGHT(A54,1)))</f>
        <v/>
      </c>
      <c r="C54" s="19" t="str">
        <f t="shared" si="0"/>
        <v/>
      </c>
      <c r="D54" s="13"/>
      <c r="E54" s="10"/>
      <c r="F54" s="10"/>
      <c r="G54" s="10"/>
      <c r="H54" s="10"/>
      <c r="I54" s="10"/>
      <c r="J54" s="14"/>
      <c r="K54" s="13"/>
      <c r="L54" s="10"/>
      <c r="M54" s="10"/>
      <c r="N54" s="10"/>
      <c r="O54" s="10"/>
      <c r="P54" s="10"/>
      <c r="Q54" s="14"/>
    </row>
    <row r="55" spans="1:17" x14ac:dyDescent="0.25">
      <c r="A55" s="4"/>
      <c r="B55" s="5" t="str">
        <f>IF(A55="","",SUMIFS('Catalogo de Variaveis'!$M$5:$M$1048576,'Catalogo de Variaveis'!$A$5:$A$1048576,LEFT(A55,4),'Catalogo de Variaveis'!$D$5:$D$1048576,RIGHT(A55,1)))</f>
        <v/>
      </c>
      <c r="C55" s="19" t="str">
        <f t="shared" si="0"/>
        <v/>
      </c>
      <c r="D55" s="13"/>
      <c r="E55" s="10"/>
      <c r="F55" s="10"/>
      <c r="G55" s="10"/>
      <c r="H55" s="10"/>
      <c r="I55" s="10"/>
      <c r="J55" s="14"/>
      <c r="K55" s="13"/>
      <c r="L55" s="10"/>
      <c r="M55" s="10"/>
      <c r="N55" s="10"/>
      <c r="O55" s="10"/>
      <c r="P55" s="10"/>
      <c r="Q55" s="14"/>
    </row>
    <row r="56" spans="1:17" x14ac:dyDescent="0.25">
      <c r="A56" s="4"/>
      <c r="B56" s="5" t="str">
        <f>IF(A56="","",SUMIFS('Catalogo de Variaveis'!$M$5:$M$1048576,'Catalogo de Variaveis'!$A$5:$A$1048576,LEFT(A56,4),'Catalogo de Variaveis'!$D$5:$D$1048576,RIGHT(A56,1)))</f>
        <v/>
      </c>
      <c r="C56" s="19" t="str">
        <f t="shared" si="0"/>
        <v/>
      </c>
      <c r="D56" s="13"/>
      <c r="E56" s="10"/>
      <c r="F56" s="10"/>
      <c r="G56" s="10"/>
      <c r="H56" s="10"/>
      <c r="I56" s="10"/>
      <c r="J56" s="14"/>
      <c r="K56" s="13"/>
      <c r="L56" s="10"/>
      <c r="M56" s="10"/>
      <c r="N56" s="10"/>
      <c r="O56" s="10"/>
      <c r="P56" s="10"/>
      <c r="Q56" s="14"/>
    </row>
    <row r="57" spans="1:17" x14ac:dyDescent="0.25">
      <c r="A57" s="4"/>
      <c r="B57" s="5" t="str">
        <f>IF(A57="","",SUMIFS('Catalogo de Variaveis'!$M$5:$M$1048576,'Catalogo de Variaveis'!$A$5:$A$1048576,LEFT(A57,4),'Catalogo de Variaveis'!$D$5:$D$1048576,RIGHT(A57,1)))</f>
        <v/>
      </c>
      <c r="C57" s="19" t="str">
        <f t="shared" si="0"/>
        <v/>
      </c>
      <c r="D57" s="13"/>
      <c r="E57" s="10"/>
      <c r="F57" s="10"/>
      <c r="G57" s="10"/>
      <c r="H57" s="10"/>
      <c r="I57" s="10"/>
      <c r="J57" s="14"/>
      <c r="K57" s="13"/>
      <c r="L57" s="10"/>
      <c r="M57" s="10"/>
      <c r="N57" s="10"/>
      <c r="O57" s="10"/>
      <c r="P57" s="10"/>
      <c r="Q57" s="14"/>
    </row>
    <row r="58" spans="1:17" x14ac:dyDescent="0.25">
      <c r="A58" s="4"/>
      <c r="B58" s="5" t="str">
        <f>IF(A58="","",SUMIFS('Catalogo de Variaveis'!$M$5:$M$1048576,'Catalogo de Variaveis'!$A$5:$A$1048576,LEFT(A58,4),'Catalogo de Variaveis'!$D$5:$D$1048576,RIGHT(A58,1)))</f>
        <v/>
      </c>
      <c r="C58" s="19" t="str">
        <f t="shared" si="0"/>
        <v/>
      </c>
      <c r="D58" s="13"/>
      <c r="E58" s="10"/>
      <c r="F58" s="10"/>
      <c r="G58" s="10"/>
      <c r="H58" s="10"/>
      <c r="I58" s="10"/>
      <c r="J58" s="14"/>
      <c r="K58" s="13"/>
      <c r="L58" s="10"/>
      <c r="M58" s="10"/>
      <c r="N58" s="10"/>
      <c r="O58" s="10"/>
      <c r="P58" s="10"/>
      <c r="Q58" s="14"/>
    </row>
    <row r="59" spans="1:17" x14ac:dyDescent="0.25">
      <c r="A59" s="4"/>
      <c r="B59" s="5" t="str">
        <f>IF(A59="","",SUMIFS('Catalogo de Variaveis'!$M$5:$M$1048576,'Catalogo de Variaveis'!$A$5:$A$1048576,LEFT(A59,4),'Catalogo de Variaveis'!$D$5:$D$1048576,RIGHT(A59,1)))</f>
        <v/>
      </c>
      <c r="C59" s="19" t="str">
        <f t="shared" si="0"/>
        <v/>
      </c>
      <c r="D59" s="13"/>
      <c r="E59" s="10"/>
      <c r="F59" s="10"/>
      <c r="G59" s="10"/>
      <c r="H59" s="10"/>
      <c r="I59" s="10"/>
      <c r="J59" s="14"/>
      <c r="K59" s="13"/>
      <c r="L59" s="10"/>
      <c r="M59" s="10"/>
      <c r="N59" s="10"/>
      <c r="O59" s="10"/>
      <c r="P59" s="10"/>
      <c r="Q59" s="14"/>
    </row>
    <row r="60" spans="1:17" x14ac:dyDescent="0.25">
      <c r="A60" s="4"/>
      <c r="B60" s="5" t="str">
        <f>IF(A60="","",SUMIFS('Catalogo de Variaveis'!$M$5:$M$1048576,'Catalogo de Variaveis'!$A$5:$A$1048576,LEFT(A60,4),'Catalogo de Variaveis'!$D$5:$D$1048576,RIGHT(A60,1)))</f>
        <v/>
      </c>
      <c r="C60" s="19" t="str">
        <f t="shared" si="0"/>
        <v/>
      </c>
      <c r="D60" s="13"/>
      <c r="E60" s="10"/>
      <c r="F60" s="10"/>
      <c r="G60" s="10"/>
      <c r="H60" s="10"/>
      <c r="I60" s="10"/>
      <c r="J60" s="14"/>
      <c r="K60" s="13"/>
      <c r="L60" s="10"/>
      <c r="M60" s="10"/>
      <c r="N60" s="10"/>
      <c r="O60" s="10"/>
      <c r="P60" s="10"/>
      <c r="Q60" s="14"/>
    </row>
  </sheetData>
  <mergeCells count="4">
    <mergeCell ref="A7:C7"/>
    <mergeCell ref="D7:J7"/>
    <mergeCell ref="K7:Q7"/>
    <mergeCell ref="A5:Q6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8E6C-650E-4337-A98D-DF03FCCD3F12}">
  <dimension ref="A1:Q60"/>
  <sheetViews>
    <sheetView topLeftCell="A5" zoomScale="161" zoomScaleNormal="161" workbookViewId="0">
      <selection activeCell="B14" sqref="B14"/>
    </sheetView>
  </sheetViews>
  <sheetFormatPr defaultRowHeight="15" x14ac:dyDescent="0.25"/>
  <cols>
    <col min="1" max="1" width="13.85546875" style="2" bestFit="1" customWidth="1"/>
    <col min="2" max="3" width="10.7109375" customWidth="1"/>
  </cols>
  <sheetData>
    <row r="1" spans="1:17" hidden="1" x14ac:dyDescent="0.25">
      <c r="A1" s="7" t="s">
        <v>0</v>
      </c>
      <c r="B1" s="9">
        <f>AVERAGE(B9:B1048576)</f>
        <v>41.142857142857146</v>
      </c>
      <c r="C1" s="9">
        <f>AVERAGE(C9:C1048576)</f>
        <v>9</v>
      </c>
    </row>
    <row r="2" spans="1:17" hidden="1" x14ac:dyDescent="0.25">
      <c r="A2" s="7" t="s">
        <v>1</v>
      </c>
      <c r="B2" s="9">
        <f>_xlfn.STDEV.S(B9:B1048576)</f>
        <v>41.826740136857318</v>
      </c>
      <c r="C2" s="9">
        <f>_xlfn.STDEV.S(C9:C1048576)</f>
        <v>57.41660619251774</v>
      </c>
    </row>
    <row r="3" spans="1:17" hidden="1" x14ac:dyDescent="0.25">
      <c r="A3" s="7" t="s">
        <v>2</v>
      </c>
      <c r="B3" s="9">
        <f>MAX(B9:B1048576)</f>
        <v>106</v>
      </c>
      <c r="C3" s="9">
        <f>MAX(C9:C1048576)</f>
        <v>106</v>
      </c>
    </row>
    <row r="4" spans="1:17" hidden="1" x14ac:dyDescent="0.25">
      <c r="A4" s="7" t="s">
        <v>3</v>
      </c>
      <c r="B4" s="9">
        <f>MIN(B9:B1048576)</f>
        <v>0</v>
      </c>
      <c r="C4" s="9">
        <f>MIN(C9:C1048576)</f>
        <v>-65</v>
      </c>
    </row>
    <row r="5" spans="1:17" ht="15" customHeight="1" x14ac:dyDescent="0.25">
      <c r="A5" s="22" t="s">
        <v>52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ht="15" customHeight="1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 t="s">
        <v>45</v>
      </c>
      <c r="B9" s="18">
        <f>IF(A9="","",_xlfn.MAXIFS('Catalogo de Variaveis'!$N$5:$N$1048576,'Catalogo de Variaveis'!$A$5:$A$1048576,LEFT(A9,4),'Catalogo de Variaveis'!$D$5:$D$1048576,RIGHT(A9,1)))</f>
        <v>0</v>
      </c>
      <c r="C9" s="19">
        <f>IFERROR(IF(A9="","",B9-B8),0)</f>
        <v>0</v>
      </c>
      <c r="D9" s="13"/>
      <c r="E9" s="10"/>
      <c r="F9" s="10"/>
      <c r="G9" s="10"/>
      <c r="H9" s="10"/>
      <c r="I9" s="10"/>
      <c r="J9" s="14"/>
      <c r="K9" s="13"/>
      <c r="L9" s="10"/>
      <c r="M9" s="10"/>
      <c r="N9" s="10"/>
      <c r="O9" s="10"/>
      <c r="P9" s="10"/>
      <c r="Q9" s="14"/>
    </row>
    <row r="10" spans="1:17" x14ac:dyDescent="0.25">
      <c r="A10" s="4" t="s">
        <v>46</v>
      </c>
      <c r="B10" s="18">
        <f>IF(A10="","",_xlfn.MAXIFS('Catalogo de Variaveis'!$N$5:$N$1048576,'Catalogo de Variaveis'!$A$5:$A$1048576,LEFT(A10,4),'Catalogo de Variaveis'!$D$5:$D$1048576,RIGHT(A10,1)))</f>
        <v>54</v>
      </c>
      <c r="C10" s="19">
        <f t="shared" ref="C10:C60" si="0">IFERROR(IF(A10="","",B10-B9),0)</f>
        <v>54</v>
      </c>
      <c r="D10" s="13"/>
      <c r="E10" s="10"/>
      <c r="F10" s="10"/>
      <c r="G10" s="10"/>
      <c r="H10" s="10"/>
      <c r="I10" s="10"/>
      <c r="J10" s="14"/>
      <c r="K10" s="13"/>
      <c r="L10" s="10"/>
      <c r="M10" s="10"/>
      <c r="N10" s="10"/>
      <c r="O10" s="10"/>
      <c r="P10" s="10"/>
      <c r="Q10" s="14"/>
    </row>
    <row r="11" spans="1:17" x14ac:dyDescent="0.25">
      <c r="A11" s="4" t="s">
        <v>47</v>
      </c>
      <c r="B11" s="18">
        <f>IF(A11="","",_xlfn.MAXIFS('Catalogo de Variaveis'!$N$5:$N$1048576,'Catalogo de Variaveis'!$A$5:$A$1048576,LEFT(A11,4),'Catalogo de Variaveis'!$D$5:$D$1048576,RIGHT(A11,1)))</f>
        <v>65</v>
      </c>
      <c r="C11" s="19">
        <f t="shared" si="0"/>
        <v>11</v>
      </c>
      <c r="D11" s="13"/>
      <c r="E11" s="10"/>
      <c r="F11" s="10"/>
      <c r="G11" s="10"/>
      <c r="H11" s="10"/>
      <c r="I11" s="10"/>
      <c r="J11" s="14"/>
      <c r="K11" s="13"/>
      <c r="L11" s="10"/>
      <c r="M11" s="10"/>
      <c r="N11" s="10"/>
      <c r="O11" s="10"/>
      <c r="P11" s="10"/>
      <c r="Q11" s="14"/>
    </row>
    <row r="12" spans="1:17" x14ac:dyDescent="0.25">
      <c r="A12" s="4" t="s">
        <v>48</v>
      </c>
      <c r="B12" s="18">
        <f>IF(A12="","",_xlfn.MAXIFS('Catalogo de Variaveis'!$N$5:$N$1048576,'Catalogo de Variaveis'!$A$5:$A$1048576,LEFT(A12,4),'Catalogo de Variaveis'!$D$5:$D$1048576,RIGHT(A12,1)))</f>
        <v>0</v>
      </c>
      <c r="C12" s="19">
        <f t="shared" si="0"/>
        <v>-65</v>
      </c>
      <c r="D12" s="13"/>
      <c r="E12" s="10"/>
      <c r="F12" s="10"/>
      <c r="G12" s="10"/>
      <c r="H12" s="10"/>
      <c r="I12" s="10"/>
      <c r="J12" s="14"/>
      <c r="K12" s="13"/>
      <c r="L12" s="10"/>
      <c r="M12" s="10"/>
      <c r="N12" s="10"/>
      <c r="O12" s="10"/>
      <c r="P12" s="10"/>
      <c r="Q12" s="14"/>
    </row>
    <row r="13" spans="1:17" x14ac:dyDescent="0.25">
      <c r="A13" s="4" t="s">
        <v>49</v>
      </c>
      <c r="B13" s="18">
        <f>IF(A13="","",_xlfn.MAXIFS('Catalogo de Variaveis'!$N$5:$N$1048576,'Catalogo de Variaveis'!$A$5:$A$1048576,LEFT(A13,4),'Catalogo de Variaveis'!$D$5:$D$1048576,RIGHT(A13,1)))</f>
        <v>0</v>
      </c>
      <c r="C13" s="19">
        <f t="shared" si="0"/>
        <v>0</v>
      </c>
      <c r="D13" s="13"/>
      <c r="E13" s="10"/>
      <c r="F13" s="10"/>
      <c r="G13" s="10"/>
      <c r="H13" s="10"/>
      <c r="I13" s="10"/>
      <c r="J13" s="14"/>
      <c r="K13" s="13"/>
      <c r="L13" s="10"/>
      <c r="M13" s="10"/>
      <c r="N13" s="10"/>
      <c r="O13" s="10"/>
      <c r="P13" s="10"/>
      <c r="Q13" s="14"/>
    </row>
    <row r="14" spans="1:17" x14ac:dyDescent="0.25">
      <c r="A14" s="4" t="s">
        <v>50</v>
      </c>
      <c r="B14" s="18">
        <f>IF(A14="","",_xlfn.MAXIFS('Catalogo de Variaveis'!$N$5:$N$1048576,'Catalogo de Variaveis'!$A$5:$A$1048576,LEFT(A14,4),'Catalogo de Variaveis'!$D$5:$D$1048576,RIGHT(A14,1)))</f>
        <v>106</v>
      </c>
      <c r="C14" s="19">
        <f t="shared" si="0"/>
        <v>106</v>
      </c>
      <c r="D14" s="13"/>
      <c r="E14" s="10"/>
      <c r="F14" s="10"/>
      <c r="G14" s="10"/>
      <c r="H14" s="10"/>
      <c r="I14" s="10"/>
      <c r="J14" s="14"/>
      <c r="K14" s="13"/>
      <c r="L14" s="10"/>
      <c r="M14" s="10"/>
      <c r="N14" s="10"/>
      <c r="O14" s="10"/>
      <c r="P14" s="10"/>
      <c r="Q14" s="14"/>
    </row>
    <row r="15" spans="1:17" x14ac:dyDescent="0.25">
      <c r="A15" s="4" t="s">
        <v>51</v>
      </c>
      <c r="B15" s="18">
        <f>IF(A15="","",_xlfn.MAXIFS('Catalogo de Variaveis'!$N$5:$N$1048576,'Catalogo de Variaveis'!$A$5:$A$1048576,LEFT(A15,4),'Catalogo de Variaveis'!$D$5:$D$1048576,RIGHT(A15,1)))</f>
        <v>63</v>
      </c>
      <c r="C15" s="19">
        <f t="shared" si="0"/>
        <v>-43</v>
      </c>
      <c r="D15" s="13"/>
      <c r="E15" s="10"/>
      <c r="F15" s="10"/>
      <c r="G15" s="10"/>
      <c r="H15" s="10"/>
      <c r="I15" s="10"/>
      <c r="J15" s="14"/>
      <c r="K15" s="13"/>
      <c r="L15" s="10"/>
      <c r="M15" s="10"/>
      <c r="N15" s="10"/>
      <c r="O15" s="10"/>
      <c r="P15" s="10"/>
      <c r="Q15" s="14"/>
    </row>
    <row r="16" spans="1:17" x14ac:dyDescent="0.25">
      <c r="A16" s="4"/>
      <c r="B16" s="18" t="str">
        <f>IF(A16="","",_xlfn.MAXIFS('Catalogo de Variaveis'!$N$5:$N$1048576,'Catalogo de Variaveis'!$A$5:$A$1048576,LEFT(A16,4),'Catalogo de Variaveis'!$D$5:$D$1048576,RIGHT(A16,1)))</f>
        <v/>
      </c>
      <c r="C16" s="19" t="str">
        <f t="shared" si="0"/>
        <v/>
      </c>
      <c r="D16" s="13"/>
      <c r="E16" s="10"/>
      <c r="F16" s="10"/>
      <c r="G16" s="10"/>
      <c r="H16" s="10"/>
      <c r="I16" s="10"/>
      <c r="J16" s="14"/>
      <c r="K16" s="13"/>
      <c r="L16" s="10"/>
      <c r="M16" s="10"/>
      <c r="N16" s="10"/>
      <c r="O16" s="10"/>
      <c r="P16" s="10"/>
      <c r="Q16" s="14"/>
    </row>
    <row r="17" spans="1:17" x14ac:dyDescent="0.25">
      <c r="A17" s="4"/>
      <c r="B17" s="18" t="str">
        <f>IF(A17="","",_xlfn.MAXIFS('Catalogo de Variaveis'!$N$5:$N$1048576,'Catalogo de Variaveis'!$A$5:$A$1048576,LEFT(A17,4),'Catalogo de Variaveis'!$D$5:$D$1048576,RIGHT(A17,1)))</f>
        <v/>
      </c>
      <c r="C17" s="19" t="str">
        <f t="shared" si="0"/>
        <v/>
      </c>
      <c r="D17" s="13"/>
      <c r="E17" s="10"/>
      <c r="F17" s="10"/>
      <c r="G17" s="10"/>
      <c r="H17" s="10"/>
      <c r="I17" s="10"/>
      <c r="J17" s="14"/>
      <c r="K17" s="13"/>
      <c r="L17" s="10"/>
      <c r="M17" s="10"/>
      <c r="N17" s="10"/>
      <c r="O17" s="10"/>
      <c r="P17" s="10"/>
      <c r="Q17" s="14"/>
    </row>
    <row r="18" spans="1:17" x14ac:dyDescent="0.25">
      <c r="A18" s="4"/>
      <c r="B18" s="18" t="str">
        <f>IF(A18="","",_xlfn.MAXIFS('Catalogo de Variaveis'!$N$5:$N$1048576,'Catalogo de Variaveis'!$A$5:$A$1048576,LEFT(A18,4),'Catalogo de Variaveis'!$D$5:$D$1048576,RIGHT(A18,1)))</f>
        <v/>
      </c>
      <c r="C18" s="19" t="str">
        <f t="shared" si="0"/>
        <v/>
      </c>
      <c r="D18" s="13"/>
      <c r="E18" s="10"/>
      <c r="F18" s="10"/>
      <c r="G18" s="10"/>
      <c r="H18" s="10"/>
      <c r="I18" s="10"/>
      <c r="J18" s="14"/>
      <c r="K18" s="13"/>
      <c r="L18" s="10"/>
      <c r="M18" s="10"/>
      <c r="N18" s="10"/>
      <c r="O18" s="10"/>
      <c r="P18" s="10"/>
      <c r="Q18" s="14"/>
    </row>
    <row r="19" spans="1:17" x14ac:dyDescent="0.25">
      <c r="A19" s="4"/>
      <c r="B19" s="18" t="str">
        <f>IF(A19="","",_xlfn.MAXIFS('Catalogo de Variaveis'!$N$5:$N$1048576,'Catalogo de Variaveis'!$A$5:$A$1048576,LEFT(A19,4),'Catalogo de Variaveis'!$D$5:$D$1048576,RIGHT(A19,1)))</f>
        <v/>
      </c>
      <c r="C19" s="19" t="str">
        <f t="shared" si="0"/>
        <v/>
      </c>
      <c r="D19" s="13"/>
      <c r="E19" s="10"/>
      <c r="F19" s="10"/>
      <c r="G19" s="10"/>
      <c r="H19" s="10"/>
      <c r="I19" s="10"/>
      <c r="J19" s="14"/>
      <c r="K19" s="13"/>
      <c r="L19" s="10"/>
      <c r="M19" s="10"/>
      <c r="N19" s="10"/>
      <c r="O19" s="10"/>
      <c r="P19" s="10"/>
      <c r="Q19" s="14"/>
    </row>
    <row r="20" spans="1:17" x14ac:dyDescent="0.25">
      <c r="A20" s="4"/>
      <c r="B20" s="18" t="str">
        <f>IF(A20="","",_xlfn.MAXIFS('Catalogo de Variaveis'!$N$5:$N$1048576,'Catalogo de Variaveis'!$A$5:$A$1048576,LEFT(A20,4),'Catalogo de Variaveis'!$D$5:$D$1048576,RIGHT(A20,1)))</f>
        <v/>
      </c>
      <c r="C20" s="19" t="str">
        <f t="shared" si="0"/>
        <v/>
      </c>
      <c r="D20" s="13"/>
      <c r="E20" s="10"/>
      <c r="F20" s="10"/>
      <c r="G20" s="10"/>
      <c r="H20" s="10"/>
      <c r="I20" s="10"/>
      <c r="J20" s="14"/>
      <c r="K20" s="13"/>
      <c r="L20" s="10"/>
      <c r="M20" s="10"/>
      <c r="N20" s="10"/>
      <c r="O20" s="10"/>
      <c r="P20" s="10"/>
      <c r="Q20" s="14"/>
    </row>
    <row r="21" spans="1:17" x14ac:dyDescent="0.25">
      <c r="A21" s="4"/>
      <c r="B21" s="18" t="str">
        <f>IF(A21="","",_xlfn.MAXIFS('Catalogo de Variaveis'!$N$5:$N$1048576,'Catalogo de Variaveis'!$A$5:$A$1048576,LEFT(A21,4),'Catalogo de Variaveis'!$D$5:$D$1048576,RIGHT(A21,1)))</f>
        <v/>
      </c>
      <c r="C21" s="19" t="str">
        <f t="shared" si="0"/>
        <v/>
      </c>
      <c r="D21" s="13"/>
      <c r="E21" s="10"/>
      <c r="F21" s="10"/>
      <c r="G21" s="10"/>
      <c r="H21" s="10"/>
      <c r="I21" s="10"/>
      <c r="J21" s="14"/>
      <c r="K21" s="13"/>
      <c r="L21" s="10"/>
      <c r="M21" s="10"/>
      <c r="N21" s="10"/>
      <c r="O21" s="10"/>
      <c r="P21" s="10"/>
      <c r="Q21" s="14"/>
    </row>
    <row r="22" spans="1:17" x14ac:dyDescent="0.25">
      <c r="A22" s="4"/>
      <c r="B22" s="18" t="str">
        <f>IF(A22="","",_xlfn.MAXIFS('Catalogo de Variaveis'!$N$5:$N$1048576,'Catalogo de Variaveis'!$A$5:$A$1048576,LEFT(A22,4),'Catalogo de Variaveis'!$D$5:$D$1048576,RIGHT(A22,1)))</f>
        <v/>
      </c>
      <c r="C22" s="19" t="str">
        <f t="shared" si="0"/>
        <v/>
      </c>
      <c r="D22" s="13"/>
      <c r="E22" s="10"/>
      <c r="F22" s="10"/>
      <c r="G22" s="10"/>
      <c r="H22" s="10"/>
      <c r="I22" s="10"/>
      <c r="J22" s="14"/>
      <c r="K22" s="13"/>
      <c r="L22" s="10"/>
      <c r="M22" s="10"/>
      <c r="N22" s="10"/>
      <c r="O22" s="10"/>
      <c r="P22" s="10"/>
      <c r="Q22" s="14"/>
    </row>
    <row r="23" spans="1:17" x14ac:dyDescent="0.25">
      <c r="A23" s="4"/>
      <c r="B23" s="18" t="str">
        <f>IF(A23="","",_xlfn.MAXIFS('Catalogo de Variaveis'!$N$5:$N$1048576,'Catalogo de Variaveis'!$A$5:$A$1048576,LEFT(A23,4),'Catalogo de Variaveis'!$D$5:$D$1048576,RIGHT(A23,1)))</f>
        <v/>
      </c>
      <c r="C23" s="19" t="str">
        <f t="shared" si="0"/>
        <v/>
      </c>
      <c r="D23" s="13"/>
      <c r="E23" s="10"/>
      <c r="F23" s="10"/>
      <c r="G23" s="10"/>
      <c r="H23" s="10"/>
      <c r="I23" s="10"/>
      <c r="J23" s="14"/>
      <c r="K23" s="13"/>
      <c r="L23" s="10"/>
      <c r="M23" s="10"/>
      <c r="N23" s="10"/>
      <c r="O23" s="10"/>
      <c r="P23" s="10"/>
      <c r="Q23" s="14"/>
    </row>
    <row r="24" spans="1:17" x14ac:dyDescent="0.25">
      <c r="A24" s="4"/>
      <c r="B24" s="18" t="str">
        <f>IF(A24="","",_xlfn.MAXIFS('Catalogo de Variaveis'!$N$5:$N$1048576,'Catalogo de Variaveis'!$A$5:$A$1048576,LEFT(A24,4),'Catalogo de Variaveis'!$D$5:$D$1048576,RIGHT(A24,1)))</f>
        <v/>
      </c>
      <c r="C24" s="19" t="str">
        <f t="shared" si="0"/>
        <v/>
      </c>
      <c r="D24" s="13"/>
      <c r="E24" s="10"/>
      <c r="F24" s="10"/>
      <c r="G24" s="10"/>
      <c r="H24" s="10"/>
      <c r="I24" s="10"/>
      <c r="J24" s="14"/>
      <c r="K24" s="13"/>
      <c r="L24" s="10"/>
      <c r="M24" s="10"/>
      <c r="N24" s="10"/>
      <c r="O24" s="10"/>
      <c r="P24" s="10"/>
      <c r="Q24" s="14"/>
    </row>
    <row r="25" spans="1:17" x14ac:dyDescent="0.25">
      <c r="A25" s="4"/>
      <c r="B25" s="18" t="str">
        <f>IF(A25="","",_xlfn.MAXIFS('Catalogo de Variaveis'!$N$5:$N$1048576,'Catalogo de Variaveis'!$A$5:$A$1048576,LEFT(A25,4),'Catalogo de Variaveis'!$D$5:$D$1048576,RIGHT(A25,1)))</f>
        <v/>
      </c>
      <c r="C25" s="19" t="str">
        <f t="shared" si="0"/>
        <v/>
      </c>
      <c r="D25" s="13"/>
      <c r="E25" s="10"/>
      <c r="F25" s="10"/>
      <c r="G25" s="10"/>
      <c r="H25" s="10"/>
      <c r="I25" s="10"/>
      <c r="J25" s="14"/>
      <c r="K25" s="13"/>
      <c r="L25" s="10"/>
      <c r="M25" s="10"/>
      <c r="N25" s="10"/>
      <c r="O25" s="10"/>
      <c r="P25" s="10"/>
      <c r="Q25" s="14"/>
    </row>
    <row r="26" spans="1:17" x14ac:dyDescent="0.25">
      <c r="A26" s="4"/>
      <c r="B26" s="18" t="str">
        <f>IF(A26="","",_xlfn.MAXIFS('Catalogo de Variaveis'!$N$5:$N$1048576,'Catalogo de Variaveis'!$A$5:$A$1048576,LEFT(A26,4),'Catalogo de Variaveis'!$D$5:$D$1048576,RIGHT(A26,1)))</f>
        <v/>
      </c>
      <c r="C26" s="19" t="str">
        <f t="shared" si="0"/>
        <v/>
      </c>
      <c r="D26" s="13"/>
      <c r="E26" s="10"/>
      <c r="F26" s="10"/>
      <c r="G26" s="10"/>
      <c r="H26" s="10"/>
      <c r="I26" s="10"/>
      <c r="J26" s="14"/>
      <c r="K26" s="13"/>
      <c r="L26" s="10"/>
      <c r="M26" s="10"/>
      <c r="N26" s="10"/>
      <c r="O26" s="10"/>
      <c r="P26" s="10"/>
      <c r="Q26" s="14"/>
    </row>
    <row r="27" spans="1:17" x14ac:dyDescent="0.25">
      <c r="A27" s="4"/>
      <c r="B27" s="18" t="str">
        <f>IF(A27="","",_xlfn.MAXIFS('Catalogo de Variaveis'!$N$5:$N$1048576,'Catalogo de Variaveis'!$A$5:$A$1048576,LEFT(A27,4),'Catalogo de Variaveis'!$D$5:$D$1048576,RIGHT(A27,1)))</f>
        <v/>
      </c>
      <c r="C27" s="19" t="str">
        <f t="shared" si="0"/>
        <v/>
      </c>
      <c r="D27" s="13"/>
      <c r="E27" s="10"/>
      <c r="F27" s="10"/>
      <c r="G27" s="10"/>
      <c r="H27" s="10"/>
      <c r="I27" s="10"/>
      <c r="J27" s="14"/>
      <c r="K27" s="13"/>
      <c r="L27" s="10"/>
      <c r="M27" s="10"/>
      <c r="N27" s="10"/>
      <c r="O27" s="10"/>
      <c r="P27" s="10"/>
      <c r="Q27" s="14"/>
    </row>
    <row r="28" spans="1:17" x14ac:dyDescent="0.25">
      <c r="A28" s="4"/>
      <c r="B28" s="18" t="str">
        <f>IF(A28="","",_xlfn.MAXIFS('Catalogo de Variaveis'!$N$5:$N$1048576,'Catalogo de Variaveis'!$A$5:$A$1048576,LEFT(A28,4),'Catalogo de Variaveis'!$D$5:$D$1048576,RIGHT(A28,1)))</f>
        <v/>
      </c>
      <c r="C28" s="19" t="str">
        <f t="shared" si="0"/>
        <v/>
      </c>
      <c r="D28" s="13"/>
      <c r="E28" s="10"/>
      <c r="F28" s="10"/>
      <c r="G28" s="10"/>
      <c r="H28" s="10"/>
      <c r="I28" s="10"/>
      <c r="J28" s="14"/>
      <c r="K28" s="13"/>
      <c r="L28" s="10"/>
      <c r="M28" s="10"/>
      <c r="N28" s="10"/>
      <c r="O28" s="10"/>
      <c r="P28" s="10"/>
      <c r="Q28" s="14"/>
    </row>
    <row r="29" spans="1:17" x14ac:dyDescent="0.25">
      <c r="A29" s="4"/>
      <c r="B29" s="18" t="str">
        <f>IF(A29="","",_xlfn.MAXIFS('Catalogo de Variaveis'!$N$5:$N$1048576,'Catalogo de Variaveis'!$A$5:$A$1048576,LEFT(A29,4),'Catalogo de Variaveis'!$D$5:$D$1048576,RIGHT(A29,1)))</f>
        <v/>
      </c>
      <c r="C29" s="19" t="str">
        <f t="shared" si="0"/>
        <v/>
      </c>
      <c r="D29" s="13"/>
      <c r="E29" s="10"/>
      <c r="F29" s="10"/>
      <c r="G29" s="10"/>
      <c r="H29" s="10"/>
      <c r="I29" s="10"/>
      <c r="J29" s="14"/>
      <c r="K29" s="13"/>
      <c r="L29" s="10"/>
      <c r="M29" s="10"/>
      <c r="N29" s="10"/>
      <c r="O29" s="10"/>
      <c r="P29" s="10"/>
      <c r="Q29" s="14"/>
    </row>
    <row r="30" spans="1:17" x14ac:dyDescent="0.25">
      <c r="A30" s="4"/>
      <c r="B30" s="18" t="str">
        <f>IF(A30="","",_xlfn.MAXIFS('Catalogo de Variaveis'!$N$5:$N$1048576,'Catalogo de Variaveis'!$A$5:$A$1048576,LEFT(A30,4),'Catalogo de Variaveis'!$D$5:$D$1048576,RIGHT(A30,1)))</f>
        <v/>
      </c>
      <c r="C30" s="19" t="str">
        <f t="shared" si="0"/>
        <v/>
      </c>
      <c r="D30" s="13"/>
      <c r="E30" s="10"/>
      <c r="F30" s="10"/>
      <c r="G30" s="10"/>
      <c r="H30" s="10"/>
      <c r="I30" s="10"/>
      <c r="J30" s="14"/>
      <c r="K30" s="13"/>
      <c r="L30" s="10"/>
      <c r="M30" s="10"/>
      <c r="N30" s="10"/>
      <c r="O30" s="10"/>
      <c r="P30" s="10"/>
      <c r="Q30" s="14"/>
    </row>
    <row r="31" spans="1:17" x14ac:dyDescent="0.25">
      <c r="A31" s="4"/>
      <c r="B31" s="18" t="str">
        <f>IF(A31="","",_xlfn.MAXIFS('Catalogo de Variaveis'!$N$5:$N$1048576,'Catalogo de Variaveis'!$A$5:$A$1048576,LEFT(A31,4),'Catalogo de Variaveis'!$D$5:$D$1048576,RIGHT(A31,1)))</f>
        <v/>
      </c>
      <c r="C31" s="19" t="str">
        <f t="shared" si="0"/>
        <v/>
      </c>
      <c r="D31" s="13"/>
      <c r="E31" s="10"/>
      <c r="F31" s="10"/>
      <c r="G31" s="10"/>
      <c r="H31" s="10"/>
      <c r="I31" s="10"/>
      <c r="J31" s="14"/>
      <c r="K31" s="13"/>
      <c r="L31" s="10"/>
      <c r="M31" s="10"/>
      <c r="N31" s="10"/>
      <c r="O31" s="10"/>
      <c r="P31" s="10"/>
      <c r="Q31" s="14"/>
    </row>
    <row r="32" spans="1:17" x14ac:dyDescent="0.25">
      <c r="A32" s="4"/>
      <c r="B32" s="18" t="str">
        <f>IF(A32="","",_xlfn.MAXIFS('Catalogo de Variaveis'!$N$5:$N$1048576,'Catalogo de Variaveis'!$A$5:$A$1048576,LEFT(A32,4),'Catalogo de Variaveis'!$D$5:$D$1048576,RIGHT(A32,1)))</f>
        <v/>
      </c>
      <c r="C32" s="19" t="str">
        <f t="shared" si="0"/>
        <v/>
      </c>
      <c r="D32" s="13"/>
      <c r="E32" s="10"/>
      <c r="F32" s="10"/>
      <c r="G32" s="10"/>
      <c r="H32" s="10"/>
      <c r="I32" s="10"/>
      <c r="J32" s="14"/>
      <c r="K32" s="13"/>
      <c r="L32" s="10"/>
      <c r="M32" s="10"/>
      <c r="N32" s="10"/>
      <c r="O32" s="10"/>
      <c r="P32" s="10"/>
      <c r="Q32" s="14"/>
    </row>
    <row r="33" spans="1:17" x14ac:dyDescent="0.25">
      <c r="A33" s="4"/>
      <c r="B33" s="18" t="str">
        <f>IF(A33="","",_xlfn.MAXIFS('Catalogo de Variaveis'!$N$5:$N$1048576,'Catalogo de Variaveis'!$A$5:$A$1048576,LEFT(A33,4),'Catalogo de Variaveis'!$D$5:$D$1048576,RIGHT(A33,1)))</f>
        <v/>
      </c>
      <c r="C33" s="19" t="str">
        <f t="shared" si="0"/>
        <v/>
      </c>
      <c r="D33" s="13"/>
      <c r="E33" s="10"/>
      <c r="F33" s="10"/>
      <c r="G33" s="10"/>
      <c r="H33" s="10"/>
      <c r="I33" s="10"/>
      <c r="J33" s="14"/>
      <c r="K33" s="13"/>
      <c r="L33" s="10"/>
      <c r="M33" s="10"/>
      <c r="N33" s="10"/>
      <c r="O33" s="10"/>
      <c r="P33" s="10"/>
      <c r="Q33" s="14"/>
    </row>
    <row r="34" spans="1:17" x14ac:dyDescent="0.25">
      <c r="A34" s="4"/>
      <c r="B34" s="18" t="str">
        <f>IF(A34="","",_xlfn.MAXIFS('Catalogo de Variaveis'!$N$5:$N$1048576,'Catalogo de Variaveis'!$A$5:$A$1048576,LEFT(A34,4),'Catalogo de Variaveis'!$D$5:$D$1048576,RIGHT(A34,1)))</f>
        <v/>
      </c>
      <c r="C34" s="19" t="str">
        <f t="shared" si="0"/>
        <v/>
      </c>
      <c r="D34" s="13"/>
      <c r="E34" s="10"/>
      <c r="F34" s="10"/>
      <c r="G34" s="10"/>
      <c r="H34" s="10"/>
      <c r="I34" s="10"/>
      <c r="J34" s="14"/>
      <c r="K34" s="13"/>
      <c r="L34" s="10"/>
      <c r="M34" s="10"/>
      <c r="N34" s="10"/>
      <c r="O34" s="10"/>
      <c r="P34" s="10"/>
      <c r="Q34" s="14"/>
    </row>
    <row r="35" spans="1:17" x14ac:dyDescent="0.25">
      <c r="A35" s="4"/>
      <c r="B35" s="18" t="str">
        <f>IF(A35="","",_xlfn.MAXIFS('Catalogo de Variaveis'!$N$5:$N$1048576,'Catalogo de Variaveis'!$A$5:$A$1048576,LEFT(A35,4),'Catalogo de Variaveis'!$D$5:$D$1048576,RIGHT(A35,1)))</f>
        <v/>
      </c>
      <c r="C35" s="19" t="str">
        <f t="shared" si="0"/>
        <v/>
      </c>
      <c r="D35" s="13"/>
      <c r="E35" s="10"/>
      <c r="F35" s="10"/>
      <c r="G35" s="10"/>
      <c r="H35" s="10"/>
      <c r="I35" s="10"/>
      <c r="J35" s="14"/>
      <c r="K35" s="13"/>
      <c r="L35" s="10"/>
      <c r="M35" s="10"/>
      <c r="N35" s="10"/>
      <c r="O35" s="10"/>
      <c r="P35" s="10"/>
      <c r="Q35" s="14"/>
    </row>
    <row r="36" spans="1:17" x14ac:dyDescent="0.25">
      <c r="A36" s="4"/>
      <c r="B36" s="18" t="str">
        <f>IF(A36="","",_xlfn.MAXIFS('Catalogo de Variaveis'!$N$5:$N$1048576,'Catalogo de Variaveis'!$A$5:$A$1048576,LEFT(A36,4),'Catalogo de Variaveis'!$D$5:$D$1048576,RIGHT(A36,1)))</f>
        <v/>
      </c>
      <c r="C36" s="19" t="str">
        <f t="shared" si="0"/>
        <v/>
      </c>
      <c r="D36" s="13"/>
      <c r="E36" s="10"/>
      <c r="F36" s="10"/>
      <c r="G36" s="10"/>
      <c r="H36" s="10"/>
      <c r="I36" s="10"/>
      <c r="J36" s="14"/>
      <c r="K36" s="13"/>
      <c r="L36" s="10"/>
      <c r="M36" s="10"/>
      <c r="N36" s="10"/>
      <c r="O36" s="10"/>
      <c r="P36" s="10"/>
      <c r="Q36" s="14"/>
    </row>
    <row r="37" spans="1:17" x14ac:dyDescent="0.25">
      <c r="A37" s="4"/>
      <c r="B37" s="18" t="str">
        <f>IF(A37="","",_xlfn.MAXIFS('Catalogo de Variaveis'!$N$5:$N$1048576,'Catalogo de Variaveis'!$A$5:$A$1048576,LEFT(A37,4),'Catalogo de Variaveis'!$D$5:$D$1048576,RIGHT(A37,1)))</f>
        <v/>
      </c>
      <c r="C37" s="19" t="str">
        <f t="shared" si="0"/>
        <v/>
      </c>
      <c r="D37" s="13"/>
      <c r="E37" s="10"/>
      <c r="F37" s="10"/>
      <c r="G37" s="10"/>
      <c r="H37" s="10"/>
      <c r="I37" s="10"/>
      <c r="J37" s="14"/>
      <c r="K37" s="13"/>
      <c r="L37" s="10"/>
      <c r="M37" s="10"/>
      <c r="N37" s="10"/>
      <c r="O37" s="10"/>
      <c r="P37" s="10"/>
      <c r="Q37" s="14"/>
    </row>
    <row r="38" spans="1:17" x14ac:dyDescent="0.25">
      <c r="A38" s="4"/>
      <c r="B38" s="18" t="str">
        <f>IF(A38="","",_xlfn.MAXIFS('Catalogo de Variaveis'!$N$5:$N$1048576,'Catalogo de Variaveis'!$A$5:$A$1048576,LEFT(A38,4),'Catalogo de Variaveis'!$D$5:$D$1048576,RIGHT(A38,1)))</f>
        <v/>
      </c>
      <c r="C38" s="19" t="str">
        <f t="shared" si="0"/>
        <v/>
      </c>
      <c r="D38" s="13"/>
      <c r="E38" s="10"/>
      <c r="F38" s="10"/>
      <c r="G38" s="10"/>
      <c r="H38" s="10"/>
      <c r="I38" s="10"/>
      <c r="J38" s="14"/>
      <c r="K38" s="13"/>
      <c r="L38" s="10"/>
      <c r="M38" s="10"/>
      <c r="N38" s="10"/>
      <c r="O38" s="10"/>
      <c r="P38" s="10"/>
      <c r="Q38" s="14"/>
    </row>
    <row r="39" spans="1:17" x14ac:dyDescent="0.25">
      <c r="A39" s="4"/>
      <c r="B39" s="18" t="str">
        <f>IF(A39="","",_xlfn.MAXIFS('Catalogo de Variaveis'!$N$5:$N$1048576,'Catalogo de Variaveis'!$A$5:$A$1048576,LEFT(A39,4),'Catalogo de Variaveis'!$D$5:$D$1048576,RIGHT(A39,1)))</f>
        <v/>
      </c>
      <c r="C39" s="19" t="str">
        <f t="shared" si="0"/>
        <v/>
      </c>
      <c r="D39" s="13"/>
      <c r="E39" s="10"/>
      <c r="F39" s="10"/>
      <c r="G39" s="10"/>
      <c r="H39" s="10"/>
      <c r="I39" s="10"/>
      <c r="J39" s="14"/>
      <c r="K39" s="13"/>
      <c r="L39" s="10"/>
      <c r="M39" s="10"/>
      <c r="N39" s="10"/>
      <c r="O39" s="10"/>
      <c r="P39" s="10"/>
      <c r="Q39" s="14"/>
    </row>
    <row r="40" spans="1:17" x14ac:dyDescent="0.25">
      <c r="A40" s="4"/>
      <c r="B40" s="18" t="str">
        <f>IF(A40="","",_xlfn.MAXIFS('Catalogo de Variaveis'!$N$5:$N$1048576,'Catalogo de Variaveis'!$A$5:$A$1048576,LEFT(A40,4),'Catalogo de Variaveis'!$D$5:$D$1048576,RIGHT(A40,1)))</f>
        <v/>
      </c>
      <c r="C40" s="19" t="str">
        <f t="shared" si="0"/>
        <v/>
      </c>
      <c r="D40" s="13"/>
      <c r="E40" s="10"/>
      <c r="F40" s="10"/>
      <c r="G40" s="10"/>
      <c r="H40" s="10"/>
      <c r="I40" s="10"/>
      <c r="J40" s="14"/>
      <c r="K40" s="13"/>
      <c r="L40" s="10"/>
      <c r="M40" s="10"/>
      <c r="N40" s="10"/>
      <c r="O40" s="10"/>
      <c r="P40" s="10"/>
      <c r="Q40" s="14"/>
    </row>
    <row r="41" spans="1:17" x14ac:dyDescent="0.25">
      <c r="A41" s="4"/>
      <c r="B41" s="18" t="str">
        <f>IF(A41="","",_xlfn.MAXIFS('Catalogo de Variaveis'!$N$5:$N$1048576,'Catalogo de Variaveis'!$A$5:$A$1048576,LEFT(A41,4),'Catalogo de Variaveis'!$D$5:$D$1048576,RIGHT(A41,1)))</f>
        <v/>
      </c>
      <c r="C41" s="19" t="str">
        <f t="shared" si="0"/>
        <v/>
      </c>
      <c r="D41" s="13"/>
      <c r="E41" s="10"/>
      <c r="F41" s="10"/>
      <c r="G41" s="10"/>
      <c r="H41" s="10"/>
      <c r="I41" s="10"/>
      <c r="J41" s="14"/>
      <c r="K41" s="13"/>
      <c r="L41" s="10"/>
      <c r="M41" s="10"/>
      <c r="N41" s="10"/>
      <c r="O41" s="10"/>
      <c r="P41" s="10"/>
      <c r="Q41" s="14"/>
    </row>
    <row r="42" spans="1:17" x14ac:dyDescent="0.25">
      <c r="A42" s="4"/>
      <c r="B42" s="18" t="str">
        <f>IF(A42="","",_xlfn.MAXIFS('Catalogo de Variaveis'!$N$5:$N$1048576,'Catalogo de Variaveis'!$A$5:$A$1048576,LEFT(A42,4),'Catalogo de Variaveis'!$D$5:$D$1048576,RIGHT(A42,1)))</f>
        <v/>
      </c>
      <c r="C42" s="19" t="str">
        <f t="shared" si="0"/>
        <v/>
      </c>
      <c r="D42" s="13"/>
      <c r="E42" s="10"/>
      <c r="F42" s="10"/>
      <c r="G42" s="10"/>
      <c r="H42" s="10"/>
      <c r="I42" s="10"/>
      <c r="J42" s="14"/>
      <c r="K42" s="13"/>
      <c r="L42" s="10"/>
      <c r="M42" s="10"/>
      <c r="N42" s="10"/>
      <c r="O42" s="10"/>
      <c r="P42" s="10"/>
      <c r="Q42" s="14"/>
    </row>
    <row r="43" spans="1:17" x14ac:dyDescent="0.25">
      <c r="A43" s="4"/>
      <c r="B43" s="18" t="str">
        <f>IF(A43="","",_xlfn.MAXIFS('Catalogo de Variaveis'!$N$5:$N$1048576,'Catalogo de Variaveis'!$A$5:$A$1048576,LEFT(A43,4),'Catalogo de Variaveis'!$D$5:$D$1048576,RIGHT(A43,1)))</f>
        <v/>
      </c>
      <c r="C43" s="19" t="str">
        <f t="shared" si="0"/>
        <v/>
      </c>
      <c r="D43" s="13"/>
      <c r="E43" s="10"/>
      <c r="F43" s="10"/>
      <c r="G43" s="10"/>
      <c r="H43" s="10"/>
      <c r="I43" s="10"/>
      <c r="J43" s="14"/>
      <c r="K43" s="13"/>
      <c r="L43" s="10"/>
      <c r="M43" s="10"/>
      <c r="N43" s="10"/>
      <c r="O43" s="10"/>
      <c r="P43" s="10"/>
      <c r="Q43" s="14"/>
    </row>
    <row r="44" spans="1:17" x14ac:dyDescent="0.25">
      <c r="A44" s="4"/>
      <c r="B44" s="18" t="str">
        <f>IF(A44="","",_xlfn.MAXIFS('Catalogo de Variaveis'!$N$5:$N$1048576,'Catalogo de Variaveis'!$A$5:$A$1048576,LEFT(A44,4),'Catalogo de Variaveis'!$D$5:$D$1048576,RIGHT(A44,1)))</f>
        <v/>
      </c>
      <c r="C44" s="19" t="str">
        <f t="shared" si="0"/>
        <v/>
      </c>
      <c r="D44" s="13"/>
      <c r="E44" s="10"/>
      <c r="F44" s="10"/>
      <c r="G44" s="10"/>
      <c r="H44" s="10"/>
      <c r="I44" s="10"/>
      <c r="J44" s="14"/>
      <c r="K44" s="13"/>
      <c r="L44" s="10"/>
      <c r="M44" s="10"/>
      <c r="N44" s="10"/>
      <c r="O44" s="10"/>
      <c r="P44" s="10"/>
      <c r="Q44" s="14"/>
    </row>
    <row r="45" spans="1:17" x14ac:dyDescent="0.25">
      <c r="A45" s="4"/>
      <c r="B45" s="18" t="str">
        <f>IF(A45="","",_xlfn.MAXIFS('Catalogo de Variaveis'!$N$5:$N$1048576,'Catalogo de Variaveis'!$A$5:$A$1048576,LEFT(A45,4),'Catalogo de Variaveis'!$D$5:$D$1048576,RIGHT(A45,1)))</f>
        <v/>
      </c>
      <c r="C45" s="19" t="str">
        <f t="shared" si="0"/>
        <v/>
      </c>
      <c r="D45" s="13"/>
      <c r="E45" s="10"/>
      <c r="F45" s="10"/>
      <c r="G45" s="10"/>
      <c r="H45" s="10"/>
      <c r="I45" s="10"/>
      <c r="J45" s="14"/>
      <c r="K45" s="13"/>
      <c r="L45" s="10"/>
      <c r="M45" s="10"/>
      <c r="N45" s="10"/>
      <c r="O45" s="10"/>
      <c r="P45" s="10"/>
      <c r="Q45" s="14"/>
    </row>
    <row r="46" spans="1:17" x14ac:dyDescent="0.25">
      <c r="A46" s="4"/>
      <c r="B46" s="18" t="str">
        <f>IF(A46="","",_xlfn.MAXIFS('Catalogo de Variaveis'!$N$5:$N$1048576,'Catalogo de Variaveis'!$A$5:$A$1048576,LEFT(A46,4),'Catalogo de Variaveis'!$D$5:$D$1048576,RIGHT(A46,1)))</f>
        <v/>
      </c>
      <c r="C46" s="19" t="str">
        <f t="shared" si="0"/>
        <v/>
      </c>
      <c r="D46" s="13"/>
      <c r="E46" s="10"/>
      <c r="F46" s="10"/>
      <c r="G46" s="10"/>
      <c r="H46" s="10"/>
      <c r="I46" s="10"/>
      <c r="J46" s="14"/>
      <c r="K46" s="13"/>
      <c r="L46" s="10"/>
      <c r="M46" s="10"/>
      <c r="N46" s="10"/>
      <c r="O46" s="10"/>
      <c r="P46" s="10"/>
      <c r="Q46" s="14"/>
    </row>
    <row r="47" spans="1:17" x14ac:dyDescent="0.25">
      <c r="A47" s="4"/>
      <c r="B47" s="18" t="str">
        <f>IF(A47="","",_xlfn.MAXIFS('Catalogo de Variaveis'!$N$5:$N$1048576,'Catalogo de Variaveis'!$A$5:$A$1048576,LEFT(A47,4),'Catalogo de Variaveis'!$D$5:$D$1048576,RIGHT(A47,1)))</f>
        <v/>
      </c>
      <c r="C47" s="19" t="str">
        <f t="shared" si="0"/>
        <v/>
      </c>
      <c r="D47" s="13"/>
      <c r="E47" s="10"/>
      <c r="F47" s="10"/>
      <c r="G47" s="10"/>
      <c r="H47" s="10"/>
      <c r="I47" s="10"/>
      <c r="J47" s="14"/>
      <c r="K47" s="13"/>
      <c r="L47" s="10"/>
      <c r="M47" s="10"/>
      <c r="N47" s="10"/>
      <c r="O47" s="10"/>
      <c r="P47" s="10"/>
      <c r="Q47" s="14"/>
    </row>
    <row r="48" spans="1:17" x14ac:dyDescent="0.25">
      <c r="A48" s="4"/>
      <c r="B48" s="18" t="str">
        <f>IF(A48="","",_xlfn.MAXIFS('Catalogo de Variaveis'!$N$5:$N$1048576,'Catalogo de Variaveis'!$A$5:$A$1048576,LEFT(A48,4),'Catalogo de Variaveis'!$D$5:$D$1048576,RIGHT(A48,1)))</f>
        <v/>
      </c>
      <c r="C48" s="19" t="str">
        <f t="shared" si="0"/>
        <v/>
      </c>
      <c r="D48" s="13"/>
      <c r="E48" s="10"/>
      <c r="F48" s="10"/>
      <c r="G48" s="10"/>
      <c r="H48" s="10"/>
      <c r="I48" s="10"/>
      <c r="J48" s="14"/>
      <c r="K48" s="13"/>
      <c r="L48" s="10"/>
      <c r="M48" s="10"/>
      <c r="N48" s="10"/>
      <c r="O48" s="10"/>
      <c r="P48" s="10"/>
      <c r="Q48" s="14"/>
    </row>
    <row r="49" spans="1:17" x14ac:dyDescent="0.25">
      <c r="A49" s="4"/>
      <c r="B49" s="18" t="str">
        <f>IF(A49="","",_xlfn.MAXIFS('Catalogo de Variaveis'!$N$5:$N$1048576,'Catalogo de Variaveis'!$A$5:$A$1048576,LEFT(A49,4),'Catalogo de Variaveis'!$D$5:$D$1048576,RIGHT(A49,1)))</f>
        <v/>
      </c>
      <c r="C49" s="19" t="str">
        <f t="shared" si="0"/>
        <v/>
      </c>
      <c r="D49" s="13"/>
      <c r="E49" s="10"/>
      <c r="F49" s="10"/>
      <c r="G49" s="10"/>
      <c r="H49" s="10"/>
      <c r="I49" s="10"/>
      <c r="J49" s="14"/>
      <c r="K49" s="13"/>
      <c r="L49" s="10"/>
      <c r="M49" s="10"/>
      <c r="N49" s="10"/>
      <c r="O49" s="10"/>
      <c r="P49" s="10"/>
      <c r="Q49" s="14"/>
    </row>
    <row r="50" spans="1:17" x14ac:dyDescent="0.25">
      <c r="A50" s="4"/>
      <c r="B50" s="18" t="str">
        <f>IF(A50="","",_xlfn.MAXIFS('Catalogo de Variaveis'!$N$5:$N$1048576,'Catalogo de Variaveis'!$A$5:$A$1048576,LEFT(A50,4),'Catalogo de Variaveis'!$D$5:$D$1048576,RIGHT(A50,1)))</f>
        <v/>
      </c>
      <c r="C50" s="19" t="str">
        <f t="shared" si="0"/>
        <v/>
      </c>
      <c r="D50" s="13"/>
      <c r="E50" s="10"/>
      <c r="F50" s="10"/>
      <c r="G50" s="10"/>
      <c r="H50" s="10"/>
      <c r="I50" s="10"/>
      <c r="J50" s="14"/>
      <c r="K50" s="13"/>
      <c r="L50" s="10"/>
      <c r="M50" s="10"/>
      <c r="N50" s="10"/>
      <c r="O50" s="10"/>
      <c r="P50" s="10"/>
      <c r="Q50" s="14"/>
    </row>
    <row r="51" spans="1:17" x14ac:dyDescent="0.25">
      <c r="A51" s="4"/>
      <c r="B51" s="18" t="str">
        <f>IF(A51="","",_xlfn.MAXIFS('Catalogo de Variaveis'!$N$5:$N$1048576,'Catalogo de Variaveis'!$A$5:$A$1048576,LEFT(A51,4),'Catalogo de Variaveis'!$D$5:$D$1048576,RIGHT(A51,1)))</f>
        <v/>
      </c>
      <c r="C51" s="19" t="str">
        <f t="shared" si="0"/>
        <v/>
      </c>
      <c r="D51" s="13"/>
      <c r="E51" s="10"/>
      <c r="F51" s="10"/>
      <c r="G51" s="10"/>
      <c r="H51" s="10"/>
      <c r="I51" s="10"/>
      <c r="J51" s="14"/>
      <c r="K51" s="13"/>
      <c r="L51" s="10"/>
      <c r="M51" s="10"/>
      <c r="N51" s="10"/>
      <c r="O51" s="10"/>
      <c r="P51" s="10"/>
      <c r="Q51" s="14"/>
    </row>
    <row r="52" spans="1:17" x14ac:dyDescent="0.25">
      <c r="A52" s="4"/>
      <c r="B52" s="18" t="str">
        <f>IF(A52="","",_xlfn.MAXIFS('Catalogo de Variaveis'!$N$5:$N$1048576,'Catalogo de Variaveis'!$A$5:$A$1048576,LEFT(A52,4),'Catalogo de Variaveis'!$D$5:$D$1048576,RIGHT(A52,1)))</f>
        <v/>
      </c>
      <c r="C52" s="19" t="str">
        <f t="shared" si="0"/>
        <v/>
      </c>
      <c r="D52" s="13"/>
      <c r="E52" s="10"/>
      <c r="F52" s="10"/>
      <c r="G52" s="10"/>
      <c r="H52" s="10"/>
      <c r="I52" s="10"/>
      <c r="J52" s="14"/>
      <c r="K52" s="13"/>
      <c r="L52" s="10"/>
      <c r="M52" s="10"/>
      <c r="N52" s="10"/>
      <c r="O52" s="10"/>
      <c r="P52" s="10"/>
      <c r="Q52" s="14"/>
    </row>
    <row r="53" spans="1:17" x14ac:dyDescent="0.25">
      <c r="A53" s="4"/>
      <c r="B53" s="18" t="str">
        <f>IF(A53="","",_xlfn.MAXIFS('Catalogo de Variaveis'!$N$5:$N$1048576,'Catalogo de Variaveis'!$A$5:$A$1048576,LEFT(A53,4),'Catalogo de Variaveis'!$D$5:$D$1048576,RIGHT(A53,1)))</f>
        <v/>
      </c>
      <c r="C53" s="19" t="str">
        <f t="shared" si="0"/>
        <v/>
      </c>
      <c r="D53" s="13"/>
      <c r="E53" s="10"/>
      <c r="F53" s="10"/>
      <c r="G53" s="10"/>
      <c r="H53" s="10"/>
      <c r="I53" s="10"/>
      <c r="J53" s="14"/>
      <c r="K53" s="13"/>
      <c r="L53" s="10"/>
      <c r="M53" s="10"/>
      <c r="N53" s="10"/>
      <c r="O53" s="10"/>
      <c r="P53" s="10"/>
      <c r="Q53" s="14"/>
    </row>
    <row r="54" spans="1:17" x14ac:dyDescent="0.25">
      <c r="A54" s="4"/>
      <c r="B54" s="18" t="str">
        <f>IF(A54="","",_xlfn.MAXIFS('Catalogo de Variaveis'!$N$5:$N$1048576,'Catalogo de Variaveis'!$A$5:$A$1048576,LEFT(A54,4),'Catalogo de Variaveis'!$D$5:$D$1048576,RIGHT(A54,1)))</f>
        <v/>
      </c>
      <c r="C54" s="19" t="str">
        <f t="shared" si="0"/>
        <v/>
      </c>
      <c r="D54" s="13"/>
      <c r="E54" s="10"/>
      <c r="F54" s="10"/>
      <c r="G54" s="10"/>
      <c r="H54" s="10"/>
      <c r="I54" s="10"/>
      <c r="J54" s="14"/>
      <c r="K54" s="13"/>
      <c r="L54" s="10"/>
      <c r="M54" s="10"/>
      <c r="N54" s="10"/>
      <c r="O54" s="10"/>
      <c r="P54" s="10"/>
      <c r="Q54" s="14"/>
    </row>
    <row r="55" spans="1:17" x14ac:dyDescent="0.25">
      <c r="A55" s="4"/>
      <c r="B55" s="18" t="str">
        <f>IF(A55="","",_xlfn.MAXIFS('Catalogo de Variaveis'!$N$5:$N$1048576,'Catalogo de Variaveis'!$A$5:$A$1048576,LEFT(A55,4),'Catalogo de Variaveis'!$D$5:$D$1048576,RIGHT(A55,1)))</f>
        <v/>
      </c>
      <c r="C55" s="19" t="str">
        <f t="shared" si="0"/>
        <v/>
      </c>
      <c r="D55" s="13"/>
      <c r="E55" s="10"/>
      <c r="F55" s="10"/>
      <c r="G55" s="10"/>
      <c r="H55" s="10"/>
      <c r="I55" s="10"/>
      <c r="J55" s="14"/>
      <c r="K55" s="13"/>
      <c r="L55" s="10"/>
      <c r="M55" s="10"/>
      <c r="N55" s="10"/>
      <c r="O55" s="10"/>
      <c r="P55" s="10"/>
      <c r="Q55" s="14"/>
    </row>
    <row r="56" spans="1:17" x14ac:dyDescent="0.25">
      <c r="A56" s="4"/>
      <c r="B56" s="18" t="str">
        <f>IF(A56="","",_xlfn.MAXIFS('Catalogo de Variaveis'!$N$5:$N$1048576,'Catalogo de Variaveis'!$A$5:$A$1048576,LEFT(A56,4),'Catalogo de Variaveis'!$D$5:$D$1048576,RIGHT(A56,1)))</f>
        <v/>
      </c>
      <c r="C56" s="19" t="str">
        <f t="shared" si="0"/>
        <v/>
      </c>
      <c r="D56" s="13"/>
      <c r="E56" s="10"/>
      <c r="F56" s="10"/>
      <c r="G56" s="10"/>
      <c r="H56" s="10"/>
      <c r="I56" s="10"/>
      <c r="J56" s="14"/>
      <c r="K56" s="13"/>
      <c r="L56" s="10"/>
      <c r="M56" s="10"/>
      <c r="N56" s="10"/>
      <c r="O56" s="10"/>
      <c r="P56" s="10"/>
      <c r="Q56" s="14"/>
    </row>
    <row r="57" spans="1:17" x14ac:dyDescent="0.25">
      <c r="A57" s="4"/>
      <c r="B57" s="18" t="str">
        <f>IF(A57="","",_xlfn.MAXIFS('Catalogo de Variaveis'!$N$5:$N$1048576,'Catalogo de Variaveis'!$A$5:$A$1048576,LEFT(A57,4),'Catalogo de Variaveis'!$D$5:$D$1048576,RIGHT(A57,1)))</f>
        <v/>
      </c>
      <c r="C57" s="19" t="str">
        <f t="shared" si="0"/>
        <v/>
      </c>
      <c r="D57" s="13"/>
      <c r="E57" s="10"/>
      <c r="F57" s="10"/>
      <c r="G57" s="10"/>
      <c r="H57" s="10"/>
      <c r="I57" s="10"/>
      <c r="J57" s="14"/>
      <c r="K57" s="13"/>
      <c r="L57" s="10"/>
      <c r="M57" s="10"/>
      <c r="N57" s="10"/>
      <c r="O57" s="10"/>
      <c r="P57" s="10"/>
      <c r="Q57" s="14"/>
    </row>
    <row r="58" spans="1:17" x14ac:dyDescent="0.25">
      <c r="A58" s="4"/>
      <c r="B58" s="18" t="str">
        <f>IF(A58="","",_xlfn.MAXIFS('Catalogo de Variaveis'!$N$5:$N$1048576,'Catalogo de Variaveis'!$A$5:$A$1048576,LEFT(A58,4),'Catalogo de Variaveis'!$D$5:$D$1048576,RIGHT(A58,1)))</f>
        <v/>
      </c>
      <c r="C58" s="19" t="str">
        <f t="shared" si="0"/>
        <v/>
      </c>
      <c r="D58" s="13"/>
      <c r="E58" s="10"/>
      <c r="F58" s="10"/>
      <c r="G58" s="10"/>
      <c r="H58" s="10"/>
      <c r="I58" s="10"/>
      <c r="J58" s="14"/>
      <c r="K58" s="13"/>
      <c r="L58" s="10"/>
      <c r="M58" s="10"/>
      <c r="N58" s="10"/>
      <c r="O58" s="10"/>
      <c r="P58" s="10"/>
      <c r="Q58" s="14"/>
    </row>
    <row r="59" spans="1:17" x14ac:dyDescent="0.25">
      <c r="A59" s="4"/>
      <c r="B59" s="18" t="str">
        <f>IF(A59="","",_xlfn.MAXIFS('Catalogo de Variaveis'!$N$5:$N$1048576,'Catalogo de Variaveis'!$A$5:$A$1048576,LEFT(A59,4),'Catalogo de Variaveis'!$D$5:$D$1048576,RIGHT(A59,1)))</f>
        <v/>
      </c>
      <c r="C59" s="19" t="str">
        <f t="shared" si="0"/>
        <v/>
      </c>
      <c r="D59" s="13"/>
      <c r="E59" s="10"/>
      <c r="F59" s="10"/>
      <c r="G59" s="10"/>
      <c r="H59" s="10"/>
      <c r="I59" s="10"/>
      <c r="J59" s="14"/>
      <c r="K59" s="13"/>
      <c r="L59" s="10"/>
      <c r="M59" s="10"/>
      <c r="N59" s="10"/>
      <c r="O59" s="10"/>
      <c r="P59" s="10"/>
      <c r="Q59" s="14"/>
    </row>
    <row r="60" spans="1:17" x14ac:dyDescent="0.25">
      <c r="A60" s="4"/>
      <c r="B60" s="18" t="str">
        <f>IF(A60="","",_xlfn.MAXIFS('Catalogo de Variaveis'!$N$5:$N$1048576,'Catalogo de Variaveis'!$A$5:$A$1048576,LEFT(A60,4),'Catalogo de Variaveis'!$D$5:$D$1048576,RIGHT(A60,1)))</f>
        <v/>
      </c>
      <c r="C60" s="19" t="str">
        <f t="shared" si="0"/>
        <v/>
      </c>
      <c r="D60" s="13"/>
      <c r="E60" s="10"/>
      <c r="F60" s="10"/>
      <c r="G60" s="10"/>
      <c r="H60" s="10"/>
      <c r="I60" s="10"/>
      <c r="J60" s="14"/>
      <c r="K60" s="13"/>
      <c r="L60" s="10"/>
      <c r="M60" s="10"/>
      <c r="N60" s="10"/>
      <c r="O60" s="10"/>
      <c r="P60" s="10"/>
      <c r="Q60" s="14"/>
    </row>
  </sheetData>
  <mergeCells count="4">
    <mergeCell ref="A7:C7"/>
    <mergeCell ref="D7:J7"/>
    <mergeCell ref="K7:Q7"/>
    <mergeCell ref="A5:Q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600D-592D-4069-89F0-4A08942C4C3B}">
  <dimension ref="A1:Q60"/>
  <sheetViews>
    <sheetView topLeftCell="A5" zoomScale="161" zoomScaleNormal="161" workbookViewId="0">
      <selection activeCell="A5" sqref="A5:Q6"/>
    </sheetView>
  </sheetViews>
  <sheetFormatPr defaultRowHeight="15" x14ac:dyDescent="0.25"/>
  <cols>
    <col min="1" max="1" width="13.85546875" style="2" bestFit="1" customWidth="1"/>
    <col min="2" max="3" width="10.7109375" customWidth="1"/>
  </cols>
  <sheetData>
    <row r="1" spans="1:17" hidden="1" x14ac:dyDescent="0.25">
      <c r="A1" s="7" t="s">
        <v>0</v>
      </c>
      <c r="B1" s="9">
        <f>AVERAGE(B9:B1048576)</f>
        <v>3.8571428571428572</v>
      </c>
      <c r="C1" s="9">
        <f>AVERAGE(C9:C1048576)</f>
        <v>0</v>
      </c>
      <c r="I1" s="7" t="s">
        <v>25</v>
      </c>
      <c r="J1" s="16" t="str">
        <f>IF(LME="","",LME)</f>
        <v/>
      </c>
    </row>
    <row r="2" spans="1:17" hidden="1" x14ac:dyDescent="0.25">
      <c r="A2" s="7" t="s">
        <v>1</v>
      </c>
      <c r="B2" s="9">
        <f>_xlfn.STDEV.S(B9:B1048576)</f>
        <v>6.4917530100010081</v>
      </c>
      <c r="C2" s="9">
        <f>_xlfn.STDEV.S(C9:C1048576)</f>
        <v>8.1034971874288129</v>
      </c>
      <c r="I2" s="7" t="s">
        <v>26</v>
      </c>
      <c r="J2" s="16" t="str">
        <f>IF(VME="","",VME/3)</f>
        <v/>
      </c>
    </row>
    <row r="3" spans="1:17" hidden="1" x14ac:dyDescent="0.25">
      <c r="A3" s="7" t="s">
        <v>2</v>
      </c>
      <c r="B3" s="9">
        <f>MAX(B9:B1048576)</f>
        <v>16</v>
      </c>
      <c r="C3" s="9">
        <f>MAX(C9:C1048576)</f>
        <v>16</v>
      </c>
    </row>
    <row r="4" spans="1:17" hidden="1" x14ac:dyDescent="0.25">
      <c r="A4" s="7" t="s">
        <v>3</v>
      </c>
      <c r="B4" s="9">
        <f>MIN(B9:B1048576)</f>
        <v>0</v>
      </c>
      <c r="C4" s="9">
        <f>MIN(C9:C1048576)</f>
        <v>-10</v>
      </c>
    </row>
    <row r="5" spans="1:17" ht="15" customHeight="1" x14ac:dyDescent="0.25">
      <c r="A5" s="22" t="s">
        <v>53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 t="s">
        <v>45</v>
      </c>
      <c r="B9" s="18">
        <f>IF(A9="","",SUMIFS('Catalogo de Variaveis'!$O$5:$O$1048576,'Catalogo de Variaveis'!$A$5:$A$1048576,LEFT(A9,4),'Catalogo de Variaveis'!$D$5:$D$1048576,RIGHT(A9,1)))</f>
        <v>0</v>
      </c>
      <c r="C9" s="19">
        <f>IFERROR(IF(A9="","",B9-B8),0)</f>
        <v>0</v>
      </c>
      <c r="D9" s="13"/>
      <c r="E9" s="10"/>
      <c r="F9" s="10"/>
      <c r="G9" s="10"/>
      <c r="H9" s="10"/>
      <c r="I9" s="10"/>
      <c r="J9" s="14"/>
      <c r="K9" s="13"/>
      <c r="L9" s="10"/>
      <c r="M9" s="10"/>
      <c r="N9" s="10"/>
      <c r="O9" s="10"/>
      <c r="P9" s="10"/>
      <c r="Q9" s="14"/>
    </row>
    <row r="10" spans="1:17" x14ac:dyDescent="0.25">
      <c r="A10" s="4" t="s">
        <v>46</v>
      </c>
      <c r="B10" s="18">
        <f>IF(A10="","",SUMIFS('Catalogo de Variaveis'!$O$5:$O$1048576,'Catalogo de Variaveis'!$A$5:$A$1048576,LEFT(A10,4),'Catalogo de Variaveis'!$D$5:$D$1048576,RIGHT(A10,1)))</f>
        <v>16</v>
      </c>
      <c r="C10" s="19">
        <f t="shared" ref="C10:C60" si="0">IFERROR(IF(A10="","",B10-B9),0)</f>
        <v>16</v>
      </c>
      <c r="D10" s="13"/>
      <c r="E10" s="10"/>
      <c r="F10" s="10"/>
      <c r="G10" s="10"/>
      <c r="H10" s="10"/>
      <c r="I10" s="10"/>
      <c r="J10" s="14"/>
      <c r="K10" s="13"/>
      <c r="L10" s="10"/>
      <c r="M10" s="10"/>
      <c r="N10" s="10"/>
      <c r="O10" s="10"/>
      <c r="P10" s="10"/>
      <c r="Q10" s="14"/>
    </row>
    <row r="11" spans="1:17" x14ac:dyDescent="0.25">
      <c r="A11" s="4" t="s">
        <v>47</v>
      </c>
      <c r="B11" s="18">
        <f>IF(A11="","",SUMIFS('Catalogo de Variaveis'!$O$5:$O$1048576,'Catalogo de Variaveis'!$A$5:$A$1048576,LEFT(A11,4),'Catalogo de Variaveis'!$D$5:$D$1048576,RIGHT(A11,1)))</f>
        <v>10</v>
      </c>
      <c r="C11" s="19">
        <f t="shared" si="0"/>
        <v>-6</v>
      </c>
      <c r="D11" s="13"/>
      <c r="E11" s="10"/>
      <c r="F11" s="10"/>
      <c r="G11" s="10"/>
      <c r="H11" s="10"/>
      <c r="I11" s="10"/>
      <c r="J11" s="14"/>
      <c r="K11" s="13"/>
      <c r="L11" s="10"/>
      <c r="M11" s="10"/>
      <c r="N11" s="10"/>
      <c r="O11" s="10"/>
      <c r="P11" s="10"/>
      <c r="Q11" s="14"/>
    </row>
    <row r="12" spans="1:17" x14ac:dyDescent="0.25">
      <c r="A12" s="4" t="s">
        <v>48</v>
      </c>
      <c r="B12" s="18">
        <f>IF(A12="","",SUMIFS('Catalogo de Variaveis'!$O$5:$O$1048576,'Catalogo de Variaveis'!$A$5:$A$1048576,LEFT(A12,4),'Catalogo de Variaveis'!$D$5:$D$1048576,RIGHT(A12,1)))</f>
        <v>0</v>
      </c>
      <c r="C12" s="19">
        <f t="shared" si="0"/>
        <v>-10</v>
      </c>
      <c r="D12" s="13"/>
      <c r="E12" s="10"/>
      <c r="F12" s="10"/>
      <c r="G12" s="10"/>
      <c r="H12" s="10"/>
      <c r="I12" s="10"/>
      <c r="J12" s="14"/>
      <c r="K12" s="13"/>
      <c r="L12" s="10"/>
      <c r="M12" s="10"/>
      <c r="N12" s="10"/>
      <c r="O12" s="10"/>
      <c r="P12" s="10"/>
      <c r="Q12" s="14"/>
    </row>
    <row r="13" spans="1:17" x14ac:dyDescent="0.25">
      <c r="A13" s="4" t="s">
        <v>49</v>
      </c>
      <c r="B13" s="18">
        <f>IF(A13="","",SUMIFS('Catalogo de Variaveis'!$O$5:$O$1048576,'Catalogo de Variaveis'!$A$5:$A$1048576,LEFT(A13,4),'Catalogo de Variaveis'!$D$5:$D$1048576,RIGHT(A13,1)))</f>
        <v>0</v>
      </c>
      <c r="C13" s="19">
        <f t="shared" si="0"/>
        <v>0</v>
      </c>
      <c r="D13" s="13"/>
      <c r="E13" s="10"/>
      <c r="F13" s="10"/>
      <c r="G13" s="10"/>
      <c r="H13" s="10"/>
      <c r="I13" s="10"/>
      <c r="J13" s="14"/>
      <c r="K13" s="13"/>
      <c r="L13" s="10"/>
      <c r="M13" s="10"/>
      <c r="N13" s="10"/>
      <c r="O13" s="10"/>
      <c r="P13" s="10"/>
      <c r="Q13" s="14"/>
    </row>
    <row r="14" spans="1:17" x14ac:dyDescent="0.25">
      <c r="A14" s="4" t="s">
        <v>50</v>
      </c>
      <c r="B14" s="18">
        <f>IF(A14="","",SUMIFS('Catalogo de Variaveis'!$O$5:$O$1048576,'Catalogo de Variaveis'!$A$5:$A$1048576,LEFT(A14,4),'Catalogo de Variaveis'!$D$5:$D$1048576,RIGHT(A14,1)))</f>
        <v>1</v>
      </c>
      <c r="C14" s="19">
        <f t="shared" si="0"/>
        <v>1</v>
      </c>
      <c r="D14" s="13"/>
      <c r="E14" s="10"/>
      <c r="F14" s="10"/>
      <c r="G14" s="10"/>
      <c r="H14" s="10"/>
      <c r="I14" s="10"/>
      <c r="J14" s="14"/>
      <c r="K14" s="13"/>
      <c r="L14" s="10"/>
      <c r="M14" s="10"/>
      <c r="N14" s="10"/>
      <c r="O14" s="10"/>
      <c r="P14" s="10"/>
      <c r="Q14" s="14"/>
    </row>
    <row r="15" spans="1:17" x14ac:dyDescent="0.25">
      <c r="A15" s="4" t="s">
        <v>51</v>
      </c>
      <c r="B15" s="18">
        <f>IF(A15="","",SUMIFS('Catalogo de Variaveis'!$O$5:$O$1048576,'Catalogo de Variaveis'!$A$5:$A$1048576,LEFT(A15,4),'Catalogo de Variaveis'!$D$5:$D$1048576,RIGHT(A15,1)))</f>
        <v>0</v>
      </c>
      <c r="C15" s="19">
        <f t="shared" si="0"/>
        <v>-1</v>
      </c>
      <c r="D15" s="13"/>
      <c r="E15" s="10"/>
      <c r="F15" s="10"/>
      <c r="G15" s="10"/>
      <c r="H15" s="10"/>
      <c r="I15" s="10"/>
      <c r="J15" s="14"/>
      <c r="K15" s="13"/>
      <c r="L15" s="10"/>
      <c r="M15" s="10"/>
      <c r="N15" s="10"/>
      <c r="O15" s="10"/>
      <c r="P15" s="10"/>
      <c r="Q15" s="14"/>
    </row>
    <row r="16" spans="1:17" x14ac:dyDescent="0.25">
      <c r="A16" s="4"/>
      <c r="B16" s="18" t="str">
        <f>IF(A16="","",SUMIFS('Catalogo de Variaveis'!$O$5:$O$1048576,'Catalogo de Variaveis'!$A$5:$A$1048576,LEFT(A16,4),'Catalogo de Variaveis'!$D$5:$D$1048576,RIGHT(A16,1)))</f>
        <v/>
      </c>
      <c r="C16" s="19" t="str">
        <f t="shared" si="0"/>
        <v/>
      </c>
      <c r="D16" s="13"/>
      <c r="E16" s="10"/>
      <c r="F16" s="10"/>
      <c r="G16" s="10"/>
      <c r="H16" s="10"/>
      <c r="I16" s="10"/>
      <c r="J16" s="14"/>
      <c r="K16" s="13"/>
      <c r="L16" s="10"/>
      <c r="M16" s="10"/>
      <c r="N16" s="10"/>
      <c r="O16" s="10"/>
      <c r="P16" s="10"/>
      <c r="Q16" s="14"/>
    </row>
    <row r="17" spans="1:17" x14ac:dyDescent="0.25">
      <c r="A17" s="4"/>
      <c r="B17" s="18" t="str">
        <f>IF(A17="","",SUMIFS('Catalogo de Variaveis'!$O$5:$O$1048576,'Catalogo de Variaveis'!$A$5:$A$1048576,LEFT(A17,4),'Catalogo de Variaveis'!$D$5:$D$1048576,RIGHT(A17,1)))</f>
        <v/>
      </c>
      <c r="C17" s="19" t="str">
        <f t="shared" si="0"/>
        <v/>
      </c>
      <c r="D17" s="13"/>
      <c r="E17" s="10"/>
      <c r="F17" s="10"/>
      <c r="G17" s="10"/>
      <c r="H17" s="10"/>
      <c r="I17" s="10"/>
      <c r="J17" s="14"/>
      <c r="K17" s="13"/>
      <c r="L17" s="10"/>
      <c r="M17" s="10"/>
      <c r="N17" s="10"/>
      <c r="O17" s="10"/>
      <c r="P17" s="10"/>
      <c r="Q17" s="14"/>
    </row>
    <row r="18" spans="1:17" x14ac:dyDescent="0.25">
      <c r="A18" s="4"/>
      <c r="B18" s="18" t="str">
        <f>IF(A18="","",SUMIFS('Catalogo de Variaveis'!$O$5:$O$1048576,'Catalogo de Variaveis'!$A$5:$A$1048576,LEFT(A18,4),'Catalogo de Variaveis'!$D$5:$D$1048576,RIGHT(A18,1)))</f>
        <v/>
      </c>
      <c r="C18" s="19" t="str">
        <f t="shared" si="0"/>
        <v/>
      </c>
      <c r="D18" s="13"/>
      <c r="E18" s="10"/>
      <c r="F18" s="10"/>
      <c r="G18" s="10"/>
      <c r="H18" s="10"/>
      <c r="I18" s="10"/>
      <c r="J18" s="14"/>
      <c r="K18" s="13"/>
      <c r="L18" s="10"/>
      <c r="M18" s="10"/>
      <c r="N18" s="10"/>
      <c r="O18" s="10"/>
      <c r="P18" s="10"/>
      <c r="Q18" s="14"/>
    </row>
    <row r="19" spans="1:17" x14ac:dyDescent="0.25">
      <c r="A19" s="4"/>
      <c r="B19" s="18" t="str">
        <f>IF(A19="","",SUMIFS('Catalogo de Variaveis'!$O$5:$O$1048576,'Catalogo de Variaveis'!$A$5:$A$1048576,LEFT(A19,4),'Catalogo de Variaveis'!$D$5:$D$1048576,RIGHT(A19,1)))</f>
        <v/>
      </c>
      <c r="C19" s="19" t="str">
        <f t="shared" si="0"/>
        <v/>
      </c>
      <c r="D19" s="13"/>
      <c r="E19" s="10"/>
      <c r="F19" s="10"/>
      <c r="G19" s="10"/>
      <c r="H19" s="10"/>
      <c r="I19" s="10"/>
      <c r="J19" s="14"/>
      <c r="K19" s="13"/>
      <c r="L19" s="10"/>
      <c r="M19" s="10"/>
      <c r="N19" s="10"/>
      <c r="O19" s="10"/>
      <c r="P19" s="10"/>
      <c r="Q19" s="14"/>
    </row>
    <row r="20" spans="1:17" x14ac:dyDescent="0.25">
      <c r="A20" s="4"/>
      <c r="B20" s="18" t="str">
        <f>IF(A20="","",SUMIFS('Catalogo de Variaveis'!$O$5:$O$1048576,'Catalogo de Variaveis'!$A$5:$A$1048576,LEFT(A20,4),'Catalogo de Variaveis'!$D$5:$D$1048576,RIGHT(A20,1)))</f>
        <v/>
      </c>
      <c r="C20" s="19" t="str">
        <f t="shared" si="0"/>
        <v/>
      </c>
      <c r="D20" s="13"/>
      <c r="E20" s="10"/>
      <c r="F20" s="10"/>
      <c r="G20" s="10"/>
      <c r="H20" s="10"/>
      <c r="I20" s="10"/>
      <c r="J20" s="14"/>
      <c r="K20" s="13"/>
      <c r="L20" s="10"/>
      <c r="M20" s="10"/>
      <c r="N20" s="10"/>
      <c r="O20" s="10"/>
      <c r="P20" s="10"/>
      <c r="Q20" s="14"/>
    </row>
    <row r="21" spans="1:17" x14ac:dyDescent="0.25">
      <c r="A21" s="4"/>
      <c r="B21" s="18" t="str">
        <f>IF(A21="","",SUMIFS('Catalogo de Variaveis'!$O$5:$O$1048576,'Catalogo de Variaveis'!$A$5:$A$1048576,LEFT(A21,4),'Catalogo de Variaveis'!$D$5:$D$1048576,RIGHT(A21,1)))</f>
        <v/>
      </c>
      <c r="C21" s="19" t="str">
        <f t="shared" si="0"/>
        <v/>
      </c>
      <c r="D21" s="13"/>
      <c r="E21" s="10"/>
      <c r="F21" s="10"/>
      <c r="G21" s="10"/>
      <c r="H21" s="10"/>
      <c r="I21" s="10"/>
      <c r="J21" s="14"/>
      <c r="K21" s="13"/>
      <c r="L21" s="10"/>
      <c r="M21" s="10"/>
      <c r="N21" s="10"/>
      <c r="O21" s="10"/>
      <c r="P21" s="10"/>
      <c r="Q21" s="14"/>
    </row>
    <row r="22" spans="1:17" x14ac:dyDescent="0.25">
      <c r="A22" s="4"/>
      <c r="B22" s="18" t="str">
        <f>IF(A22="","",SUMIFS('Catalogo de Variaveis'!$O$5:$O$1048576,'Catalogo de Variaveis'!$A$5:$A$1048576,LEFT(A22,4),'Catalogo de Variaveis'!$D$5:$D$1048576,RIGHT(A22,1)))</f>
        <v/>
      </c>
      <c r="C22" s="19" t="str">
        <f t="shared" si="0"/>
        <v/>
      </c>
      <c r="D22" s="13"/>
      <c r="E22" s="10"/>
      <c r="F22" s="10"/>
      <c r="G22" s="10"/>
      <c r="H22" s="10"/>
      <c r="I22" s="10"/>
      <c r="J22" s="14"/>
      <c r="K22" s="13"/>
      <c r="L22" s="10"/>
      <c r="M22" s="10"/>
      <c r="N22" s="10"/>
      <c r="O22" s="10"/>
      <c r="P22" s="10"/>
      <c r="Q22" s="14"/>
    </row>
    <row r="23" spans="1:17" x14ac:dyDescent="0.25">
      <c r="A23" s="4"/>
      <c r="B23" s="18" t="str">
        <f>IF(A23="","",SUMIFS('Catalogo de Variaveis'!$O$5:$O$1048576,'Catalogo de Variaveis'!$A$5:$A$1048576,LEFT(A23,4),'Catalogo de Variaveis'!$D$5:$D$1048576,RIGHT(A23,1)))</f>
        <v/>
      </c>
      <c r="C23" s="19" t="str">
        <f t="shared" si="0"/>
        <v/>
      </c>
      <c r="D23" s="13"/>
      <c r="E23" s="10"/>
      <c r="F23" s="10"/>
      <c r="G23" s="10"/>
      <c r="H23" s="10"/>
      <c r="I23" s="10"/>
      <c r="J23" s="14"/>
      <c r="K23" s="13"/>
      <c r="L23" s="10"/>
      <c r="M23" s="10"/>
      <c r="N23" s="10"/>
      <c r="O23" s="10"/>
      <c r="P23" s="10"/>
      <c r="Q23" s="14"/>
    </row>
    <row r="24" spans="1:17" x14ac:dyDescent="0.25">
      <c r="A24" s="4"/>
      <c r="B24" s="18" t="str">
        <f>IF(A24="","",SUMIFS('Catalogo de Variaveis'!$O$5:$O$1048576,'Catalogo de Variaveis'!$A$5:$A$1048576,LEFT(A24,4),'Catalogo de Variaveis'!$D$5:$D$1048576,RIGHT(A24,1)))</f>
        <v/>
      </c>
      <c r="C24" s="19" t="str">
        <f t="shared" si="0"/>
        <v/>
      </c>
      <c r="D24" s="13"/>
      <c r="E24" s="10"/>
      <c r="F24" s="10"/>
      <c r="G24" s="10"/>
      <c r="H24" s="10"/>
      <c r="I24" s="10"/>
      <c r="J24" s="14"/>
      <c r="K24" s="13"/>
      <c r="L24" s="10"/>
      <c r="M24" s="10"/>
      <c r="N24" s="10"/>
      <c r="O24" s="10"/>
      <c r="P24" s="10"/>
      <c r="Q24" s="14"/>
    </row>
    <row r="25" spans="1:17" x14ac:dyDescent="0.25">
      <c r="A25" s="4"/>
      <c r="B25" s="18" t="str">
        <f>IF(A25="","",SUMIFS('Catalogo de Variaveis'!$O$5:$O$1048576,'Catalogo de Variaveis'!$A$5:$A$1048576,LEFT(A25,4),'Catalogo de Variaveis'!$D$5:$D$1048576,RIGHT(A25,1)))</f>
        <v/>
      </c>
      <c r="C25" s="19" t="str">
        <f t="shared" si="0"/>
        <v/>
      </c>
      <c r="D25" s="13"/>
      <c r="E25" s="10"/>
      <c r="F25" s="10"/>
      <c r="G25" s="10"/>
      <c r="H25" s="10"/>
      <c r="I25" s="10"/>
      <c r="J25" s="14"/>
      <c r="K25" s="13"/>
      <c r="L25" s="10"/>
      <c r="M25" s="10"/>
      <c r="N25" s="10"/>
      <c r="O25" s="10"/>
      <c r="P25" s="10"/>
      <c r="Q25" s="14"/>
    </row>
    <row r="26" spans="1:17" x14ac:dyDescent="0.25">
      <c r="A26" s="4"/>
      <c r="B26" s="18" t="str">
        <f>IF(A26="","",SUMIFS('Catalogo de Variaveis'!$O$5:$O$1048576,'Catalogo de Variaveis'!$A$5:$A$1048576,LEFT(A26,4),'Catalogo de Variaveis'!$D$5:$D$1048576,RIGHT(A26,1)))</f>
        <v/>
      </c>
      <c r="C26" s="19" t="str">
        <f t="shared" si="0"/>
        <v/>
      </c>
      <c r="D26" s="13"/>
      <c r="E26" s="10"/>
      <c r="F26" s="10"/>
      <c r="G26" s="10"/>
      <c r="H26" s="10"/>
      <c r="I26" s="10"/>
      <c r="J26" s="14"/>
      <c r="K26" s="13"/>
      <c r="L26" s="10"/>
      <c r="M26" s="10"/>
      <c r="N26" s="10"/>
      <c r="O26" s="10"/>
      <c r="P26" s="10"/>
      <c r="Q26" s="14"/>
    </row>
    <row r="27" spans="1:17" x14ac:dyDescent="0.25">
      <c r="A27" s="4"/>
      <c r="B27" s="18" t="str">
        <f>IF(A27="","",SUMIFS('Catalogo de Variaveis'!$O$5:$O$1048576,'Catalogo de Variaveis'!$A$5:$A$1048576,LEFT(A27,4),'Catalogo de Variaveis'!$D$5:$D$1048576,RIGHT(A27,1)))</f>
        <v/>
      </c>
      <c r="C27" s="19" t="str">
        <f t="shared" si="0"/>
        <v/>
      </c>
      <c r="D27" s="13"/>
      <c r="E27" s="10"/>
      <c r="F27" s="10"/>
      <c r="G27" s="10"/>
      <c r="H27" s="10"/>
      <c r="I27" s="10"/>
      <c r="J27" s="14"/>
      <c r="K27" s="13"/>
      <c r="L27" s="10"/>
      <c r="M27" s="10"/>
      <c r="N27" s="10"/>
      <c r="O27" s="10"/>
      <c r="P27" s="10"/>
      <c r="Q27" s="14"/>
    </row>
    <row r="28" spans="1:17" x14ac:dyDescent="0.25">
      <c r="A28" s="4"/>
      <c r="B28" s="18" t="str">
        <f>IF(A28="","",SUMIFS('Catalogo de Variaveis'!$O$5:$O$1048576,'Catalogo de Variaveis'!$A$5:$A$1048576,LEFT(A28,4),'Catalogo de Variaveis'!$D$5:$D$1048576,RIGHT(A28,1)))</f>
        <v/>
      </c>
      <c r="C28" s="19" t="str">
        <f t="shared" si="0"/>
        <v/>
      </c>
      <c r="D28" s="13"/>
      <c r="E28" s="10"/>
      <c r="F28" s="10"/>
      <c r="G28" s="10"/>
      <c r="H28" s="10"/>
      <c r="I28" s="10"/>
      <c r="J28" s="14"/>
      <c r="K28" s="13"/>
      <c r="L28" s="10"/>
      <c r="M28" s="10"/>
      <c r="N28" s="10"/>
      <c r="O28" s="10"/>
      <c r="P28" s="10"/>
      <c r="Q28" s="14"/>
    </row>
    <row r="29" spans="1:17" x14ac:dyDescent="0.25">
      <c r="A29" s="4"/>
      <c r="B29" s="18" t="str">
        <f>IF(A29="","",SUMIFS('Catalogo de Variaveis'!$O$5:$O$1048576,'Catalogo de Variaveis'!$A$5:$A$1048576,LEFT(A29,4),'Catalogo de Variaveis'!$D$5:$D$1048576,RIGHT(A29,1)))</f>
        <v/>
      </c>
      <c r="C29" s="19" t="str">
        <f t="shared" si="0"/>
        <v/>
      </c>
      <c r="D29" s="13"/>
      <c r="E29" s="10"/>
      <c r="F29" s="10"/>
      <c r="G29" s="10"/>
      <c r="H29" s="10"/>
      <c r="I29" s="10"/>
      <c r="J29" s="14"/>
      <c r="K29" s="13"/>
      <c r="L29" s="10"/>
      <c r="M29" s="10"/>
      <c r="N29" s="10"/>
      <c r="O29" s="10"/>
      <c r="P29" s="10"/>
      <c r="Q29" s="14"/>
    </row>
    <row r="30" spans="1:17" x14ac:dyDescent="0.25">
      <c r="A30" s="4"/>
      <c r="B30" s="18" t="str">
        <f>IF(A30="","",SUMIFS('Catalogo de Variaveis'!$O$5:$O$1048576,'Catalogo de Variaveis'!$A$5:$A$1048576,LEFT(A30,4),'Catalogo de Variaveis'!$D$5:$D$1048576,RIGHT(A30,1)))</f>
        <v/>
      </c>
      <c r="C30" s="19" t="str">
        <f t="shared" si="0"/>
        <v/>
      </c>
      <c r="D30" s="13"/>
      <c r="E30" s="10"/>
      <c r="F30" s="10"/>
      <c r="G30" s="10"/>
      <c r="H30" s="10"/>
      <c r="I30" s="10"/>
      <c r="J30" s="14"/>
      <c r="K30" s="13"/>
      <c r="L30" s="10"/>
      <c r="M30" s="10"/>
      <c r="N30" s="10"/>
      <c r="O30" s="10"/>
      <c r="P30" s="10"/>
      <c r="Q30" s="14"/>
    </row>
    <row r="31" spans="1:17" x14ac:dyDescent="0.25">
      <c r="A31" s="4"/>
      <c r="B31" s="18" t="str">
        <f>IF(A31="","",SUMIFS('Catalogo de Variaveis'!$O$5:$O$1048576,'Catalogo de Variaveis'!$A$5:$A$1048576,LEFT(A31,4),'Catalogo de Variaveis'!$D$5:$D$1048576,RIGHT(A31,1)))</f>
        <v/>
      </c>
      <c r="C31" s="19" t="str">
        <f t="shared" si="0"/>
        <v/>
      </c>
      <c r="D31" s="13"/>
      <c r="E31" s="10"/>
      <c r="F31" s="10"/>
      <c r="G31" s="10"/>
      <c r="H31" s="10"/>
      <c r="I31" s="10"/>
      <c r="J31" s="14"/>
      <c r="K31" s="13"/>
      <c r="L31" s="10"/>
      <c r="M31" s="10"/>
      <c r="N31" s="10"/>
      <c r="O31" s="10"/>
      <c r="P31" s="10"/>
      <c r="Q31" s="14"/>
    </row>
    <row r="32" spans="1:17" x14ac:dyDescent="0.25">
      <c r="A32" s="4"/>
      <c r="B32" s="18" t="str">
        <f>IF(A32="","",SUMIFS('Catalogo de Variaveis'!$O$5:$O$1048576,'Catalogo de Variaveis'!$A$5:$A$1048576,LEFT(A32,4),'Catalogo de Variaveis'!$D$5:$D$1048576,RIGHT(A32,1)))</f>
        <v/>
      </c>
      <c r="C32" s="19" t="str">
        <f t="shared" si="0"/>
        <v/>
      </c>
      <c r="D32" s="13"/>
      <c r="E32" s="10"/>
      <c r="F32" s="10"/>
      <c r="G32" s="10"/>
      <c r="H32" s="10"/>
      <c r="I32" s="10"/>
      <c r="J32" s="14"/>
      <c r="K32" s="13"/>
      <c r="L32" s="10"/>
      <c r="M32" s="10"/>
      <c r="N32" s="10"/>
      <c r="O32" s="10"/>
      <c r="P32" s="10"/>
      <c r="Q32" s="14"/>
    </row>
    <row r="33" spans="1:17" x14ac:dyDescent="0.25">
      <c r="A33" s="4"/>
      <c r="B33" s="18" t="str">
        <f>IF(A33="","",SUMIFS('Catalogo de Variaveis'!$O$5:$O$1048576,'Catalogo de Variaveis'!$A$5:$A$1048576,LEFT(A33,4),'Catalogo de Variaveis'!$D$5:$D$1048576,RIGHT(A33,1)))</f>
        <v/>
      </c>
      <c r="C33" s="19" t="str">
        <f t="shared" si="0"/>
        <v/>
      </c>
      <c r="D33" s="13"/>
      <c r="E33" s="10"/>
      <c r="F33" s="10"/>
      <c r="G33" s="10"/>
      <c r="H33" s="10"/>
      <c r="I33" s="10"/>
      <c r="J33" s="14"/>
      <c r="K33" s="13"/>
      <c r="L33" s="10"/>
      <c r="M33" s="10"/>
      <c r="N33" s="10"/>
      <c r="O33" s="10"/>
      <c r="P33" s="10"/>
      <c r="Q33" s="14"/>
    </row>
    <row r="34" spans="1:17" x14ac:dyDescent="0.25">
      <c r="A34" s="4"/>
      <c r="B34" s="18" t="str">
        <f>IF(A34="","",SUMIFS('Catalogo de Variaveis'!$O$5:$O$1048576,'Catalogo de Variaveis'!$A$5:$A$1048576,LEFT(A34,4),'Catalogo de Variaveis'!$D$5:$D$1048576,RIGHT(A34,1)))</f>
        <v/>
      </c>
      <c r="C34" s="19" t="str">
        <f t="shared" si="0"/>
        <v/>
      </c>
      <c r="D34" s="13"/>
      <c r="E34" s="10"/>
      <c r="F34" s="10"/>
      <c r="G34" s="10"/>
      <c r="H34" s="10"/>
      <c r="I34" s="10"/>
      <c r="J34" s="14"/>
      <c r="K34" s="13"/>
      <c r="L34" s="10"/>
      <c r="M34" s="10"/>
      <c r="N34" s="10"/>
      <c r="O34" s="10"/>
      <c r="P34" s="10"/>
      <c r="Q34" s="14"/>
    </row>
    <row r="35" spans="1:17" x14ac:dyDescent="0.25">
      <c r="A35" s="4"/>
      <c r="B35" s="18" t="str">
        <f>IF(A35="","",SUMIFS('Catalogo de Variaveis'!$O$5:$O$1048576,'Catalogo de Variaveis'!$A$5:$A$1048576,LEFT(A35,4),'Catalogo de Variaveis'!$D$5:$D$1048576,RIGHT(A35,1)))</f>
        <v/>
      </c>
      <c r="C35" s="19" t="str">
        <f t="shared" si="0"/>
        <v/>
      </c>
      <c r="D35" s="13"/>
      <c r="E35" s="10"/>
      <c r="F35" s="10"/>
      <c r="G35" s="10"/>
      <c r="H35" s="10"/>
      <c r="I35" s="10"/>
      <c r="J35" s="14"/>
      <c r="K35" s="13"/>
      <c r="L35" s="10"/>
      <c r="M35" s="10"/>
      <c r="N35" s="10"/>
      <c r="O35" s="10"/>
      <c r="P35" s="10"/>
      <c r="Q35" s="14"/>
    </row>
    <row r="36" spans="1:17" x14ac:dyDescent="0.25">
      <c r="A36" s="4"/>
      <c r="B36" s="18" t="str">
        <f>IF(A36="","",SUMIFS('Catalogo de Variaveis'!$O$5:$O$1048576,'Catalogo de Variaveis'!$A$5:$A$1048576,LEFT(A36,4),'Catalogo de Variaveis'!$D$5:$D$1048576,RIGHT(A36,1)))</f>
        <v/>
      </c>
      <c r="C36" s="19" t="str">
        <f t="shared" si="0"/>
        <v/>
      </c>
      <c r="D36" s="13"/>
      <c r="E36" s="10"/>
      <c r="F36" s="10"/>
      <c r="G36" s="10"/>
      <c r="H36" s="10"/>
      <c r="I36" s="10"/>
      <c r="J36" s="14"/>
      <c r="K36" s="13"/>
      <c r="L36" s="10"/>
      <c r="M36" s="10"/>
      <c r="N36" s="10"/>
      <c r="O36" s="10"/>
      <c r="P36" s="10"/>
      <c r="Q36" s="14"/>
    </row>
    <row r="37" spans="1:17" x14ac:dyDescent="0.25">
      <c r="A37" s="4"/>
      <c r="B37" s="18" t="str">
        <f>IF(A37="","",SUMIFS('Catalogo de Variaveis'!$O$5:$O$1048576,'Catalogo de Variaveis'!$A$5:$A$1048576,LEFT(A37,4),'Catalogo de Variaveis'!$D$5:$D$1048576,RIGHT(A37,1)))</f>
        <v/>
      </c>
      <c r="C37" s="19" t="str">
        <f t="shared" si="0"/>
        <v/>
      </c>
      <c r="D37" s="13"/>
      <c r="E37" s="10"/>
      <c r="F37" s="10"/>
      <c r="G37" s="10"/>
      <c r="H37" s="10"/>
      <c r="I37" s="10"/>
      <c r="J37" s="14"/>
      <c r="K37" s="13"/>
      <c r="L37" s="10"/>
      <c r="M37" s="10"/>
      <c r="N37" s="10"/>
      <c r="O37" s="10"/>
      <c r="P37" s="10"/>
      <c r="Q37" s="14"/>
    </row>
    <row r="38" spans="1:17" x14ac:dyDescent="0.25">
      <c r="A38" s="4"/>
      <c r="B38" s="18" t="str">
        <f>IF(A38="","",SUMIFS('Catalogo de Variaveis'!$O$5:$O$1048576,'Catalogo de Variaveis'!$A$5:$A$1048576,LEFT(A38,4),'Catalogo de Variaveis'!$D$5:$D$1048576,RIGHT(A38,1)))</f>
        <v/>
      </c>
      <c r="C38" s="19" t="str">
        <f t="shared" si="0"/>
        <v/>
      </c>
      <c r="D38" s="13"/>
      <c r="E38" s="10"/>
      <c r="F38" s="10"/>
      <c r="G38" s="10"/>
      <c r="H38" s="10"/>
      <c r="I38" s="10"/>
      <c r="J38" s="14"/>
      <c r="K38" s="13"/>
      <c r="L38" s="10"/>
      <c r="M38" s="10"/>
      <c r="N38" s="10"/>
      <c r="O38" s="10"/>
      <c r="P38" s="10"/>
      <c r="Q38" s="14"/>
    </row>
    <row r="39" spans="1:17" x14ac:dyDescent="0.25">
      <c r="A39" s="4"/>
      <c r="B39" s="18" t="str">
        <f>IF(A39="","",SUMIFS('Catalogo de Variaveis'!$O$5:$O$1048576,'Catalogo de Variaveis'!$A$5:$A$1048576,LEFT(A39,4),'Catalogo de Variaveis'!$D$5:$D$1048576,RIGHT(A39,1)))</f>
        <v/>
      </c>
      <c r="C39" s="19" t="str">
        <f t="shared" si="0"/>
        <v/>
      </c>
      <c r="D39" s="13"/>
      <c r="E39" s="10"/>
      <c r="F39" s="10"/>
      <c r="G39" s="10"/>
      <c r="H39" s="10"/>
      <c r="I39" s="10"/>
      <c r="J39" s="14"/>
      <c r="K39" s="13"/>
      <c r="L39" s="10"/>
      <c r="M39" s="10"/>
      <c r="N39" s="10"/>
      <c r="O39" s="10"/>
      <c r="P39" s="10"/>
      <c r="Q39" s="14"/>
    </row>
    <row r="40" spans="1:17" x14ac:dyDescent="0.25">
      <c r="A40" s="4"/>
      <c r="B40" s="18" t="str">
        <f>IF(A40="","",SUMIFS('Catalogo de Variaveis'!$O$5:$O$1048576,'Catalogo de Variaveis'!$A$5:$A$1048576,LEFT(A40,4),'Catalogo de Variaveis'!$D$5:$D$1048576,RIGHT(A40,1)))</f>
        <v/>
      </c>
      <c r="C40" s="19" t="str">
        <f t="shared" si="0"/>
        <v/>
      </c>
      <c r="D40" s="13"/>
      <c r="E40" s="10"/>
      <c r="F40" s="10"/>
      <c r="G40" s="10"/>
      <c r="H40" s="10"/>
      <c r="I40" s="10"/>
      <c r="J40" s="14"/>
      <c r="K40" s="13"/>
      <c r="L40" s="10"/>
      <c r="M40" s="10"/>
      <c r="N40" s="10"/>
      <c r="O40" s="10"/>
      <c r="P40" s="10"/>
      <c r="Q40" s="14"/>
    </row>
    <row r="41" spans="1:17" x14ac:dyDescent="0.25">
      <c r="A41" s="4"/>
      <c r="B41" s="18" t="str">
        <f>IF(A41="","",SUMIFS('Catalogo de Variaveis'!$O$5:$O$1048576,'Catalogo de Variaveis'!$A$5:$A$1048576,LEFT(A41,4),'Catalogo de Variaveis'!$D$5:$D$1048576,RIGHT(A41,1)))</f>
        <v/>
      </c>
      <c r="C41" s="19" t="str">
        <f t="shared" si="0"/>
        <v/>
      </c>
      <c r="D41" s="13"/>
      <c r="E41" s="10"/>
      <c r="F41" s="10"/>
      <c r="G41" s="10"/>
      <c r="H41" s="10"/>
      <c r="I41" s="10"/>
      <c r="J41" s="14"/>
      <c r="K41" s="13"/>
      <c r="L41" s="10"/>
      <c r="M41" s="10"/>
      <c r="N41" s="10"/>
      <c r="O41" s="10"/>
      <c r="P41" s="10"/>
      <c r="Q41" s="14"/>
    </row>
    <row r="42" spans="1:17" x14ac:dyDescent="0.25">
      <c r="A42" s="4"/>
      <c r="B42" s="18" t="str">
        <f>IF(A42="","",SUMIFS('Catalogo de Variaveis'!$O$5:$O$1048576,'Catalogo de Variaveis'!$A$5:$A$1048576,LEFT(A42,4),'Catalogo de Variaveis'!$D$5:$D$1048576,RIGHT(A42,1)))</f>
        <v/>
      </c>
      <c r="C42" s="19" t="str">
        <f t="shared" si="0"/>
        <v/>
      </c>
      <c r="D42" s="13"/>
      <c r="E42" s="10"/>
      <c r="F42" s="10"/>
      <c r="G42" s="10"/>
      <c r="H42" s="10"/>
      <c r="I42" s="10"/>
      <c r="J42" s="14"/>
      <c r="K42" s="13"/>
      <c r="L42" s="10"/>
      <c r="M42" s="10"/>
      <c r="N42" s="10"/>
      <c r="O42" s="10"/>
      <c r="P42" s="10"/>
      <c r="Q42" s="14"/>
    </row>
    <row r="43" spans="1:17" x14ac:dyDescent="0.25">
      <c r="A43" s="4"/>
      <c r="B43" s="18" t="str">
        <f>IF(A43="","",SUMIFS('Catalogo de Variaveis'!$O$5:$O$1048576,'Catalogo de Variaveis'!$A$5:$A$1048576,LEFT(A43,4),'Catalogo de Variaveis'!$D$5:$D$1048576,RIGHT(A43,1)))</f>
        <v/>
      </c>
      <c r="C43" s="19" t="str">
        <f t="shared" si="0"/>
        <v/>
      </c>
      <c r="D43" s="13"/>
      <c r="E43" s="10"/>
      <c r="F43" s="10"/>
      <c r="G43" s="10"/>
      <c r="H43" s="10"/>
      <c r="I43" s="10"/>
      <c r="J43" s="14"/>
      <c r="K43" s="13"/>
      <c r="L43" s="10"/>
      <c r="M43" s="10"/>
      <c r="N43" s="10"/>
      <c r="O43" s="10"/>
      <c r="P43" s="10"/>
      <c r="Q43" s="14"/>
    </row>
    <row r="44" spans="1:17" x14ac:dyDescent="0.25">
      <c r="A44" s="4"/>
      <c r="B44" s="18" t="str">
        <f>IF(A44="","",SUMIFS('Catalogo de Variaveis'!$O$5:$O$1048576,'Catalogo de Variaveis'!$A$5:$A$1048576,LEFT(A44,4),'Catalogo de Variaveis'!$D$5:$D$1048576,RIGHT(A44,1)))</f>
        <v/>
      </c>
      <c r="C44" s="19" t="str">
        <f t="shared" si="0"/>
        <v/>
      </c>
      <c r="D44" s="13"/>
      <c r="E44" s="10"/>
      <c r="F44" s="10"/>
      <c r="G44" s="10"/>
      <c r="H44" s="10"/>
      <c r="I44" s="10"/>
      <c r="J44" s="14"/>
      <c r="K44" s="13"/>
      <c r="L44" s="10"/>
      <c r="M44" s="10"/>
      <c r="N44" s="10"/>
      <c r="O44" s="10"/>
      <c r="P44" s="10"/>
      <c r="Q44" s="14"/>
    </row>
    <row r="45" spans="1:17" x14ac:dyDescent="0.25">
      <c r="A45" s="4"/>
      <c r="B45" s="18" t="str">
        <f>IF(A45="","",SUMIFS('Catalogo de Variaveis'!$O$5:$O$1048576,'Catalogo de Variaveis'!$A$5:$A$1048576,LEFT(A45,4),'Catalogo de Variaveis'!$D$5:$D$1048576,RIGHT(A45,1)))</f>
        <v/>
      </c>
      <c r="C45" s="19" t="str">
        <f t="shared" si="0"/>
        <v/>
      </c>
      <c r="D45" s="13"/>
      <c r="E45" s="10"/>
      <c r="F45" s="10"/>
      <c r="G45" s="10"/>
      <c r="H45" s="10"/>
      <c r="I45" s="10"/>
      <c r="J45" s="14"/>
      <c r="K45" s="13"/>
      <c r="L45" s="10"/>
      <c r="M45" s="10"/>
      <c r="N45" s="10"/>
      <c r="O45" s="10"/>
      <c r="P45" s="10"/>
      <c r="Q45" s="14"/>
    </row>
    <row r="46" spans="1:17" x14ac:dyDescent="0.25">
      <c r="A46" s="4"/>
      <c r="B46" s="18" t="str">
        <f>IF(A46="","",SUMIFS('Catalogo de Variaveis'!$O$5:$O$1048576,'Catalogo de Variaveis'!$A$5:$A$1048576,LEFT(A46,4),'Catalogo de Variaveis'!$D$5:$D$1048576,RIGHT(A46,1)))</f>
        <v/>
      </c>
      <c r="C46" s="19" t="str">
        <f t="shared" si="0"/>
        <v/>
      </c>
      <c r="D46" s="13"/>
      <c r="E46" s="10"/>
      <c r="F46" s="10"/>
      <c r="G46" s="10"/>
      <c r="H46" s="10"/>
      <c r="I46" s="10"/>
      <c r="J46" s="14"/>
      <c r="K46" s="13"/>
      <c r="L46" s="10"/>
      <c r="M46" s="10"/>
      <c r="N46" s="10"/>
      <c r="O46" s="10"/>
      <c r="P46" s="10"/>
      <c r="Q46" s="14"/>
    </row>
    <row r="47" spans="1:17" x14ac:dyDescent="0.25">
      <c r="A47" s="4"/>
      <c r="B47" s="18" t="str">
        <f>IF(A47="","",SUMIFS('Catalogo de Variaveis'!$O$5:$O$1048576,'Catalogo de Variaveis'!$A$5:$A$1048576,LEFT(A47,4),'Catalogo de Variaveis'!$D$5:$D$1048576,RIGHT(A47,1)))</f>
        <v/>
      </c>
      <c r="C47" s="19" t="str">
        <f t="shared" si="0"/>
        <v/>
      </c>
      <c r="D47" s="13"/>
      <c r="E47" s="10"/>
      <c r="F47" s="10"/>
      <c r="G47" s="10"/>
      <c r="H47" s="10"/>
      <c r="I47" s="10"/>
      <c r="J47" s="14"/>
      <c r="K47" s="13"/>
      <c r="L47" s="10"/>
      <c r="M47" s="10"/>
      <c r="N47" s="10"/>
      <c r="O47" s="10"/>
      <c r="P47" s="10"/>
      <c r="Q47" s="14"/>
    </row>
    <row r="48" spans="1:17" x14ac:dyDescent="0.25">
      <c r="A48" s="4"/>
      <c r="B48" s="18" t="str">
        <f>IF(A48="","",SUMIFS('Catalogo de Variaveis'!$O$5:$O$1048576,'Catalogo de Variaveis'!$A$5:$A$1048576,LEFT(A48,4),'Catalogo de Variaveis'!$D$5:$D$1048576,RIGHT(A48,1)))</f>
        <v/>
      </c>
      <c r="C48" s="19" t="str">
        <f t="shared" si="0"/>
        <v/>
      </c>
      <c r="D48" s="13"/>
      <c r="E48" s="10"/>
      <c r="F48" s="10"/>
      <c r="G48" s="10"/>
      <c r="H48" s="10"/>
      <c r="I48" s="10"/>
      <c r="J48" s="14"/>
      <c r="K48" s="13"/>
      <c r="L48" s="10"/>
      <c r="M48" s="10"/>
      <c r="N48" s="10"/>
      <c r="O48" s="10"/>
      <c r="P48" s="10"/>
      <c r="Q48" s="14"/>
    </row>
    <row r="49" spans="1:17" x14ac:dyDescent="0.25">
      <c r="A49" s="4"/>
      <c r="B49" s="18" t="str">
        <f>IF(A49="","",SUMIFS('Catalogo de Variaveis'!$O$5:$O$1048576,'Catalogo de Variaveis'!$A$5:$A$1048576,LEFT(A49,4),'Catalogo de Variaveis'!$D$5:$D$1048576,RIGHT(A49,1)))</f>
        <v/>
      </c>
      <c r="C49" s="19" t="str">
        <f t="shared" si="0"/>
        <v/>
      </c>
      <c r="D49" s="13"/>
      <c r="E49" s="10"/>
      <c r="F49" s="10"/>
      <c r="G49" s="10"/>
      <c r="H49" s="10"/>
      <c r="I49" s="10"/>
      <c r="J49" s="14"/>
      <c r="K49" s="13"/>
      <c r="L49" s="10"/>
      <c r="M49" s="10"/>
      <c r="N49" s="10"/>
      <c r="O49" s="10"/>
      <c r="P49" s="10"/>
      <c r="Q49" s="14"/>
    </row>
    <row r="50" spans="1:17" x14ac:dyDescent="0.25">
      <c r="A50" s="4"/>
      <c r="B50" s="18" t="str">
        <f>IF(A50="","",SUMIFS('Catalogo de Variaveis'!$O$5:$O$1048576,'Catalogo de Variaveis'!$A$5:$A$1048576,LEFT(A50,4),'Catalogo de Variaveis'!$D$5:$D$1048576,RIGHT(A50,1)))</f>
        <v/>
      </c>
      <c r="C50" s="19" t="str">
        <f t="shared" si="0"/>
        <v/>
      </c>
      <c r="D50" s="13"/>
      <c r="E50" s="10"/>
      <c r="F50" s="10"/>
      <c r="G50" s="10"/>
      <c r="H50" s="10"/>
      <c r="I50" s="10"/>
      <c r="J50" s="14"/>
      <c r="K50" s="13"/>
      <c r="L50" s="10"/>
      <c r="M50" s="10"/>
      <c r="N50" s="10"/>
      <c r="O50" s="10"/>
      <c r="P50" s="10"/>
      <c r="Q50" s="14"/>
    </row>
    <row r="51" spans="1:17" x14ac:dyDescent="0.25">
      <c r="A51" s="4"/>
      <c r="B51" s="18" t="str">
        <f>IF(A51="","",SUMIFS('Catalogo de Variaveis'!$O$5:$O$1048576,'Catalogo de Variaveis'!$A$5:$A$1048576,LEFT(A51,4),'Catalogo de Variaveis'!$D$5:$D$1048576,RIGHT(A51,1)))</f>
        <v/>
      </c>
      <c r="C51" s="19" t="str">
        <f t="shared" si="0"/>
        <v/>
      </c>
      <c r="D51" s="13"/>
      <c r="E51" s="10"/>
      <c r="F51" s="10"/>
      <c r="G51" s="10"/>
      <c r="H51" s="10"/>
      <c r="I51" s="10"/>
      <c r="J51" s="14"/>
      <c r="K51" s="13"/>
      <c r="L51" s="10"/>
      <c r="M51" s="10"/>
      <c r="N51" s="10"/>
      <c r="O51" s="10"/>
      <c r="P51" s="10"/>
      <c r="Q51" s="14"/>
    </row>
    <row r="52" spans="1:17" x14ac:dyDescent="0.25">
      <c r="A52" s="4"/>
      <c r="B52" s="18" t="str">
        <f>IF(A52="","",SUMIFS('Catalogo de Variaveis'!$O$5:$O$1048576,'Catalogo de Variaveis'!$A$5:$A$1048576,LEFT(A52,4),'Catalogo de Variaveis'!$D$5:$D$1048576,RIGHT(A52,1)))</f>
        <v/>
      </c>
      <c r="C52" s="19" t="str">
        <f t="shared" si="0"/>
        <v/>
      </c>
      <c r="D52" s="13"/>
      <c r="E52" s="10"/>
      <c r="F52" s="10"/>
      <c r="G52" s="10"/>
      <c r="H52" s="10"/>
      <c r="I52" s="10"/>
      <c r="J52" s="14"/>
      <c r="K52" s="13"/>
      <c r="L52" s="10"/>
      <c r="M52" s="10"/>
      <c r="N52" s="10"/>
      <c r="O52" s="10"/>
      <c r="P52" s="10"/>
      <c r="Q52" s="14"/>
    </row>
    <row r="53" spans="1:17" x14ac:dyDescent="0.25">
      <c r="A53" s="4"/>
      <c r="B53" s="18" t="str">
        <f>IF(A53="","",SUMIFS('Catalogo de Variaveis'!$O$5:$O$1048576,'Catalogo de Variaveis'!$A$5:$A$1048576,LEFT(A53,4),'Catalogo de Variaveis'!$D$5:$D$1048576,RIGHT(A53,1)))</f>
        <v/>
      </c>
      <c r="C53" s="19" t="str">
        <f t="shared" si="0"/>
        <v/>
      </c>
      <c r="D53" s="13"/>
      <c r="E53" s="10"/>
      <c r="F53" s="10"/>
      <c r="G53" s="10"/>
      <c r="H53" s="10"/>
      <c r="I53" s="10"/>
      <c r="J53" s="14"/>
      <c r="K53" s="13"/>
      <c r="L53" s="10"/>
      <c r="M53" s="10"/>
      <c r="N53" s="10"/>
      <c r="O53" s="10"/>
      <c r="P53" s="10"/>
      <c r="Q53" s="14"/>
    </row>
    <row r="54" spans="1:17" x14ac:dyDescent="0.25">
      <c r="A54" s="4"/>
      <c r="B54" s="18" t="str">
        <f>IF(A54="","",SUMIFS('Catalogo de Variaveis'!$O$5:$O$1048576,'Catalogo de Variaveis'!$A$5:$A$1048576,LEFT(A54,4),'Catalogo de Variaveis'!$D$5:$D$1048576,RIGHT(A54,1)))</f>
        <v/>
      </c>
      <c r="C54" s="19" t="str">
        <f t="shared" si="0"/>
        <v/>
      </c>
      <c r="D54" s="13"/>
      <c r="E54" s="10"/>
      <c r="F54" s="10"/>
      <c r="G54" s="10"/>
      <c r="H54" s="10"/>
      <c r="I54" s="10"/>
      <c r="J54" s="14"/>
      <c r="K54" s="13"/>
      <c r="L54" s="10"/>
      <c r="M54" s="10"/>
      <c r="N54" s="10"/>
      <c r="O54" s="10"/>
      <c r="P54" s="10"/>
      <c r="Q54" s="14"/>
    </row>
    <row r="55" spans="1:17" x14ac:dyDescent="0.25">
      <c r="A55" s="4"/>
      <c r="B55" s="18" t="str">
        <f>IF(A55="","",SUMIFS('Catalogo de Variaveis'!$O$5:$O$1048576,'Catalogo de Variaveis'!$A$5:$A$1048576,LEFT(A55,4),'Catalogo de Variaveis'!$D$5:$D$1048576,RIGHT(A55,1)))</f>
        <v/>
      </c>
      <c r="C55" s="19" t="str">
        <f t="shared" si="0"/>
        <v/>
      </c>
      <c r="D55" s="13"/>
      <c r="E55" s="10"/>
      <c r="F55" s="10"/>
      <c r="G55" s="10"/>
      <c r="H55" s="10"/>
      <c r="I55" s="10"/>
      <c r="J55" s="14"/>
      <c r="K55" s="13"/>
      <c r="L55" s="10"/>
      <c r="M55" s="10"/>
      <c r="N55" s="10"/>
      <c r="O55" s="10"/>
      <c r="P55" s="10"/>
      <c r="Q55" s="14"/>
    </row>
    <row r="56" spans="1:17" x14ac:dyDescent="0.25">
      <c r="A56" s="4"/>
      <c r="B56" s="18" t="str">
        <f>IF(A56="","",SUMIFS('Catalogo de Variaveis'!$O$5:$O$1048576,'Catalogo de Variaveis'!$A$5:$A$1048576,LEFT(A56,4),'Catalogo de Variaveis'!$D$5:$D$1048576,RIGHT(A56,1)))</f>
        <v/>
      </c>
      <c r="C56" s="19" t="str">
        <f t="shared" si="0"/>
        <v/>
      </c>
      <c r="D56" s="13"/>
      <c r="E56" s="10"/>
      <c r="F56" s="10"/>
      <c r="G56" s="10"/>
      <c r="H56" s="10"/>
      <c r="I56" s="10"/>
      <c r="J56" s="14"/>
      <c r="K56" s="13"/>
      <c r="L56" s="10"/>
      <c r="M56" s="10"/>
      <c r="N56" s="10"/>
      <c r="O56" s="10"/>
      <c r="P56" s="10"/>
      <c r="Q56" s="14"/>
    </row>
    <row r="57" spans="1:17" x14ac:dyDescent="0.25">
      <c r="A57" s="4"/>
      <c r="B57" s="18" t="str">
        <f>IF(A57="","",SUMIFS('Catalogo de Variaveis'!$O$5:$O$1048576,'Catalogo de Variaveis'!$A$5:$A$1048576,LEFT(A57,4),'Catalogo de Variaveis'!$D$5:$D$1048576,RIGHT(A57,1)))</f>
        <v/>
      </c>
      <c r="C57" s="19" t="str">
        <f t="shared" si="0"/>
        <v/>
      </c>
      <c r="D57" s="13"/>
      <c r="E57" s="10"/>
      <c r="F57" s="10"/>
      <c r="G57" s="10"/>
      <c r="H57" s="10"/>
      <c r="I57" s="10"/>
      <c r="J57" s="14"/>
      <c r="K57" s="13"/>
      <c r="L57" s="10"/>
      <c r="M57" s="10"/>
      <c r="N57" s="10"/>
      <c r="O57" s="10"/>
      <c r="P57" s="10"/>
      <c r="Q57" s="14"/>
    </row>
    <row r="58" spans="1:17" x14ac:dyDescent="0.25">
      <c r="A58" s="4"/>
      <c r="B58" s="18" t="str">
        <f>IF(A58="","",SUMIFS('Catalogo de Variaveis'!$O$5:$O$1048576,'Catalogo de Variaveis'!$A$5:$A$1048576,LEFT(A58,4),'Catalogo de Variaveis'!$D$5:$D$1048576,RIGHT(A58,1)))</f>
        <v/>
      </c>
      <c r="C58" s="19" t="str">
        <f t="shared" si="0"/>
        <v/>
      </c>
      <c r="D58" s="13"/>
      <c r="E58" s="10"/>
      <c r="F58" s="10"/>
      <c r="G58" s="10"/>
      <c r="H58" s="10"/>
      <c r="I58" s="10"/>
      <c r="J58" s="14"/>
      <c r="K58" s="13"/>
      <c r="L58" s="10"/>
      <c r="M58" s="10"/>
      <c r="N58" s="10"/>
      <c r="O58" s="10"/>
      <c r="P58" s="10"/>
      <c r="Q58" s="14"/>
    </row>
    <row r="59" spans="1:17" x14ac:dyDescent="0.25">
      <c r="A59" s="4"/>
      <c r="B59" s="18" t="str">
        <f>IF(A59="","",SUMIFS('Catalogo de Variaveis'!$O$5:$O$1048576,'Catalogo de Variaveis'!$A$5:$A$1048576,LEFT(A59,4),'Catalogo de Variaveis'!$D$5:$D$1048576,RIGHT(A59,1)))</f>
        <v/>
      </c>
      <c r="C59" s="19" t="str">
        <f t="shared" si="0"/>
        <v/>
      </c>
      <c r="D59" s="13"/>
      <c r="E59" s="10"/>
      <c r="F59" s="10"/>
      <c r="G59" s="10"/>
      <c r="H59" s="10"/>
      <c r="I59" s="10"/>
      <c r="J59" s="14"/>
      <c r="K59" s="13"/>
      <c r="L59" s="10"/>
      <c r="M59" s="10"/>
      <c r="N59" s="10"/>
      <c r="O59" s="10"/>
      <c r="P59" s="10"/>
      <c r="Q59" s="14"/>
    </row>
    <row r="60" spans="1:17" x14ac:dyDescent="0.25">
      <c r="A60" s="4"/>
      <c r="B60" s="18" t="str">
        <f>IF(A60="","",SUMIFS('Catalogo de Variaveis'!$O$5:$O$1048576,'Catalogo de Variaveis'!$A$5:$A$1048576,LEFT(A60,4),'Catalogo de Variaveis'!$D$5:$D$1048576,RIGHT(A60,1)))</f>
        <v/>
      </c>
      <c r="C60" s="19" t="str">
        <f t="shared" si="0"/>
        <v/>
      </c>
      <c r="D60" s="13"/>
      <c r="E60" s="10"/>
      <c r="F60" s="10"/>
      <c r="G60" s="10"/>
      <c r="H60" s="10"/>
      <c r="I60" s="10"/>
      <c r="J60" s="14"/>
      <c r="K60" s="13"/>
      <c r="L60" s="10"/>
      <c r="M60" s="10"/>
      <c r="N60" s="10"/>
      <c r="O60" s="10"/>
      <c r="P60" s="10"/>
      <c r="Q60" s="14"/>
    </row>
  </sheetData>
  <mergeCells count="4">
    <mergeCell ref="A7:C7"/>
    <mergeCell ref="D7:J7"/>
    <mergeCell ref="K7:Q7"/>
    <mergeCell ref="A5:Q6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ED52-0569-4D15-9717-62C9E2C309CD}">
  <dimension ref="A1:Q60"/>
  <sheetViews>
    <sheetView topLeftCell="A5" zoomScale="161" zoomScaleNormal="161" workbookViewId="0">
      <selection activeCell="A9" sqref="A9"/>
    </sheetView>
  </sheetViews>
  <sheetFormatPr defaultRowHeight="15" x14ac:dyDescent="0.25"/>
  <cols>
    <col min="1" max="1" width="13.85546875" style="2" bestFit="1" customWidth="1"/>
    <col min="2" max="3" width="10.7109375" customWidth="1"/>
  </cols>
  <sheetData>
    <row r="1" spans="1:17" hidden="1" x14ac:dyDescent="0.25">
      <c r="A1" s="7" t="s">
        <v>0</v>
      </c>
      <c r="B1" s="9">
        <f>AVERAGE(B9:B1048576)</f>
        <v>56</v>
      </c>
      <c r="C1" s="9">
        <f>AVERAGE(C9:C1048576)</f>
        <v>9</v>
      </c>
      <c r="I1" s="7" t="s">
        <v>25</v>
      </c>
      <c r="J1" s="16" t="str">
        <f>IF(LME="","",LME)</f>
        <v/>
      </c>
    </row>
    <row r="2" spans="1:17" hidden="1" x14ac:dyDescent="0.25">
      <c r="A2" s="7" t="s">
        <v>1</v>
      </c>
      <c r="B2" s="9">
        <f>_xlfn.STDEV.S(B9:B1048576)</f>
        <v>55.560777532356404</v>
      </c>
      <c r="C2" s="9">
        <f>_xlfn.STDEV.S(C9:C1048576)</f>
        <v>81.574097195944091</v>
      </c>
      <c r="I2" s="7" t="s">
        <v>26</v>
      </c>
      <c r="J2" s="16" t="str">
        <f>IF(VME="","",VME/3)</f>
        <v/>
      </c>
    </row>
    <row r="3" spans="1:17" hidden="1" x14ac:dyDescent="0.25">
      <c r="A3" s="7" t="s">
        <v>2</v>
      </c>
      <c r="B3" s="9">
        <f>MAX(B9:B1048576)</f>
        <v>125</v>
      </c>
      <c r="C3" s="9">
        <f>MAX(C9:C1048576)</f>
        <v>125</v>
      </c>
    </row>
    <row r="4" spans="1:17" hidden="1" x14ac:dyDescent="0.25">
      <c r="A4" s="7" t="s">
        <v>3</v>
      </c>
      <c r="B4" s="9">
        <f>MIN(B9:B1048576)</f>
        <v>0</v>
      </c>
      <c r="C4" s="9">
        <f>MIN(C9:C1048576)</f>
        <v>-108</v>
      </c>
    </row>
    <row r="5" spans="1:17" ht="15" customHeight="1" x14ac:dyDescent="0.25">
      <c r="A5" s="22" t="s">
        <v>54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 t="s">
        <v>45</v>
      </c>
      <c r="B9" s="18">
        <f>IF(A9="","",SUMIFS('Catalogo de Variaveis'!$P$5:$P$1048576,'Catalogo de Variaveis'!$A$5:$A$1048576,LEFT(A9,4),'Catalogo de Variaveis'!$D$5:$D$1048576,RIGHT(A9,1)))</f>
        <v>0</v>
      </c>
      <c r="C9" s="19">
        <f>IFERROR(IF(A9="","",B9-B8),0)</f>
        <v>0</v>
      </c>
      <c r="D9" s="13"/>
      <c r="E9" s="10"/>
      <c r="F9" s="10"/>
      <c r="G9" s="10"/>
      <c r="H9" s="10"/>
      <c r="I9" s="10"/>
      <c r="J9" s="14"/>
      <c r="K9" s="13"/>
      <c r="L9" s="10"/>
      <c r="M9" s="10"/>
      <c r="N9" s="10"/>
      <c r="O9" s="10"/>
      <c r="P9" s="10"/>
      <c r="Q9" s="14"/>
    </row>
    <row r="10" spans="1:17" x14ac:dyDescent="0.25">
      <c r="A10" s="4" t="s">
        <v>46</v>
      </c>
      <c r="B10" s="18">
        <f>IF(A10="","",SUMIFS('Catalogo de Variaveis'!$P$5:$P$1048576,'Catalogo de Variaveis'!$A$5:$A$1048576,LEFT(A10,4),'Catalogo de Variaveis'!$D$5:$D$1048576,RIGHT(A10,1)))</f>
        <v>96</v>
      </c>
      <c r="C10" s="19">
        <f t="shared" ref="C10:C60" si="0">IFERROR(IF(A10="","",B10-B9),0)</f>
        <v>96</v>
      </c>
      <c r="D10" s="13"/>
      <c r="E10" s="10"/>
      <c r="F10" s="10"/>
      <c r="G10" s="10"/>
      <c r="H10" s="10"/>
      <c r="I10" s="10"/>
      <c r="J10" s="14"/>
      <c r="K10" s="13"/>
      <c r="L10" s="10"/>
      <c r="M10" s="10"/>
      <c r="N10" s="10"/>
      <c r="O10" s="10"/>
      <c r="P10" s="10"/>
      <c r="Q10" s="14"/>
    </row>
    <row r="11" spans="1:17" x14ac:dyDescent="0.25">
      <c r="A11" s="4" t="s">
        <v>47</v>
      </c>
      <c r="B11" s="18">
        <f>IF(A11="","",SUMIFS('Catalogo de Variaveis'!$P$5:$P$1048576,'Catalogo de Variaveis'!$A$5:$A$1048576,LEFT(A11,4),'Catalogo de Variaveis'!$D$5:$D$1048576,RIGHT(A11,1)))</f>
        <v>108</v>
      </c>
      <c r="C11" s="19">
        <f t="shared" si="0"/>
        <v>12</v>
      </c>
      <c r="D11" s="13"/>
      <c r="E11" s="10"/>
      <c r="F11" s="10"/>
      <c r="G11" s="10"/>
      <c r="H11" s="10"/>
      <c r="I11" s="10"/>
      <c r="J11" s="14"/>
      <c r="K11" s="13"/>
      <c r="L11" s="10"/>
      <c r="M11" s="10"/>
      <c r="N11" s="10"/>
      <c r="O11" s="10"/>
      <c r="P11" s="10"/>
      <c r="Q11" s="14"/>
    </row>
    <row r="12" spans="1:17" x14ac:dyDescent="0.25">
      <c r="A12" s="4" t="s">
        <v>48</v>
      </c>
      <c r="B12" s="18">
        <f>IF(A12="","",SUMIFS('Catalogo de Variaveis'!$P$5:$P$1048576,'Catalogo de Variaveis'!$A$5:$A$1048576,LEFT(A12,4),'Catalogo de Variaveis'!$D$5:$D$1048576,RIGHT(A12,1)))</f>
        <v>0</v>
      </c>
      <c r="C12" s="19">
        <f t="shared" si="0"/>
        <v>-108</v>
      </c>
      <c r="D12" s="13"/>
      <c r="E12" s="10"/>
      <c r="F12" s="10"/>
      <c r="G12" s="10"/>
      <c r="H12" s="10"/>
      <c r="I12" s="10"/>
      <c r="J12" s="14"/>
      <c r="K12" s="13"/>
      <c r="L12" s="10"/>
      <c r="M12" s="10"/>
      <c r="N12" s="10"/>
      <c r="O12" s="10"/>
      <c r="P12" s="10"/>
      <c r="Q12" s="14"/>
    </row>
    <row r="13" spans="1:17" x14ac:dyDescent="0.25">
      <c r="A13" s="4" t="s">
        <v>49</v>
      </c>
      <c r="B13" s="18">
        <f>IF(A13="","",SUMIFS('Catalogo de Variaveis'!$P$5:$P$1048576,'Catalogo de Variaveis'!$A$5:$A$1048576,LEFT(A13,4),'Catalogo de Variaveis'!$D$5:$D$1048576,RIGHT(A13,1)))</f>
        <v>0</v>
      </c>
      <c r="C13" s="19">
        <f t="shared" si="0"/>
        <v>0</v>
      </c>
      <c r="D13" s="13"/>
      <c r="E13" s="10"/>
      <c r="F13" s="10"/>
      <c r="G13" s="10"/>
      <c r="H13" s="10"/>
      <c r="I13" s="10"/>
      <c r="J13" s="14"/>
      <c r="K13" s="13"/>
      <c r="L13" s="10"/>
      <c r="M13" s="10"/>
      <c r="N13" s="10"/>
      <c r="O13" s="10"/>
      <c r="P13" s="10"/>
      <c r="Q13" s="14"/>
    </row>
    <row r="14" spans="1:17" x14ac:dyDescent="0.25">
      <c r="A14" s="4" t="s">
        <v>50</v>
      </c>
      <c r="B14" s="18">
        <f>IF(A14="","",SUMIFS('Catalogo de Variaveis'!$P$5:$P$1048576,'Catalogo de Variaveis'!$A$5:$A$1048576,LEFT(A14,4),'Catalogo de Variaveis'!$D$5:$D$1048576,RIGHT(A14,1)))</f>
        <v>125</v>
      </c>
      <c r="C14" s="19">
        <f t="shared" si="0"/>
        <v>125</v>
      </c>
      <c r="D14" s="13"/>
      <c r="E14" s="10"/>
      <c r="F14" s="10"/>
      <c r="G14" s="10"/>
      <c r="H14" s="10"/>
      <c r="I14" s="10"/>
      <c r="J14" s="14"/>
      <c r="K14" s="13"/>
      <c r="L14" s="10"/>
      <c r="M14" s="10"/>
      <c r="N14" s="10"/>
      <c r="O14" s="10"/>
      <c r="P14" s="10"/>
      <c r="Q14" s="14"/>
    </row>
    <row r="15" spans="1:17" x14ac:dyDescent="0.25">
      <c r="A15" s="4" t="s">
        <v>51</v>
      </c>
      <c r="B15" s="18">
        <f>IF(A15="","",SUMIFS('Catalogo de Variaveis'!$P$5:$P$1048576,'Catalogo de Variaveis'!$A$5:$A$1048576,LEFT(A15,4),'Catalogo de Variaveis'!$D$5:$D$1048576,RIGHT(A15,1)))</f>
        <v>63</v>
      </c>
      <c r="C15" s="19">
        <f t="shared" si="0"/>
        <v>-62</v>
      </c>
      <c r="D15" s="13"/>
      <c r="E15" s="10"/>
      <c r="F15" s="10"/>
      <c r="G15" s="10"/>
      <c r="H15" s="10"/>
      <c r="I15" s="10"/>
      <c r="J15" s="14"/>
      <c r="K15" s="13"/>
      <c r="L15" s="10"/>
      <c r="M15" s="10"/>
      <c r="N15" s="10"/>
      <c r="O15" s="10"/>
      <c r="P15" s="10"/>
      <c r="Q15" s="14"/>
    </row>
    <row r="16" spans="1:17" x14ac:dyDescent="0.25">
      <c r="A16" s="4"/>
      <c r="B16" s="18" t="str">
        <f>IF(A16="","",SUMIFS('Catalogo de Variaveis'!$P$5:$P$1048576,'Catalogo de Variaveis'!$A$5:$A$1048576,LEFT(A16,4),'Catalogo de Variaveis'!$D$5:$D$1048576,RIGHT(A16,1)))</f>
        <v/>
      </c>
      <c r="C16" s="19" t="str">
        <f t="shared" si="0"/>
        <v/>
      </c>
      <c r="D16" s="13"/>
      <c r="E16" s="10"/>
      <c r="F16" s="10"/>
      <c r="G16" s="10"/>
      <c r="H16" s="10"/>
      <c r="I16" s="10"/>
      <c r="J16" s="14"/>
      <c r="K16" s="13"/>
      <c r="L16" s="10"/>
      <c r="M16" s="10"/>
      <c r="N16" s="10"/>
      <c r="O16" s="10"/>
      <c r="P16" s="10"/>
      <c r="Q16" s="14"/>
    </row>
    <row r="17" spans="1:17" x14ac:dyDescent="0.25">
      <c r="A17" s="4"/>
      <c r="B17" s="18" t="str">
        <f>IF(A17="","",SUMIFS('Catalogo de Variaveis'!$P$5:$P$1048576,'Catalogo de Variaveis'!$A$5:$A$1048576,LEFT(A17,4),'Catalogo de Variaveis'!$D$5:$D$1048576,RIGHT(A17,1)))</f>
        <v/>
      </c>
      <c r="C17" s="19" t="str">
        <f t="shared" si="0"/>
        <v/>
      </c>
      <c r="D17" s="13"/>
      <c r="E17" s="10"/>
      <c r="F17" s="10"/>
      <c r="G17" s="10"/>
      <c r="H17" s="10"/>
      <c r="I17" s="10"/>
      <c r="J17" s="14"/>
      <c r="K17" s="13"/>
      <c r="L17" s="10"/>
      <c r="M17" s="10"/>
      <c r="N17" s="10"/>
      <c r="O17" s="10"/>
      <c r="P17" s="10"/>
      <c r="Q17" s="14"/>
    </row>
    <row r="18" spans="1:17" x14ac:dyDescent="0.25">
      <c r="A18" s="4"/>
      <c r="B18" s="18" t="str">
        <f>IF(A18="","",SUMIFS('Catalogo de Variaveis'!$P$5:$P$1048576,'Catalogo de Variaveis'!$A$5:$A$1048576,LEFT(A18,4),'Catalogo de Variaveis'!$D$5:$D$1048576,RIGHT(A18,1)))</f>
        <v/>
      </c>
      <c r="C18" s="19" t="str">
        <f t="shared" si="0"/>
        <v/>
      </c>
      <c r="D18" s="13"/>
      <c r="E18" s="10"/>
      <c r="F18" s="10"/>
      <c r="G18" s="10"/>
      <c r="H18" s="10"/>
      <c r="I18" s="10"/>
      <c r="J18" s="14"/>
      <c r="K18" s="13"/>
      <c r="L18" s="10"/>
      <c r="M18" s="10"/>
      <c r="N18" s="10"/>
      <c r="O18" s="10"/>
      <c r="P18" s="10"/>
      <c r="Q18" s="14"/>
    </row>
    <row r="19" spans="1:17" x14ac:dyDescent="0.25">
      <c r="A19" s="4"/>
      <c r="B19" s="18" t="str">
        <f>IF(A19="","",SUMIFS('Catalogo de Variaveis'!$P$5:$P$1048576,'Catalogo de Variaveis'!$A$5:$A$1048576,LEFT(A19,4),'Catalogo de Variaveis'!$D$5:$D$1048576,RIGHT(A19,1)))</f>
        <v/>
      </c>
      <c r="C19" s="19" t="str">
        <f t="shared" si="0"/>
        <v/>
      </c>
      <c r="D19" s="13"/>
      <c r="E19" s="10"/>
      <c r="F19" s="10"/>
      <c r="G19" s="10"/>
      <c r="H19" s="10"/>
      <c r="I19" s="10"/>
      <c r="J19" s="14"/>
      <c r="K19" s="13"/>
      <c r="L19" s="10"/>
      <c r="M19" s="10"/>
      <c r="N19" s="10"/>
      <c r="O19" s="10"/>
      <c r="P19" s="10"/>
      <c r="Q19" s="14"/>
    </row>
    <row r="20" spans="1:17" x14ac:dyDescent="0.25">
      <c r="A20" s="4"/>
      <c r="B20" s="18" t="str">
        <f>IF(A20="","",SUMIFS('Catalogo de Variaveis'!$P$5:$P$1048576,'Catalogo de Variaveis'!$A$5:$A$1048576,LEFT(A20,4),'Catalogo de Variaveis'!$D$5:$D$1048576,RIGHT(A20,1)))</f>
        <v/>
      </c>
      <c r="C20" s="19" t="str">
        <f t="shared" si="0"/>
        <v/>
      </c>
      <c r="D20" s="13"/>
      <c r="E20" s="10"/>
      <c r="F20" s="10"/>
      <c r="G20" s="10"/>
      <c r="H20" s="10"/>
      <c r="I20" s="10"/>
      <c r="J20" s="14"/>
      <c r="K20" s="13"/>
      <c r="L20" s="10"/>
      <c r="M20" s="10"/>
      <c r="N20" s="10"/>
      <c r="O20" s="10"/>
      <c r="P20" s="10"/>
      <c r="Q20" s="14"/>
    </row>
    <row r="21" spans="1:17" x14ac:dyDescent="0.25">
      <c r="A21" s="4"/>
      <c r="B21" s="18" t="str">
        <f>IF(A21="","",SUMIFS('Catalogo de Variaveis'!$P$5:$P$1048576,'Catalogo de Variaveis'!$A$5:$A$1048576,LEFT(A21,4),'Catalogo de Variaveis'!$D$5:$D$1048576,RIGHT(A21,1)))</f>
        <v/>
      </c>
      <c r="C21" s="19" t="str">
        <f t="shared" si="0"/>
        <v/>
      </c>
      <c r="D21" s="13"/>
      <c r="E21" s="10"/>
      <c r="F21" s="10"/>
      <c r="G21" s="10"/>
      <c r="H21" s="10"/>
      <c r="I21" s="10"/>
      <c r="J21" s="14"/>
      <c r="K21" s="13"/>
      <c r="L21" s="10"/>
      <c r="M21" s="10"/>
      <c r="N21" s="10"/>
      <c r="O21" s="10"/>
      <c r="P21" s="10"/>
      <c r="Q21" s="14"/>
    </row>
    <row r="22" spans="1:17" x14ac:dyDescent="0.25">
      <c r="A22" s="4"/>
      <c r="B22" s="18" t="str">
        <f>IF(A22="","",SUMIFS('Catalogo de Variaveis'!$P$5:$P$1048576,'Catalogo de Variaveis'!$A$5:$A$1048576,LEFT(A22,4),'Catalogo de Variaveis'!$D$5:$D$1048576,RIGHT(A22,1)))</f>
        <v/>
      </c>
      <c r="C22" s="19" t="str">
        <f t="shared" si="0"/>
        <v/>
      </c>
      <c r="D22" s="13"/>
      <c r="E22" s="10"/>
      <c r="F22" s="10"/>
      <c r="G22" s="10"/>
      <c r="H22" s="10"/>
      <c r="I22" s="10"/>
      <c r="J22" s="14"/>
      <c r="K22" s="13"/>
      <c r="L22" s="10"/>
      <c r="M22" s="10"/>
      <c r="N22" s="10"/>
      <c r="O22" s="10"/>
      <c r="P22" s="10"/>
      <c r="Q22" s="14"/>
    </row>
    <row r="23" spans="1:17" x14ac:dyDescent="0.25">
      <c r="A23" s="4"/>
      <c r="B23" s="18" t="str">
        <f>IF(A23="","",SUMIFS('Catalogo de Variaveis'!$P$5:$P$1048576,'Catalogo de Variaveis'!$A$5:$A$1048576,LEFT(A23,4),'Catalogo de Variaveis'!$D$5:$D$1048576,RIGHT(A23,1)))</f>
        <v/>
      </c>
      <c r="C23" s="19" t="str">
        <f t="shared" si="0"/>
        <v/>
      </c>
      <c r="D23" s="13"/>
      <c r="E23" s="10"/>
      <c r="F23" s="10"/>
      <c r="G23" s="10"/>
      <c r="H23" s="10"/>
      <c r="I23" s="10"/>
      <c r="J23" s="14"/>
      <c r="K23" s="13"/>
      <c r="L23" s="10"/>
      <c r="M23" s="10"/>
      <c r="N23" s="10"/>
      <c r="O23" s="10"/>
      <c r="P23" s="10"/>
      <c r="Q23" s="14"/>
    </row>
    <row r="24" spans="1:17" x14ac:dyDescent="0.25">
      <c r="A24" s="4"/>
      <c r="B24" s="18" t="str">
        <f>IF(A24="","",SUMIFS('Catalogo de Variaveis'!$P$5:$P$1048576,'Catalogo de Variaveis'!$A$5:$A$1048576,LEFT(A24,4),'Catalogo de Variaveis'!$D$5:$D$1048576,RIGHT(A24,1)))</f>
        <v/>
      </c>
      <c r="C24" s="19" t="str">
        <f t="shared" si="0"/>
        <v/>
      </c>
      <c r="D24" s="13"/>
      <c r="E24" s="10"/>
      <c r="F24" s="10"/>
      <c r="G24" s="10"/>
      <c r="H24" s="10"/>
      <c r="I24" s="10"/>
      <c r="J24" s="14"/>
      <c r="K24" s="13"/>
      <c r="L24" s="10"/>
      <c r="M24" s="10"/>
      <c r="N24" s="10"/>
      <c r="O24" s="10"/>
      <c r="P24" s="10"/>
      <c r="Q24" s="14"/>
    </row>
    <row r="25" spans="1:17" x14ac:dyDescent="0.25">
      <c r="A25" s="4"/>
      <c r="B25" s="18" t="str">
        <f>IF(A25="","",SUMIFS('Catalogo de Variaveis'!$P$5:$P$1048576,'Catalogo de Variaveis'!$A$5:$A$1048576,LEFT(A25,4),'Catalogo de Variaveis'!$D$5:$D$1048576,RIGHT(A25,1)))</f>
        <v/>
      </c>
      <c r="C25" s="19" t="str">
        <f t="shared" si="0"/>
        <v/>
      </c>
      <c r="D25" s="13"/>
      <c r="E25" s="10"/>
      <c r="F25" s="10"/>
      <c r="G25" s="10"/>
      <c r="H25" s="10"/>
      <c r="I25" s="10"/>
      <c r="J25" s="14"/>
      <c r="K25" s="13"/>
      <c r="L25" s="10"/>
      <c r="M25" s="10"/>
      <c r="N25" s="10"/>
      <c r="O25" s="10"/>
      <c r="P25" s="10"/>
      <c r="Q25" s="14"/>
    </row>
    <row r="26" spans="1:17" x14ac:dyDescent="0.25">
      <c r="A26" s="4"/>
      <c r="B26" s="18" t="str">
        <f>IF(A26="","",SUMIFS('Catalogo de Variaveis'!$P$5:$P$1048576,'Catalogo de Variaveis'!$A$5:$A$1048576,LEFT(A26,4),'Catalogo de Variaveis'!$D$5:$D$1048576,RIGHT(A26,1)))</f>
        <v/>
      </c>
      <c r="C26" s="19" t="str">
        <f t="shared" si="0"/>
        <v/>
      </c>
      <c r="D26" s="13"/>
      <c r="E26" s="10"/>
      <c r="F26" s="10"/>
      <c r="G26" s="10"/>
      <c r="H26" s="10"/>
      <c r="I26" s="10"/>
      <c r="J26" s="14"/>
      <c r="K26" s="13"/>
      <c r="L26" s="10"/>
      <c r="M26" s="10"/>
      <c r="N26" s="10"/>
      <c r="O26" s="10"/>
      <c r="P26" s="10"/>
      <c r="Q26" s="14"/>
    </row>
    <row r="27" spans="1:17" x14ac:dyDescent="0.25">
      <c r="A27" s="4"/>
      <c r="B27" s="18" t="str">
        <f>IF(A27="","",SUMIFS('Catalogo de Variaveis'!$P$5:$P$1048576,'Catalogo de Variaveis'!$A$5:$A$1048576,LEFT(A27,4),'Catalogo de Variaveis'!$D$5:$D$1048576,RIGHT(A27,1)))</f>
        <v/>
      </c>
      <c r="C27" s="19" t="str">
        <f t="shared" si="0"/>
        <v/>
      </c>
      <c r="D27" s="13"/>
      <c r="E27" s="10"/>
      <c r="F27" s="10"/>
      <c r="G27" s="10"/>
      <c r="H27" s="10"/>
      <c r="I27" s="10"/>
      <c r="J27" s="14"/>
      <c r="K27" s="13"/>
      <c r="L27" s="10"/>
      <c r="M27" s="10"/>
      <c r="N27" s="10"/>
      <c r="O27" s="10"/>
      <c r="P27" s="10"/>
      <c r="Q27" s="14"/>
    </row>
    <row r="28" spans="1:17" x14ac:dyDescent="0.25">
      <c r="A28" s="4"/>
      <c r="B28" s="18" t="str">
        <f>IF(A28="","",SUMIFS('Catalogo de Variaveis'!$P$5:$P$1048576,'Catalogo de Variaveis'!$A$5:$A$1048576,LEFT(A28,4),'Catalogo de Variaveis'!$D$5:$D$1048576,RIGHT(A28,1)))</f>
        <v/>
      </c>
      <c r="C28" s="19" t="str">
        <f t="shared" si="0"/>
        <v/>
      </c>
      <c r="D28" s="13"/>
      <c r="E28" s="10"/>
      <c r="F28" s="10"/>
      <c r="G28" s="10"/>
      <c r="H28" s="10"/>
      <c r="I28" s="10"/>
      <c r="J28" s="14"/>
      <c r="K28" s="13"/>
      <c r="L28" s="10"/>
      <c r="M28" s="10"/>
      <c r="N28" s="10"/>
      <c r="O28" s="10"/>
      <c r="P28" s="10"/>
      <c r="Q28" s="14"/>
    </row>
    <row r="29" spans="1:17" x14ac:dyDescent="0.25">
      <c r="A29" s="4"/>
      <c r="B29" s="18" t="str">
        <f>IF(A29="","",SUMIFS('Catalogo de Variaveis'!$P$5:$P$1048576,'Catalogo de Variaveis'!$A$5:$A$1048576,LEFT(A29,4),'Catalogo de Variaveis'!$D$5:$D$1048576,RIGHT(A29,1)))</f>
        <v/>
      </c>
      <c r="C29" s="19" t="str">
        <f t="shared" si="0"/>
        <v/>
      </c>
      <c r="D29" s="13"/>
      <c r="E29" s="10"/>
      <c r="F29" s="10"/>
      <c r="G29" s="10"/>
      <c r="H29" s="10"/>
      <c r="I29" s="10"/>
      <c r="J29" s="14"/>
      <c r="K29" s="13"/>
      <c r="L29" s="10"/>
      <c r="M29" s="10"/>
      <c r="N29" s="10"/>
      <c r="O29" s="10"/>
      <c r="P29" s="10"/>
      <c r="Q29" s="14"/>
    </row>
    <row r="30" spans="1:17" x14ac:dyDescent="0.25">
      <c r="A30" s="4"/>
      <c r="B30" s="18" t="str">
        <f>IF(A30="","",SUMIFS('Catalogo de Variaveis'!$P$5:$P$1048576,'Catalogo de Variaveis'!$A$5:$A$1048576,LEFT(A30,4),'Catalogo de Variaveis'!$D$5:$D$1048576,RIGHT(A30,1)))</f>
        <v/>
      </c>
      <c r="C30" s="19" t="str">
        <f t="shared" si="0"/>
        <v/>
      </c>
      <c r="D30" s="13"/>
      <c r="E30" s="10"/>
      <c r="F30" s="10"/>
      <c r="G30" s="10"/>
      <c r="H30" s="10"/>
      <c r="I30" s="10"/>
      <c r="J30" s="14"/>
      <c r="K30" s="13"/>
      <c r="L30" s="10"/>
      <c r="M30" s="10"/>
      <c r="N30" s="10"/>
      <c r="O30" s="10"/>
      <c r="P30" s="10"/>
      <c r="Q30" s="14"/>
    </row>
    <row r="31" spans="1:17" x14ac:dyDescent="0.25">
      <c r="A31" s="4"/>
      <c r="B31" s="18" t="str">
        <f>IF(A31="","",SUMIFS('Catalogo de Variaveis'!$P$5:$P$1048576,'Catalogo de Variaveis'!$A$5:$A$1048576,LEFT(A31,4),'Catalogo de Variaveis'!$D$5:$D$1048576,RIGHT(A31,1)))</f>
        <v/>
      </c>
      <c r="C31" s="19" t="str">
        <f t="shared" si="0"/>
        <v/>
      </c>
      <c r="D31" s="13"/>
      <c r="E31" s="10"/>
      <c r="F31" s="10"/>
      <c r="G31" s="10"/>
      <c r="H31" s="10"/>
      <c r="I31" s="10"/>
      <c r="J31" s="14"/>
      <c r="K31" s="13"/>
      <c r="L31" s="10"/>
      <c r="M31" s="10"/>
      <c r="N31" s="10"/>
      <c r="O31" s="10"/>
      <c r="P31" s="10"/>
      <c r="Q31" s="14"/>
    </row>
    <row r="32" spans="1:17" x14ac:dyDescent="0.25">
      <c r="A32" s="4"/>
      <c r="B32" s="18" t="str">
        <f>IF(A32="","",SUMIFS('Catalogo de Variaveis'!$P$5:$P$1048576,'Catalogo de Variaveis'!$A$5:$A$1048576,LEFT(A32,4),'Catalogo de Variaveis'!$D$5:$D$1048576,RIGHT(A32,1)))</f>
        <v/>
      </c>
      <c r="C32" s="19" t="str">
        <f t="shared" si="0"/>
        <v/>
      </c>
      <c r="D32" s="13"/>
      <c r="E32" s="10"/>
      <c r="F32" s="10"/>
      <c r="G32" s="10"/>
      <c r="H32" s="10"/>
      <c r="I32" s="10"/>
      <c r="J32" s="14"/>
      <c r="K32" s="13"/>
      <c r="L32" s="10"/>
      <c r="M32" s="10"/>
      <c r="N32" s="10"/>
      <c r="O32" s="10"/>
      <c r="P32" s="10"/>
      <c r="Q32" s="14"/>
    </row>
    <row r="33" spans="1:17" x14ac:dyDescent="0.25">
      <c r="A33" s="4"/>
      <c r="B33" s="18" t="str">
        <f>IF(A33="","",SUMIFS('Catalogo de Variaveis'!$P$5:$P$1048576,'Catalogo de Variaveis'!$A$5:$A$1048576,LEFT(A33,4),'Catalogo de Variaveis'!$D$5:$D$1048576,RIGHT(A33,1)))</f>
        <v/>
      </c>
      <c r="C33" s="19" t="str">
        <f t="shared" si="0"/>
        <v/>
      </c>
      <c r="D33" s="13"/>
      <c r="E33" s="10"/>
      <c r="F33" s="10"/>
      <c r="G33" s="10"/>
      <c r="H33" s="10"/>
      <c r="I33" s="10"/>
      <c r="J33" s="14"/>
      <c r="K33" s="13"/>
      <c r="L33" s="10"/>
      <c r="M33" s="10"/>
      <c r="N33" s="10"/>
      <c r="O33" s="10"/>
      <c r="P33" s="10"/>
      <c r="Q33" s="14"/>
    </row>
    <row r="34" spans="1:17" x14ac:dyDescent="0.25">
      <c r="A34" s="4"/>
      <c r="B34" s="18" t="str">
        <f>IF(A34="","",SUMIFS('Catalogo de Variaveis'!$P$5:$P$1048576,'Catalogo de Variaveis'!$A$5:$A$1048576,LEFT(A34,4),'Catalogo de Variaveis'!$D$5:$D$1048576,RIGHT(A34,1)))</f>
        <v/>
      </c>
      <c r="C34" s="19" t="str">
        <f t="shared" si="0"/>
        <v/>
      </c>
      <c r="D34" s="13"/>
      <c r="E34" s="10"/>
      <c r="F34" s="10"/>
      <c r="G34" s="10"/>
      <c r="H34" s="10"/>
      <c r="I34" s="10"/>
      <c r="J34" s="14"/>
      <c r="K34" s="13"/>
      <c r="L34" s="10"/>
      <c r="M34" s="10"/>
      <c r="N34" s="10"/>
      <c r="O34" s="10"/>
      <c r="P34" s="10"/>
      <c r="Q34" s="14"/>
    </row>
    <row r="35" spans="1:17" x14ac:dyDescent="0.25">
      <c r="A35" s="4"/>
      <c r="B35" s="18" t="str">
        <f>IF(A35="","",SUMIFS('Catalogo de Variaveis'!$P$5:$P$1048576,'Catalogo de Variaveis'!$A$5:$A$1048576,LEFT(A35,4),'Catalogo de Variaveis'!$D$5:$D$1048576,RIGHT(A35,1)))</f>
        <v/>
      </c>
      <c r="C35" s="19" t="str">
        <f t="shared" si="0"/>
        <v/>
      </c>
      <c r="D35" s="13"/>
      <c r="E35" s="10"/>
      <c r="F35" s="10"/>
      <c r="G35" s="10"/>
      <c r="H35" s="10"/>
      <c r="I35" s="10"/>
      <c r="J35" s="14"/>
      <c r="K35" s="13"/>
      <c r="L35" s="10"/>
      <c r="M35" s="10"/>
      <c r="N35" s="10"/>
      <c r="O35" s="10"/>
      <c r="P35" s="10"/>
      <c r="Q35" s="14"/>
    </row>
    <row r="36" spans="1:17" x14ac:dyDescent="0.25">
      <c r="A36" s="4"/>
      <c r="B36" s="18" t="str">
        <f>IF(A36="","",SUMIFS('Catalogo de Variaveis'!$P$5:$P$1048576,'Catalogo de Variaveis'!$A$5:$A$1048576,LEFT(A36,4),'Catalogo de Variaveis'!$D$5:$D$1048576,RIGHT(A36,1)))</f>
        <v/>
      </c>
      <c r="C36" s="19" t="str">
        <f t="shared" si="0"/>
        <v/>
      </c>
      <c r="D36" s="13"/>
      <c r="E36" s="10"/>
      <c r="F36" s="10"/>
      <c r="G36" s="10"/>
      <c r="H36" s="10"/>
      <c r="I36" s="10"/>
      <c r="J36" s="14"/>
      <c r="K36" s="13"/>
      <c r="L36" s="10"/>
      <c r="M36" s="10"/>
      <c r="N36" s="10"/>
      <c r="O36" s="10"/>
      <c r="P36" s="10"/>
      <c r="Q36" s="14"/>
    </row>
    <row r="37" spans="1:17" x14ac:dyDescent="0.25">
      <c r="A37" s="4"/>
      <c r="B37" s="18" t="str">
        <f>IF(A37="","",SUMIFS('Catalogo de Variaveis'!$P$5:$P$1048576,'Catalogo de Variaveis'!$A$5:$A$1048576,LEFT(A37,4),'Catalogo de Variaveis'!$D$5:$D$1048576,RIGHT(A37,1)))</f>
        <v/>
      </c>
      <c r="C37" s="19" t="str">
        <f t="shared" si="0"/>
        <v/>
      </c>
      <c r="D37" s="13"/>
      <c r="E37" s="10"/>
      <c r="F37" s="10"/>
      <c r="G37" s="10"/>
      <c r="H37" s="10"/>
      <c r="I37" s="10"/>
      <c r="J37" s="14"/>
      <c r="K37" s="13"/>
      <c r="L37" s="10"/>
      <c r="M37" s="10"/>
      <c r="N37" s="10"/>
      <c r="O37" s="10"/>
      <c r="P37" s="10"/>
      <c r="Q37" s="14"/>
    </row>
    <row r="38" spans="1:17" x14ac:dyDescent="0.25">
      <c r="A38" s="4"/>
      <c r="B38" s="18" t="str">
        <f>IF(A38="","",SUMIFS('Catalogo de Variaveis'!$P$5:$P$1048576,'Catalogo de Variaveis'!$A$5:$A$1048576,LEFT(A38,4),'Catalogo de Variaveis'!$D$5:$D$1048576,RIGHT(A38,1)))</f>
        <v/>
      </c>
      <c r="C38" s="19" t="str">
        <f t="shared" si="0"/>
        <v/>
      </c>
      <c r="D38" s="13"/>
      <c r="E38" s="10"/>
      <c r="F38" s="10"/>
      <c r="G38" s="10"/>
      <c r="H38" s="10"/>
      <c r="I38" s="10"/>
      <c r="J38" s="14"/>
      <c r="K38" s="13"/>
      <c r="L38" s="10"/>
      <c r="M38" s="10"/>
      <c r="N38" s="10"/>
      <c r="O38" s="10"/>
      <c r="P38" s="10"/>
      <c r="Q38" s="14"/>
    </row>
    <row r="39" spans="1:17" x14ac:dyDescent="0.25">
      <c r="A39" s="4"/>
      <c r="B39" s="18" t="str">
        <f>IF(A39="","",SUMIFS('Catalogo de Variaveis'!$P$5:$P$1048576,'Catalogo de Variaveis'!$A$5:$A$1048576,LEFT(A39,4),'Catalogo de Variaveis'!$D$5:$D$1048576,RIGHT(A39,1)))</f>
        <v/>
      </c>
      <c r="C39" s="19" t="str">
        <f t="shared" si="0"/>
        <v/>
      </c>
      <c r="D39" s="13"/>
      <c r="E39" s="10"/>
      <c r="F39" s="10"/>
      <c r="G39" s="10"/>
      <c r="H39" s="10"/>
      <c r="I39" s="10"/>
      <c r="J39" s="14"/>
      <c r="K39" s="13"/>
      <c r="L39" s="10"/>
      <c r="M39" s="10"/>
      <c r="N39" s="10"/>
      <c r="O39" s="10"/>
      <c r="P39" s="10"/>
      <c r="Q39" s="14"/>
    </row>
    <row r="40" spans="1:17" x14ac:dyDescent="0.25">
      <c r="A40" s="4"/>
      <c r="B40" s="18" t="str">
        <f>IF(A40="","",SUMIFS('Catalogo de Variaveis'!$P$5:$P$1048576,'Catalogo de Variaveis'!$A$5:$A$1048576,LEFT(A40,4),'Catalogo de Variaveis'!$D$5:$D$1048576,RIGHT(A40,1)))</f>
        <v/>
      </c>
      <c r="C40" s="19" t="str">
        <f t="shared" si="0"/>
        <v/>
      </c>
      <c r="D40" s="13"/>
      <c r="E40" s="10"/>
      <c r="F40" s="10"/>
      <c r="G40" s="10"/>
      <c r="H40" s="10"/>
      <c r="I40" s="10"/>
      <c r="J40" s="14"/>
      <c r="K40" s="13"/>
      <c r="L40" s="10"/>
      <c r="M40" s="10"/>
      <c r="N40" s="10"/>
      <c r="O40" s="10"/>
      <c r="P40" s="10"/>
      <c r="Q40" s="14"/>
    </row>
    <row r="41" spans="1:17" x14ac:dyDescent="0.25">
      <c r="A41" s="4"/>
      <c r="B41" s="18" t="str">
        <f>IF(A41="","",SUMIFS('Catalogo de Variaveis'!$P$5:$P$1048576,'Catalogo de Variaveis'!$A$5:$A$1048576,LEFT(A41,4),'Catalogo de Variaveis'!$D$5:$D$1048576,RIGHT(A41,1)))</f>
        <v/>
      </c>
      <c r="C41" s="19" t="str">
        <f t="shared" si="0"/>
        <v/>
      </c>
      <c r="D41" s="13"/>
      <c r="E41" s="10"/>
      <c r="F41" s="10"/>
      <c r="G41" s="10"/>
      <c r="H41" s="10"/>
      <c r="I41" s="10"/>
      <c r="J41" s="14"/>
      <c r="K41" s="13"/>
      <c r="L41" s="10"/>
      <c r="M41" s="10"/>
      <c r="N41" s="10"/>
      <c r="O41" s="10"/>
      <c r="P41" s="10"/>
      <c r="Q41" s="14"/>
    </row>
    <row r="42" spans="1:17" x14ac:dyDescent="0.25">
      <c r="A42" s="4"/>
      <c r="B42" s="18" t="str">
        <f>IF(A42="","",SUMIFS('Catalogo de Variaveis'!$P$5:$P$1048576,'Catalogo de Variaveis'!$A$5:$A$1048576,LEFT(A42,4),'Catalogo de Variaveis'!$D$5:$D$1048576,RIGHT(A42,1)))</f>
        <v/>
      </c>
      <c r="C42" s="19" t="str">
        <f t="shared" si="0"/>
        <v/>
      </c>
      <c r="D42" s="13"/>
      <c r="E42" s="10"/>
      <c r="F42" s="10"/>
      <c r="G42" s="10"/>
      <c r="H42" s="10"/>
      <c r="I42" s="10"/>
      <c r="J42" s="14"/>
      <c r="K42" s="13"/>
      <c r="L42" s="10"/>
      <c r="M42" s="10"/>
      <c r="N42" s="10"/>
      <c r="O42" s="10"/>
      <c r="P42" s="10"/>
      <c r="Q42" s="14"/>
    </row>
    <row r="43" spans="1:17" x14ac:dyDescent="0.25">
      <c r="A43" s="4"/>
      <c r="B43" s="18" t="str">
        <f>IF(A43="","",SUMIFS('Catalogo de Variaveis'!$P$5:$P$1048576,'Catalogo de Variaveis'!$A$5:$A$1048576,LEFT(A43,4),'Catalogo de Variaveis'!$D$5:$D$1048576,RIGHT(A43,1)))</f>
        <v/>
      </c>
      <c r="C43" s="19" t="str">
        <f t="shared" si="0"/>
        <v/>
      </c>
      <c r="D43" s="13"/>
      <c r="E43" s="10"/>
      <c r="F43" s="10"/>
      <c r="G43" s="10"/>
      <c r="H43" s="10"/>
      <c r="I43" s="10"/>
      <c r="J43" s="14"/>
      <c r="K43" s="13"/>
      <c r="L43" s="10"/>
      <c r="M43" s="10"/>
      <c r="N43" s="10"/>
      <c r="O43" s="10"/>
      <c r="P43" s="10"/>
      <c r="Q43" s="14"/>
    </row>
    <row r="44" spans="1:17" x14ac:dyDescent="0.25">
      <c r="A44" s="4"/>
      <c r="B44" s="18" t="str">
        <f>IF(A44="","",SUMIFS('Catalogo de Variaveis'!$P$5:$P$1048576,'Catalogo de Variaveis'!$A$5:$A$1048576,LEFT(A44,4),'Catalogo de Variaveis'!$D$5:$D$1048576,RIGHT(A44,1)))</f>
        <v/>
      </c>
      <c r="C44" s="19" t="str">
        <f t="shared" si="0"/>
        <v/>
      </c>
      <c r="D44" s="13"/>
      <c r="E44" s="10"/>
      <c r="F44" s="10"/>
      <c r="G44" s="10"/>
      <c r="H44" s="10"/>
      <c r="I44" s="10"/>
      <c r="J44" s="14"/>
      <c r="K44" s="13"/>
      <c r="L44" s="10"/>
      <c r="M44" s="10"/>
      <c r="N44" s="10"/>
      <c r="O44" s="10"/>
      <c r="P44" s="10"/>
      <c r="Q44" s="14"/>
    </row>
    <row r="45" spans="1:17" x14ac:dyDescent="0.25">
      <c r="A45" s="4"/>
      <c r="B45" s="18" t="str">
        <f>IF(A45="","",SUMIFS('Catalogo de Variaveis'!$P$5:$P$1048576,'Catalogo de Variaveis'!$A$5:$A$1048576,LEFT(A45,4),'Catalogo de Variaveis'!$D$5:$D$1048576,RIGHT(A45,1)))</f>
        <v/>
      </c>
      <c r="C45" s="19" t="str">
        <f t="shared" si="0"/>
        <v/>
      </c>
      <c r="D45" s="13"/>
      <c r="E45" s="10"/>
      <c r="F45" s="10"/>
      <c r="G45" s="10"/>
      <c r="H45" s="10"/>
      <c r="I45" s="10"/>
      <c r="J45" s="14"/>
      <c r="K45" s="13"/>
      <c r="L45" s="10"/>
      <c r="M45" s="10"/>
      <c r="N45" s="10"/>
      <c r="O45" s="10"/>
      <c r="P45" s="10"/>
      <c r="Q45" s="14"/>
    </row>
    <row r="46" spans="1:17" x14ac:dyDescent="0.25">
      <c r="A46" s="4"/>
      <c r="B46" s="18" t="str">
        <f>IF(A46="","",SUMIFS('Catalogo de Variaveis'!$P$5:$P$1048576,'Catalogo de Variaveis'!$A$5:$A$1048576,LEFT(A46,4),'Catalogo de Variaveis'!$D$5:$D$1048576,RIGHT(A46,1)))</f>
        <v/>
      </c>
      <c r="C46" s="19" t="str">
        <f t="shared" si="0"/>
        <v/>
      </c>
      <c r="D46" s="13"/>
      <c r="E46" s="10"/>
      <c r="F46" s="10"/>
      <c r="G46" s="10"/>
      <c r="H46" s="10"/>
      <c r="I46" s="10"/>
      <c r="J46" s="14"/>
      <c r="K46" s="13"/>
      <c r="L46" s="10"/>
      <c r="M46" s="10"/>
      <c r="N46" s="10"/>
      <c r="O46" s="10"/>
      <c r="P46" s="10"/>
      <c r="Q46" s="14"/>
    </row>
    <row r="47" spans="1:17" x14ac:dyDescent="0.25">
      <c r="A47" s="4"/>
      <c r="B47" s="18" t="str">
        <f>IF(A47="","",SUMIFS('Catalogo de Variaveis'!$P$5:$P$1048576,'Catalogo de Variaveis'!$A$5:$A$1048576,LEFT(A47,4),'Catalogo de Variaveis'!$D$5:$D$1048576,RIGHT(A47,1)))</f>
        <v/>
      </c>
      <c r="C47" s="19" t="str">
        <f t="shared" si="0"/>
        <v/>
      </c>
      <c r="D47" s="13"/>
      <c r="E47" s="10"/>
      <c r="F47" s="10"/>
      <c r="G47" s="10"/>
      <c r="H47" s="10"/>
      <c r="I47" s="10"/>
      <c r="J47" s="14"/>
      <c r="K47" s="13"/>
      <c r="L47" s="10"/>
      <c r="M47" s="10"/>
      <c r="N47" s="10"/>
      <c r="O47" s="10"/>
      <c r="P47" s="10"/>
      <c r="Q47" s="14"/>
    </row>
    <row r="48" spans="1:17" x14ac:dyDescent="0.25">
      <c r="A48" s="4"/>
      <c r="B48" s="18" t="str">
        <f>IF(A48="","",SUMIFS('Catalogo de Variaveis'!$P$5:$P$1048576,'Catalogo de Variaveis'!$A$5:$A$1048576,LEFT(A48,4),'Catalogo de Variaveis'!$D$5:$D$1048576,RIGHT(A48,1)))</f>
        <v/>
      </c>
      <c r="C48" s="19" t="str">
        <f t="shared" si="0"/>
        <v/>
      </c>
      <c r="D48" s="13"/>
      <c r="E48" s="10"/>
      <c r="F48" s="10"/>
      <c r="G48" s="10"/>
      <c r="H48" s="10"/>
      <c r="I48" s="10"/>
      <c r="J48" s="14"/>
      <c r="K48" s="13"/>
      <c r="L48" s="10"/>
      <c r="M48" s="10"/>
      <c r="N48" s="10"/>
      <c r="O48" s="10"/>
      <c r="P48" s="10"/>
      <c r="Q48" s="14"/>
    </row>
    <row r="49" spans="1:17" x14ac:dyDescent="0.25">
      <c r="A49" s="4"/>
      <c r="B49" s="18" t="str">
        <f>IF(A49="","",SUMIFS('Catalogo de Variaveis'!$P$5:$P$1048576,'Catalogo de Variaveis'!$A$5:$A$1048576,LEFT(A49,4),'Catalogo de Variaveis'!$D$5:$D$1048576,RIGHT(A49,1)))</f>
        <v/>
      </c>
      <c r="C49" s="19" t="str">
        <f t="shared" si="0"/>
        <v/>
      </c>
      <c r="D49" s="13"/>
      <c r="E49" s="10"/>
      <c r="F49" s="10"/>
      <c r="G49" s="10"/>
      <c r="H49" s="10"/>
      <c r="I49" s="10"/>
      <c r="J49" s="14"/>
      <c r="K49" s="13"/>
      <c r="L49" s="10"/>
      <c r="M49" s="10"/>
      <c r="N49" s="10"/>
      <c r="O49" s="10"/>
      <c r="P49" s="10"/>
      <c r="Q49" s="14"/>
    </row>
    <row r="50" spans="1:17" x14ac:dyDescent="0.25">
      <c r="A50" s="4"/>
      <c r="B50" s="18" t="str">
        <f>IF(A50="","",SUMIFS('Catalogo de Variaveis'!$P$5:$P$1048576,'Catalogo de Variaveis'!$A$5:$A$1048576,LEFT(A50,4),'Catalogo de Variaveis'!$D$5:$D$1048576,RIGHT(A50,1)))</f>
        <v/>
      </c>
      <c r="C50" s="19" t="str">
        <f t="shared" si="0"/>
        <v/>
      </c>
      <c r="D50" s="13"/>
      <c r="E50" s="10"/>
      <c r="F50" s="10"/>
      <c r="G50" s="10"/>
      <c r="H50" s="10"/>
      <c r="I50" s="10"/>
      <c r="J50" s="14"/>
      <c r="K50" s="13"/>
      <c r="L50" s="10"/>
      <c r="M50" s="10"/>
      <c r="N50" s="10"/>
      <c r="O50" s="10"/>
      <c r="P50" s="10"/>
      <c r="Q50" s="14"/>
    </row>
    <row r="51" spans="1:17" x14ac:dyDescent="0.25">
      <c r="A51" s="4"/>
      <c r="B51" s="18" t="str">
        <f>IF(A51="","",SUMIFS('Catalogo de Variaveis'!$P$5:$P$1048576,'Catalogo de Variaveis'!$A$5:$A$1048576,LEFT(A51,4),'Catalogo de Variaveis'!$D$5:$D$1048576,RIGHT(A51,1)))</f>
        <v/>
      </c>
      <c r="C51" s="19" t="str">
        <f t="shared" si="0"/>
        <v/>
      </c>
      <c r="D51" s="13"/>
      <c r="E51" s="10"/>
      <c r="F51" s="10"/>
      <c r="G51" s="10"/>
      <c r="H51" s="10"/>
      <c r="I51" s="10"/>
      <c r="J51" s="14"/>
      <c r="K51" s="13"/>
      <c r="L51" s="10"/>
      <c r="M51" s="10"/>
      <c r="N51" s="10"/>
      <c r="O51" s="10"/>
      <c r="P51" s="10"/>
      <c r="Q51" s="14"/>
    </row>
    <row r="52" spans="1:17" x14ac:dyDescent="0.25">
      <c r="A52" s="4"/>
      <c r="B52" s="18" t="str">
        <f>IF(A52="","",SUMIFS('Catalogo de Variaveis'!$P$5:$P$1048576,'Catalogo de Variaveis'!$A$5:$A$1048576,LEFT(A52,4),'Catalogo de Variaveis'!$D$5:$D$1048576,RIGHT(A52,1)))</f>
        <v/>
      </c>
      <c r="C52" s="19" t="str">
        <f t="shared" si="0"/>
        <v/>
      </c>
      <c r="D52" s="13"/>
      <c r="E52" s="10"/>
      <c r="F52" s="10"/>
      <c r="G52" s="10"/>
      <c r="H52" s="10"/>
      <c r="I52" s="10"/>
      <c r="J52" s="14"/>
      <c r="K52" s="13"/>
      <c r="L52" s="10"/>
      <c r="M52" s="10"/>
      <c r="N52" s="10"/>
      <c r="O52" s="10"/>
      <c r="P52" s="10"/>
      <c r="Q52" s="14"/>
    </row>
    <row r="53" spans="1:17" x14ac:dyDescent="0.25">
      <c r="A53" s="4"/>
      <c r="B53" s="18" t="str">
        <f>IF(A53="","",SUMIFS('Catalogo de Variaveis'!$P$5:$P$1048576,'Catalogo de Variaveis'!$A$5:$A$1048576,LEFT(A53,4),'Catalogo de Variaveis'!$D$5:$D$1048576,RIGHT(A53,1)))</f>
        <v/>
      </c>
      <c r="C53" s="19" t="str">
        <f t="shared" si="0"/>
        <v/>
      </c>
      <c r="D53" s="13"/>
      <c r="E53" s="10"/>
      <c r="F53" s="10"/>
      <c r="G53" s="10"/>
      <c r="H53" s="10"/>
      <c r="I53" s="10"/>
      <c r="J53" s="14"/>
      <c r="K53" s="13"/>
      <c r="L53" s="10"/>
      <c r="M53" s="10"/>
      <c r="N53" s="10"/>
      <c r="O53" s="10"/>
      <c r="P53" s="10"/>
      <c r="Q53" s="14"/>
    </row>
    <row r="54" spans="1:17" x14ac:dyDescent="0.25">
      <c r="A54" s="4"/>
      <c r="B54" s="18" t="str">
        <f>IF(A54="","",SUMIFS('Catalogo de Variaveis'!$P$5:$P$1048576,'Catalogo de Variaveis'!$A$5:$A$1048576,LEFT(A54,4),'Catalogo de Variaveis'!$D$5:$D$1048576,RIGHT(A54,1)))</f>
        <v/>
      </c>
      <c r="C54" s="19" t="str">
        <f t="shared" si="0"/>
        <v/>
      </c>
      <c r="D54" s="13"/>
      <c r="E54" s="10"/>
      <c r="F54" s="10"/>
      <c r="G54" s="10"/>
      <c r="H54" s="10"/>
      <c r="I54" s="10"/>
      <c r="J54" s="14"/>
      <c r="K54" s="13"/>
      <c r="L54" s="10"/>
      <c r="M54" s="10"/>
      <c r="N54" s="10"/>
      <c r="O54" s="10"/>
      <c r="P54" s="10"/>
      <c r="Q54" s="14"/>
    </row>
    <row r="55" spans="1:17" x14ac:dyDescent="0.25">
      <c r="A55" s="4"/>
      <c r="B55" s="18" t="str">
        <f>IF(A55="","",SUMIFS('Catalogo de Variaveis'!$P$5:$P$1048576,'Catalogo de Variaveis'!$A$5:$A$1048576,LEFT(A55,4),'Catalogo de Variaveis'!$D$5:$D$1048576,RIGHT(A55,1)))</f>
        <v/>
      </c>
      <c r="C55" s="19" t="str">
        <f t="shared" si="0"/>
        <v/>
      </c>
      <c r="D55" s="13"/>
      <c r="E55" s="10"/>
      <c r="F55" s="10"/>
      <c r="G55" s="10"/>
      <c r="H55" s="10"/>
      <c r="I55" s="10"/>
      <c r="J55" s="14"/>
      <c r="K55" s="13"/>
      <c r="L55" s="10"/>
      <c r="M55" s="10"/>
      <c r="N55" s="10"/>
      <c r="O55" s="10"/>
      <c r="P55" s="10"/>
      <c r="Q55" s="14"/>
    </row>
    <row r="56" spans="1:17" x14ac:dyDescent="0.25">
      <c r="A56" s="4"/>
      <c r="B56" s="18" t="str">
        <f>IF(A56="","",SUMIFS('Catalogo de Variaveis'!$P$5:$P$1048576,'Catalogo de Variaveis'!$A$5:$A$1048576,LEFT(A56,4),'Catalogo de Variaveis'!$D$5:$D$1048576,RIGHT(A56,1)))</f>
        <v/>
      </c>
      <c r="C56" s="19" t="str">
        <f t="shared" si="0"/>
        <v/>
      </c>
      <c r="D56" s="13"/>
      <c r="E56" s="10"/>
      <c r="F56" s="10"/>
      <c r="G56" s="10"/>
      <c r="H56" s="10"/>
      <c r="I56" s="10"/>
      <c r="J56" s="14"/>
      <c r="K56" s="13"/>
      <c r="L56" s="10"/>
      <c r="M56" s="10"/>
      <c r="N56" s="10"/>
      <c r="O56" s="10"/>
      <c r="P56" s="10"/>
      <c r="Q56" s="14"/>
    </row>
    <row r="57" spans="1:17" x14ac:dyDescent="0.25">
      <c r="A57" s="4"/>
      <c r="B57" s="18" t="str">
        <f>IF(A57="","",SUMIFS('Catalogo de Variaveis'!$P$5:$P$1048576,'Catalogo de Variaveis'!$A$5:$A$1048576,LEFT(A57,4),'Catalogo de Variaveis'!$D$5:$D$1048576,RIGHT(A57,1)))</f>
        <v/>
      </c>
      <c r="C57" s="19" t="str">
        <f t="shared" si="0"/>
        <v/>
      </c>
      <c r="D57" s="13"/>
      <c r="E57" s="10"/>
      <c r="F57" s="10"/>
      <c r="G57" s="10"/>
      <c r="H57" s="10"/>
      <c r="I57" s="10"/>
      <c r="J57" s="14"/>
      <c r="K57" s="13"/>
      <c r="L57" s="10"/>
      <c r="M57" s="10"/>
      <c r="N57" s="10"/>
      <c r="O57" s="10"/>
      <c r="P57" s="10"/>
      <c r="Q57" s="14"/>
    </row>
    <row r="58" spans="1:17" x14ac:dyDescent="0.25">
      <c r="A58" s="4"/>
      <c r="B58" s="18" t="str">
        <f>IF(A58="","",SUMIFS('Catalogo de Variaveis'!$P$5:$P$1048576,'Catalogo de Variaveis'!$A$5:$A$1048576,LEFT(A58,4),'Catalogo de Variaveis'!$D$5:$D$1048576,RIGHT(A58,1)))</f>
        <v/>
      </c>
      <c r="C58" s="19" t="str">
        <f t="shared" si="0"/>
        <v/>
      </c>
      <c r="D58" s="13"/>
      <c r="E58" s="10"/>
      <c r="F58" s="10"/>
      <c r="G58" s="10"/>
      <c r="H58" s="10"/>
      <c r="I58" s="10"/>
      <c r="J58" s="14"/>
      <c r="K58" s="13"/>
      <c r="L58" s="10"/>
      <c r="M58" s="10"/>
      <c r="N58" s="10"/>
      <c r="O58" s="10"/>
      <c r="P58" s="10"/>
      <c r="Q58" s="14"/>
    </row>
    <row r="59" spans="1:17" x14ac:dyDescent="0.25">
      <c r="A59" s="4"/>
      <c r="B59" s="18" t="str">
        <f>IF(A59="","",SUMIFS('Catalogo de Variaveis'!$P$5:$P$1048576,'Catalogo de Variaveis'!$A$5:$A$1048576,LEFT(A59,4),'Catalogo de Variaveis'!$D$5:$D$1048576,RIGHT(A59,1)))</f>
        <v/>
      </c>
      <c r="C59" s="19" t="str">
        <f t="shared" si="0"/>
        <v/>
      </c>
      <c r="D59" s="13"/>
      <c r="E59" s="10"/>
      <c r="F59" s="10"/>
      <c r="G59" s="10"/>
      <c r="H59" s="10"/>
      <c r="I59" s="10"/>
      <c r="J59" s="14"/>
      <c r="K59" s="13"/>
      <c r="L59" s="10"/>
      <c r="M59" s="10"/>
      <c r="N59" s="10"/>
      <c r="O59" s="10"/>
      <c r="P59" s="10"/>
      <c r="Q59" s="14"/>
    </row>
    <row r="60" spans="1:17" x14ac:dyDescent="0.25">
      <c r="A60" s="4"/>
      <c r="B60" s="18" t="str">
        <f>IF(A60="","",SUMIFS('Catalogo de Variaveis'!$P$5:$P$1048576,'Catalogo de Variaveis'!$A$5:$A$1048576,LEFT(A60,4),'Catalogo de Variaveis'!$D$5:$D$1048576,RIGHT(A60,1)))</f>
        <v/>
      </c>
      <c r="C60" s="19" t="str">
        <f t="shared" si="0"/>
        <v/>
      </c>
      <c r="D60" s="13"/>
      <c r="E60" s="10"/>
      <c r="F60" s="10"/>
      <c r="G60" s="10"/>
      <c r="H60" s="10"/>
      <c r="I60" s="10"/>
      <c r="J60" s="14"/>
      <c r="K60" s="13"/>
      <c r="L60" s="10"/>
      <c r="M60" s="10"/>
      <c r="N60" s="10"/>
      <c r="O60" s="10"/>
      <c r="P60" s="10"/>
      <c r="Q60" s="14"/>
    </row>
  </sheetData>
  <mergeCells count="4">
    <mergeCell ref="A7:C7"/>
    <mergeCell ref="D7:J7"/>
    <mergeCell ref="K7:Q7"/>
    <mergeCell ref="A5:Q6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9C41-16B7-4947-AF67-D2F68D135A61}">
  <dimension ref="A1:Q96"/>
  <sheetViews>
    <sheetView topLeftCell="A5" zoomScale="161" zoomScaleNormal="161" workbookViewId="0">
      <selection activeCell="I11" sqref="I11"/>
    </sheetView>
  </sheetViews>
  <sheetFormatPr defaultColWidth="0" defaultRowHeight="15" x14ac:dyDescent="0.25"/>
  <cols>
    <col min="1" max="1" width="13.85546875" style="2" bestFit="1" customWidth="1"/>
    <col min="2" max="3" width="10.7109375" customWidth="1"/>
    <col min="4" max="17" width="9.140625" customWidth="1"/>
    <col min="18" max="16384" width="9.140625" hidden="1"/>
  </cols>
  <sheetData>
    <row r="1" spans="1:17" hidden="1" x14ac:dyDescent="0.25">
      <c r="A1" s="7" t="s">
        <v>0</v>
      </c>
      <c r="B1" s="9">
        <f>AVERAGE(B9:B1048576)</f>
        <v>2.1578947368421053</v>
      </c>
      <c r="C1" s="9">
        <f>AVERAGE(C9:C1048576)</f>
        <v>3.2894736842105261E-2</v>
      </c>
      <c r="I1" s="7" t="s">
        <v>25</v>
      </c>
      <c r="J1" s="16" t="str">
        <f>IF(LME="","",LME)</f>
        <v/>
      </c>
    </row>
    <row r="2" spans="1:17" hidden="1" x14ac:dyDescent="0.25">
      <c r="A2" s="7" t="s">
        <v>1</v>
      </c>
      <c r="B2" s="9">
        <f>_xlfn.STDEV.S(B9:B1048576)</f>
        <v>1.7167901505579042</v>
      </c>
      <c r="C2" s="9">
        <f>_xlfn.STDEV.S(C9:C1048576)</f>
        <v>0.30297540614430613</v>
      </c>
      <c r="I2" s="7" t="s">
        <v>26</v>
      </c>
      <c r="J2" s="16" t="str">
        <f>IF(VME="","",VME/3)</f>
        <v/>
      </c>
    </row>
    <row r="3" spans="1:17" hidden="1" x14ac:dyDescent="0.25">
      <c r="A3" s="7" t="s">
        <v>2</v>
      </c>
      <c r="B3" s="9">
        <f>MAX(B9:B1048576)</f>
        <v>6</v>
      </c>
      <c r="C3" s="9">
        <f>MAX(C9:C1048576)</f>
        <v>1</v>
      </c>
    </row>
    <row r="4" spans="1:17" hidden="1" x14ac:dyDescent="0.25">
      <c r="A4" s="7" t="s">
        <v>3</v>
      </c>
      <c r="B4" s="9">
        <f>MIN(B9:B1048576)</f>
        <v>0</v>
      </c>
      <c r="C4" s="9">
        <f>MIN(C9:C1048576)</f>
        <v>-0.5</v>
      </c>
    </row>
    <row r="5" spans="1:17" x14ac:dyDescent="0.25">
      <c r="A5" s="22" t="s">
        <v>55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>
        <v>44805</v>
      </c>
      <c r="B9" s="5">
        <f>IF('Catalogo de Variaveis'!Q14="","",SUM('Catalogo de Variaveis'!Q11:Q14))</f>
        <v>0</v>
      </c>
      <c r="C9" s="15">
        <f>IFERROR(IF($B9="","",AVERAGE('Catalogo de Variaveis'!Q14-'Catalogo de Variaveis'!Q13,'Catalogo de Variaveis'!Q13-'Catalogo de Variaveis'!Q12,'Catalogo de Variaveis'!Q12-'Catalogo de Variaveis'!Q11,'Catalogo de Variaveis'!Q11-'Catalogo de Variaveis'!Q10)),0)</f>
        <v>0</v>
      </c>
      <c r="D9" s="13">
        <f t="shared" ref="D9:D59" si="0">IF($B9="","",IF(OR($J$1="",$J$2=""),$B$1-3*$B$2,$J$1-3*$J$2))</f>
        <v>-2.992475714831607</v>
      </c>
      <c r="E9" s="10">
        <f t="shared" ref="E9:E29" si="1">IF($B9="","",IF(OR($J$1="",$J$2=""),$B$1-2*$B$2,$J$1-2*$J$2))</f>
        <v>-1.2756855642737031</v>
      </c>
      <c r="F9" s="10">
        <f t="shared" ref="F9:F29" si="2">IF($B9="","",IF(OR($J$1="",$J$2=""),$B$1-$B$2,$J$1-$J$2))</f>
        <v>0.44110458628420113</v>
      </c>
      <c r="G9" s="10">
        <f t="shared" ref="G9:G59" si="3">IF($B9="","",IF(OR($J$1="",$J$2=""),$B$1,$J$1))</f>
        <v>2.1578947368421053</v>
      </c>
      <c r="H9" s="10">
        <f t="shared" ref="H9:H29" si="4">IF($B9="","",IF(OR($J$1="",$J$2=""),$B$1+$B$2,$J$1+$J$2))</f>
        <v>3.8746848874000097</v>
      </c>
      <c r="I9" s="10">
        <f t="shared" ref="I9:I59" si="5">IF($B9="","",IF(OR($J$1="",$J$2=""),$B$1+2*$B$2,$J$1+2*$J$2))</f>
        <v>5.5914750379579132</v>
      </c>
      <c r="J9" s="14">
        <f t="shared" ref="J9:J29" si="6">IF($B9="","",IF(OR($J$1="",$J$2=""),$B$1+3*$B$2,$J$1+3*$J$2))</f>
        <v>7.3082651885158176</v>
      </c>
      <c r="K9" s="13">
        <f t="shared" ref="K9:K72" si="7">IF($B9="","",$C$1-3*$C$2)</f>
        <v>-0.87603148159081301</v>
      </c>
      <c r="L9" s="10">
        <f t="shared" ref="L9:L72" si="8">IF($B9="","",$C$1-2*$C$2)</f>
        <v>-0.57305607544650694</v>
      </c>
      <c r="M9" s="10">
        <f t="shared" ref="M9:M72" si="9">IF($B9="","",$C$1-$C$2)</f>
        <v>-0.27008066930220087</v>
      </c>
      <c r="N9" s="10">
        <f t="shared" ref="N9:N72" si="10">IF($B9="","",$C$1)</f>
        <v>3.2894736842105261E-2</v>
      </c>
      <c r="O9" s="10">
        <f t="shared" ref="O9:O72" si="11">IF($B9="","",$C$1+1*$C$2)</f>
        <v>0.33587014298641138</v>
      </c>
      <c r="P9" s="10">
        <f t="shared" ref="P9:P72" si="12">IF($B9="","",$C$1+2*$C$2)</f>
        <v>0.63884554913071756</v>
      </c>
      <c r="Q9" s="14">
        <f t="shared" ref="Q9:Q72" si="13">IF($B9="","",$C$1+3*$C$2)</f>
        <v>0.94182095527502363</v>
      </c>
    </row>
    <row r="10" spans="1:17" x14ac:dyDescent="0.25">
      <c r="A10" s="4">
        <v>44835</v>
      </c>
      <c r="B10" s="5">
        <f>IF('Catalogo de Variaveis'!Q15="","",SUM('Catalogo de Variaveis'!Q12:Q15))</f>
        <v>1</v>
      </c>
      <c r="C10" s="15">
        <f>IFERROR(IF($B10="","",AVERAGE('Catalogo de Variaveis'!Q15-'Catalogo de Variaveis'!Q14,'Catalogo de Variaveis'!Q14-'Catalogo de Variaveis'!Q13,'Catalogo de Variaveis'!Q13-'Catalogo de Variaveis'!Q12,'Catalogo de Variaveis'!Q12-'Catalogo de Variaveis'!Q11)),0)</f>
        <v>0.25</v>
      </c>
      <c r="D10" s="13">
        <f t="shared" si="0"/>
        <v>-2.992475714831607</v>
      </c>
      <c r="E10" s="10">
        <f t="shared" si="1"/>
        <v>-1.2756855642737031</v>
      </c>
      <c r="F10" s="10">
        <f t="shared" si="2"/>
        <v>0.44110458628420113</v>
      </c>
      <c r="G10" s="10">
        <f t="shared" si="3"/>
        <v>2.1578947368421053</v>
      </c>
      <c r="H10" s="10">
        <f t="shared" si="4"/>
        <v>3.8746848874000097</v>
      </c>
      <c r="I10" s="10">
        <f t="shared" si="5"/>
        <v>5.5914750379579132</v>
      </c>
      <c r="J10" s="14">
        <f t="shared" si="6"/>
        <v>7.3082651885158176</v>
      </c>
      <c r="K10" s="13">
        <f t="shared" si="7"/>
        <v>-0.87603148159081301</v>
      </c>
      <c r="L10" s="10">
        <f t="shared" si="8"/>
        <v>-0.57305607544650694</v>
      </c>
      <c r="M10" s="10">
        <f t="shared" si="9"/>
        <v>-0.27008066930220087</v>
      </c>
      <c r="N10" s="10">
        <f t="shared" si="10"/>
        <v>3.2894736842105261E-2</v>
      </c>
      <c r="O10" s="10">
        <f t="shared" si="11"/>
        <v>0.33587014298641138</v>
      </c>
      <c r="P10" s="10">
        <f t="shared" si="12"/>
        <v>0.63884554913071756</v>
      </c>
      <c r="Q10" s="14">
        <f t="shared" si="13"/>
        <v>0.94182095527502363</v>
      </c>
    </row>
    <row r="11" spans="1:17" x14ac:dyDescent="0.25">
      <c r="A11" s="4">
        <v>44866</v>
      </c>
      <c r="B11" s="5">
        <f>IF('Catalogo de Variaveis'!Q16="","",SUM('Catalogo de Variaveis'!Q13:Q16))</f>
        <v>1</v>
      </c>
      <c r="C11" s="15">
        <f>IFERROR(IF($B11="","",AVERAGE('Catalogo de Variaveis'!Q16-'Catalogo de Variaveis'!Q15,'Catalogo de Variaveis'!Q15-'Catalogo de Variaveis'!Q14,'Catalogo de Variaveis'!Q14-'Catalogo de Variaveis'!Q13,'Catalogo de Variaveis'!Q13-'Catalogo de Variaveis'!Q12)),0)</f>
        <v>0</v>
      </c>
      <c r="D11" s="13">
        <f t="shared" si="0"/>
        <v>-2.992475714831607</v>
      </c>
      <c r="E11" s="10">
        <f t="shared" si="1"/>
        <v>-1.2756855642737031</v>
      </c>
      <c r="F11" s="10">
        <f t="shared" si="2"/>
        <v>0.44110458628420113</v>
      </c>
      <c r="G11" s="10">
        <f t="shared" si="3"/>
        <v>2.1578947368421053</v>
      </c>
      <c r="H11" s="10">
        <f t="shared" si="4"/>
        <v>3.8746848874000097</v>
      </c>
      <c r="I11" s="10">
        <f t="shared" si="5"/>
        <v>5.5914750379579132</v>
      </c>
      <c r="J11" s="14">
        <f t="shared" si="6"/>
        <v>7.3082651885158176</v>
      </c>
      <c r="K11" s="13">
        <f t="shared" si="7"/>
        <v>-0.87603148159081301</v>
      </c>
      <c r="L11" s="10">
        <f t="shared" si="8"/>
        <v>-0.57305607544650694</v>
      </c>
      <c r="M11" s="10">
        <f t="shared" si="9"/>
        <v>-0.27008066930220087</v>
      </c>
      <c r="N11" s="10">
        <f t="shared" si="10"/>
        <v>3.2894736842105261E-2</v>
      </c>
      <c r="O11" s="10">
        <f t="shared" si="11"/>
        <v>0.33587014298641138</v>
      </c>
      <c r="P11" s="10">
        <f t="shared" si="12"/>
        <v>0.63884554913071756</v>
      </c>
      <c r="Q11" s="14">
        <f t="shared" si="13"/>
        <v>0.94182095527502363</v>
      </c>
    </row>
    <row r="12" spans="1:17" x14ac:dyDescent="0.25">
      <c r="A12" s="4">
        <v>44896</v>
      </c>
      <c r="B12" s="5">
        <f>IF('Catalogo de Variaveis'!Q17="","",SUM('Catalogo de Variaveis'!Q14:Q17))</f>
        <v>1</v>
      </c>
      <c r="C12" s="15">
        <f>IFERROR(IF($B12="","",AVERAGE('Catalogo de Variaveis'!Q17-'Catalogo de Variaveis'!Q16,'Catalogo de Variaveis'!Q16-'Catalogo de Variaveis'!Q15,'Catalogo de Variaveis'!Q15-'Catalogo de Variaveis'!Q14,'Catalogo de Variaveis'!Q14-'Catalogo de Variaveis'!Q13)),0)</f>
        <v>0</v>
      </c>
      <c r="D12" s="13">
        <f t="shared" si="0"/>
        <v>-2.992475714831607</v>
      </c>
      <c r="E12" s="10">
        <f t="shared" si="1"/>
        <v>-1.2756855642737031</v>
      </c>
      <c r="F12" s="10">
        <f t="shared" si="2"/>
        <v>0.44110458628420113</v>
      </c>
      <c r="G12" s="10">
        <f t="shared" si="3"/>
        <v>2.1578947368421053</v>
      </c>
      <c r="H12" s="10">
        <f t="shared" si="4"/>
        <v>3.8746848874000097</v>
      </c>
      <c r="I12" s="10">
        <f t="shared" si="5"/>
        <v>5.5914750379579132</v>
      </c>
      <c r="J12" s="14">
        <f t="shared" si="6"/>
        <v>7.3082651885158176</v>
      </c>
      <c r="K12" s="13">
        <f t="shared" si="7"/>
        <v>-0.87603148159081301</v>
      </c>
      <c r="L12" s="10">
        <f t="shared" si="8"/>
        <v>-0.57305607544650694</v>
      </c>
      <c r="M12" s="10">
        <f t="shared" si="9"/>
        <v>-0.27008066930220087</v>
      </c>
      <c r="N12" s="10">
        <f t="shared" si="10"/>
        <v>3.2894736842105261E-2</v>
      </c>
      <c r="O12" s="10">
        <f t="shared" si="11"/>
        <v>0.33587014298641138</v>
      </c>
      <c r="P12" s="10">
        <f t="shared" si="12"/>
        <v>0.63884554913071756</v>
      </c>
      <c r="Q12" s="14">
        <f t="shared" si="13"/>
        <v>0.94182095527502363</v>
      </c>
    </row>
    <row r="13" spans="1:17" x14ac:dyDescent="0.25">
      <c r="A13" s="4">
        <v>44927</v>
      </c>
      <c r="B13" s="5">
        <f>IF('Catalogo de Variaveis'!Q18="","",SUM('Catalogo de Variaveis'!Q15:Q18))</f>
        <v>1</v>
      </c>
      <c r="C13" s="15">
        <f>IFERROR(IF($B13="","",AVERAGE('Catalogo de Variaveis'!Q18-'Catalogo de Variaveis'!Q17,'Catalogo de Variaveis'!Q17-'Catalogo de Variaveis'!Q16,'Catalogo de Variaveis'!Q16-'Catalogo de Variaveis'!Q15,'Catalogo de Variaveis'!Q15-'Catalogo de Variaveis'!Q14)),0)</f>
        <v>0</v>
      </c>
      <c r="D13" s="13">
        <f t="shared" si="0"/>
        <v>-2.992475714831607</v>
      </c>
      <c r="E13" s="10">
        <f t="shared" si="1"/>
        <v>-1.2756855642737031</v>
      </c>
      <c r="F13" s="10">
        <f t="shared" si="2"/>
        <v>0.44110458628420113</v>
      </c>
      <c r="G13" s="10">
        <f t="shared" si="3"/>
        <v>2.1578947368421053</v>
      </c>
      <c r="H13" s="10">
        <f t="shared" si="4"/>
        <v>3.8746848874000097</v>
      </c>
      <c r="I13" s="10">
        <f t="shared" si="5"/>
        <v>5.5914750379579132</v>
      </c>
      <c r="J13" s="14">
        <f t="shared" si="6"/>
        <v>7.3082651885158176</v>
      </c>
      <c r="K13" s="13">
        <f t="shared" si="7"/>
        <v>-0.87603148159081301</v>
      </c>
      <c r="L13" s="10">
        <f t="shared" si="8"/>
        <v>-0.57305607544650694</v>
      </c>
      <c r="M13" s="10">
        <f t="shared" si="9"/>
        <v>-0.27008066930220087</v>
      </c>
      <c r="N13" s="10">
        <f t="shared" si="10"/>
        <v>3.2894736842105261E-2</v>
      </c>
      <c r="O13" s="10">
        <f t="shared" si="11"/>
        <v>0.33587014298641138</v>
      </c>
      <c r="P13" s="10">
        <f t="shared" si="12"/>
        <v>0.63884554913071756</v>
      </c>
      <c r="Q13" s="14">
        <f t="shared" si="13"/>
        <v>0.94182095527502363</v>
      </c>
    </row>
    <row r="14" spans="1:17" x14ac:dyDescent="0.25">
      <c r="A14" s="4">
        <v>44958</v>
      </c>
      <c r="B14" s="5">
        <f>IF('Catalogo de Variaveis'!Q19="","",SUM('Catalogo de Variaveis'!Q16:Q19))</f>
        <v>0</v>
      </c>
      <c r="C14" s="15">
        <f>IFERROR(IF($B14="","",AVERAGE('Catalogo de Variaveis'!Q19-'Catalogo de Variaveis'!Q18,'Catalogo de Variaveis'!Q18-'Catalogo de Variaveis'!Q17,'Catalogo de Variaveis'!Q17-'Catalogo de Variaveis'!Q16,'Catalogo de Variaveis'!Q16-'Catalogo de Variaveis'!Q15)),0)</f>
        <v>-0.25</v>
      </c>
      <c r="D14" s="13">
        <f t="shared" si="0"/>
        <v>-2.992475714831607</v>
      </c>
      <c r="E14" s="10">
        <f t="shared" si="1"/>
        <v>-1.2756855642737031</v>
      </c>
      <c r="F14" s="10">
        <f t="shared" si="2"/>
        <v>0.44110458628420113</v>
      </c>
      <c r="G14" s="10">
        <f t="shared" si="3"/>
        <v>2.1578947368421053</v>
      </c>
      <c r="H14" s="10">
        <f t="shared" si="4"/>
        <v>3.8746848874000097</v>
      </c>
      <c r="I14" s="10">
        <f t="shared" si="5"/>
        <v>5.5914750379579132</v>
      </c>
      <c r="J14" s="14">
        <f t="shared" si="6"/>
        <v>7.3082651885158176</v>
      </c>
      <c r="K14" s="13">
        <f t="shared" si="7"/>
        <v>-0.87603148159081301</v>
      </c>
      <c r="L14" s="10">
        <f t="shared" si="8"/>
        <v>-0.57305607544650694</v>
      </c>
      <c r="M14" s="10">
        <f t="shared" si="9"/>
        <v>-0.27008066930220087</v>
      </c>
      <c r="N14" s="10">
        <f t="shared" si="10"/>
        <v>3.2894736842105261E-2</v>
      </c>
      <c r="O14" s="10">
        <f t="shared" si="11"/>
        <v>0.33587014298641138</v>
      </c>
      <c r="P14" s="10">
        <f t="shared" si="12"/>
        <v>0.63884554913071756</v>
      </c>
      <c r="Q14" s="14">
        <f t="shared" si="13"/>
        <v>0.94182095527502363</v>
      </c>
    </row>
    <row r="15" spans="1:17" x14ac:dyDescent="0.25">
      <c r="A15" s="4">
        <v>44986</v>
      </c>
      <c r="B15" s="5">
        <f>IF('Catalogo de Variaveis'!Q20="","",SUM('Catalogo de Variaveis'!Q17:Q20))</f>
        <v>0</v>
      </c>
      <c r="C15" s="15">
        <f>IFERROR(IF($B15="","",AVERAGE('Catalogo de Variaveis'!Q20-'Catalogo de Variaveis'!Q19,'Catalogo de Variaveis'!Q19-'Catalogo de Variaveis'!Q18,'Catalogo de Variaveis'!Q18-'Catalogo de Variaveis'!Q17,'Catalogo de Variaveis'!Q17-'Catalogo de Variaveis'!Q16)),0)</f>
        <v>0</v>
      </c>
      <c r="D15" s="13">
        <f t="shared" si="0"/>
        <v>-2.992475714831607</v>
      </c>
      <c r="E15" s="10">
        <f t="shared" si="1"/>
        <v>-1.2756855642737031</v>
      </c>
      <c r="F15" s="10">
        <f t="shared" si="2"/>
        <v>0.44110458628420113</v>
      </c>
      <c r="G15" s="10">
        <f t="shared" si="3"/>
        <v>2.1578947368421053</v>
      </c>
      <c r="H15" s="10">
        <f t="shared" si="4"/>
        <v>3.8746848874000097</v>
      </c>
      <c r="I15" s="10">
        <f t="shared" si="5"/>
        <v>5.5914750379579132</v>
      </c>
      <c r="J15" s="14">
        <f t="shared" si="6"/>
        <v>7.3082651885158176</v>
      </c>
      <c r="K15" s="13">
        <f t="shared" si="7"/>
        <v>-0.87603148159081301</v>
      </c>
      <c r="L15" s="10">
        <f t="shared" si="8"/>
        <v>-0.57305607544650694</v>
      </c>
      <c r="M15" s="10">
        <f t="shared" si="9"/>
        <v>-0.27008066930220087</v>
      </c>
      <c r="N15" s="10">
        <f t="shared" si="10"/>
        <v>3.2894736842105261E-2</v>
      </c>
      <c r="O15" s="10">
        <f t="shared" si="11"/>
        <v>0.33587014298641138</v>
      </c>
      <c r="P15" s="10">
        <f t="shared" si="12"/>
        <v>0.63884554913071756</v>
      </c>
      <c r="Q15" s="14">
        <f t="shared" si="13"/>
        <v>0.94182095527502363</v>
      </c>
    </row>
    <row r="16" spans="1:17" x14ac:dyDescent="0.25">
      <c r="A16" s="4">
        <v>45017</v>
      </c>
      <c r="B16" s="5">
        <f>IF('Catalogo de Variaveis'!Q21="","",SUM('Catalogo de Variaveis'!Q18:Q21))</f>
        <v>1</v>
      </c>
      <c r="C16" s="15">
        <f>IFERROR(IF($B16="","",AVERAGE('Catalogo de Variaveis'!Q21-'Catalogo de Variaveis'!Q20,'Catalogo de Variaveis'!Q20-'Catalogo de Variaveis'!Q19,'Catalogo de Variaveis'!Q19-'Catalogo de Variaveis'!Q18,'Catalogo de Variaveis'!Q18-'Catalogo de Variaveis'!Q17)),0)</f>
        <v>0.25</v>
      </c>
      <c r="D16" s="13">
        <f t="shared" si="0"/>
        <v>-2.992475714831607</v>
      </c>
      <c r="E16" s="10">
        <f t="shared" si="1"/>
        <v>-1.2756855642737031</v>
      </c>
      <c r="F16" s="10">
        <f t="shared" si="2"/>
        <v>0.44110458628420113</v>
      </c>
      <c r="G16" s="10">
        <f t="shared" si="3"/>
        <v>2.1578947368421053</v>
      </c>
      <c r="H16" s="10">
        <f t="shared" si="4"/>
        <v>3.8746848874000097</v>
      </c>
      <c r="I16" s="10">
        <f t="shared" si="5"/>
        <v>5.5914750379579132</v>
      </c>
      <c r="J16" s="14">
        <f t="shared" si="6"/>
        <v>7.3082651885158176</v>
      </c>
      <c r="K16" s="13">
        <f t="shared" si="7"/>
        <v>-0.87603148159081301</v>
      </c>
      <c r="L16" s="10">
        <f t="shared" si="8"/>
        <v>-0.57305607544650694</v>
      </c>
      <c r="M16" s="10">
        <f t="shared" si="9"/>
        <v>-0.27008066930220087</v>
      </c>
      <c r="N16" s="10">
        <f t="shared" si="10"/>
        <v>3.2894736842105261E-2</v>
      </c>
      <c r="O16" s="10">
        <f t="shared" si="11"/>
        <v>0.33587014298641138</v>
      </c>
      <c r="P16" s="10">
        <f t="shared" si="12"/>
        <v>0.63884554913071756</v>
      </c>
      <c r="Q16" s="14">
        <f t="shared" si="13"/>
        <v>0.94182095527502363</v>
      </c>
    </row>
    <row r="17" spans="1:17" x14ac:dyDescent="0.25">
      <c r="A17" s="4">
        <v>45047</v>
      </c>
      <c r="B17" s="5">
        <f>IF('Catalogo de Variaveis'!Q22="","",SUM('Catalogo de Variaveis'!Q19:Q22))</f>
        <v>1</v>
      </c>
      <c r="C17" s="15">
        <f>IFERROR(IF($B17="","",AVERAGE('Catalogo de Variaveis'!Q22-'Catalogo de Variaveis'!Q21,'Catalogo de Variaveis'!Q21-'Catalogo de Variaveis'!Q20,'Catalogo de Variaveis'!Q20-'Catalogo de Variaveis'!Q19,'Catalogo de Variaveis'!Q19-'Catalogo de Variaveis'!Q18)),0)</f>
        <v>0</v>
      </c>
      <c r="D17" s="13">
        <f t="shared" si="0"/>
        <v>-2.992475714831607</v>
      </c>
      <c r="E17" s="10">
        <f t="shared" si="1"/>
        <v>-1.2756855642737031</v>
      </c>
      <c r="F17" s="10">
        <f t="shared" si="2"/>
        <v>0.44110458628420113</v>
      </c>
      <c r="G17" s="10">
        <f t="shared" si="3"/>
        <v>2.1578947368421053</v>
      </c>
      <c r="H17" s="10">
        <f t="shared" si="4"/>
        <v>3.8746848874000097</v>
      </c>
      <c r="I17" s="10">
        <f t="shared" si="5"/>
        <v>5.5914750379579132</v>
      </c>
      <c r="J17" s="14">
        <f t="shared" si="6"/>
        <v>7.3082651885158176</v>
      </c>
      <c r="K17" s="13">
        <f t="shared" si="7"/>
        <v>-0.87603148159081301</v>
      </c>
      <c r="L17" s="10">
        <f t="shared" si="8"/>
        <v>-0.57305607544650694</v>
      </c>
      <c r="M17" s="10">
        <f t="shared" si="9"/>
        <v>-0.27008066930220087</v>
      </c>
      <c r="N17" s="10">
        <f t="shared" si="10"/>
        <v>3.2894736842105261E-2</v>
      </c>
      <c r="O17" s="10">
        <f t="shared" si="11"/>
        <v>0.33587014298641138</v>
      </c>
      <c r="P17" s="10">
        <f t="shared" si="12"/>
        <v>0.63884554913071756</v>
      </c>
      <c r="Q17" s="14">
        <f t="shared" si="13"/>
        <v>0.94182095527502363</v>
      </c>
    </row>
    <row r="18" spans="1:17" x14ac:dyDescent="0.25">
      <c r="A18" s="4">
        <v>45078</v>
      </c>
      <c r="B18" s="5">
        <f>IF('Catalogo de Variaveis'!Q23="","",SUM('Catalogo de Variaveis'!Q20:Q23))</f>
        <v>1</v>
      </c>
      <c r="C18" s="15">
        <f>IFERROR(IF($B18="","",AVERAGE('Catalogo de Variaveis'!Q23-'Catalogo de Variaveis'!Q22,'Catalogo de Variaveis'!Q22-'Catalogo de Variaveis'!Q21,'Catalogo de Variaveis'!Q21-'Catalogo de Variaveis'!Q20,'Catalogo de Variaveis'!Q20-'Catalogo de Variaveis'!Q19)),0)</f>
        <v>0</v>
      </c>
      <c r="D18" s="13">
        <f t="shared" si="0"/>
        <v>-2.992475714831607</v>
      </c>
      <c r="E18" s="10">
        <f t="shared" si="1"/>
        <v>-1.2756855642737031</v>
      </c>
      <c r="F18" s="10">
        <f t="shared" si="2"/>
        <v>0.44110458628420113</v>
      </c>
      <c r="G18" s="10">
        <f t="shared" si="3"/>
        <v>2.1578947368421053</v>
      </c>
      <c r="H18" s="10">
        <f t="shared" si="4"/>
        <v>3.8746848874000097</v>
      </c>
      <c r="I18" s="10">
        <f t="shared" si="5"/>
        <v>5.5914750379579132</v>
      </c>
      <c r="J18" s="14">
        <f t="shared" si="6"/>
        <v>7.3082651885158176</v>
      </c>
      <c r="K18" s="13">
        <f t="shared" si="7"/>
        <v>-0.87603148159081301</v>
      </c>
      <c r="L18" s="10">
        <f t="shared" si="8"/>
        <v>-0.57305607544650694</v>
      </c>
      <c r="M18" s="10">
        <f t="shared" si="9"/>
        <v>-0.27008066930220087</v>
      </c>
      <c r="N18" s="10">
        <f t="shared" si="10"/>
        <v>3.2894736842105261E-2</v>
      </c>
      <c r="O18" s="10">
        <f t="shared" si="11"/>
        <v>0.33587014298641138</v>
      </c>
      <c r="P18" s="10">
        <f t="shared" si="12"/>
        <v>0.63884554913071756</v>
      </c>
      <c r="Q18" s="14">
        <f t="shared" si="13"/>
        <v>0.94182095527502363</v>
      </c>
    </row>
    <row r="19" spans="1:17" x14ac:dyDescent="0.25">
      <c r="A19" s="4">
        <v>45108</v>
      </c>
      <c r="B19" s="5">
        <f>IF('Catalogo de Variaveis'!Q24="","",SUM('Catalogo de Variaveis'!Q21:Q24))</f>
        <v>1</v>
      </c>
      <c r="C19" s="15">
        <f>IFERROR(IF($B19="","",AVERAGE('Catalogo de Variaveis'!Q24-'Catalogo de Variaveis'!Q23,'Catalogo de Variaveis'!Q23-'Catalogo de Variaveis'!Q22,'Catalogo de Variaveis'!Q22-'Catalogo de Variaveis'!Q21,'Catalogo de Variaveis'!Q21-'Catalogo de Variaveis'!Q20)),0)</f>
        <v>0</v>
      </c>
      <c r="D19" s="13">
        <f t="shared" si="0"/>
        <v>-2.992475714831607</v>
      </c>
      <c r="E19" s="10">
        <f t="shared" si="1"/>
        <v>-1.2756855642737031</v>
      </c>
      <c r="F19" s="10">
        <f t="shared" si="2"/>
        <v>0.44110458628420113</v>
      </c>
      <c r="G19" s="10">
        <f t="shared" si="3"/>
        <v>2.1578947368421053</v>
      </c>
      <c r="H19" s="10">
        <f t="shared" si="4"/>
        <v>3.8746848874000097</v>
      </c>
      <c r="I19" s="10">
        <f t="shared" si="5"/>
        <v>5.5914750379579132</v>
      </c>
      <c r="J19" s="14">
        <f t="shared" si="6"/>
        <v>7.3082651885158176</v>
      </c>
      <c r="K19" s="13">
        <f t="shared" si="7"/>
        <v>-0.87603148159081301</v>
      </c>
      <c r="L19" s="10">
        <f t="shared" si="8"/>
        <v>-0.57305607544650694</v>
      </c>
      <c r="M19" s="10">
        <f t="shared" si="9"/>
        <v>-0.27008066930220087</v>
      </c>
      <c r="N19" s="10">
        <f t="shared" si="10"/>
        <v>3.2894736842105261E-2</v>
      </c>
      <c r="O19" s="10">
        <f t="shared" si="11"/>
        <v>0.33587014298641138</v>
      </c>
      <c r="P19" s="10">
        <f t="shared" si="12"/>
        <v>0.63884554913071756</v>
      </c>
      <c r="Q19" s="14">
        <f t="shared" si="13"/>
        <v>0.94182095527502363</v>
      </c>
    </row>
    <row r="20" spans="1:17" x14ac:dyDescent="0.25">
      <c r="A20" s="4">
        <v>45139</v>
      </c>
      <c r="B20" s="5">
        <f>IF('Catalogo de Variaveis'!Q25="","",SUM('Catalogo de Variaveis'!Q22:Q25))</f>
        <v>0</v>
      </c>
      <c r="C20" s="15">
        <f>IFERROR(IF($B20="","",AVERAGE('Catalogo de Variaveis'!Q25-'Catalogo de Variaveis'!Q24,'Catalogo de Variaveis'!Q24-'Catalogo de Variaveis'!Q23,'Catalogo de Variaveis'!Q23-'Catalogo de Variaveis'!Q22,'Catalogo de Variaveis'!Q22-'Catalogo de Variaveis'!Q21)),0)</f>
        <v>-0.25</v>
      </c>
      <c r="D20" s="13">
        <f t="shared" si="0"/>
        <v>-2.992475714831607</v>
      </c>
      <c r="E20" s="10">
        <f t="shared" si="1"/>
        <v>-1.2756855642737031</v>
      </c>
      <c r="F20" s="10">
        <f t="shared" si="2"/>
        <v>0.44110458628420113</v>
      </c>
      <c r="G20" s="10">
        <f t="shared" si="3"/>
        <v>2.1578947368421053</v>
      </c>
      <c r="H20" s="10">
        <f t="shared" si="4"/>
        <v>3.8746848874000097</v>
      </c>
      <c r="I20" s="10">
        <f t="shared" si="5"/>
        <v>5.5914750379579132</v>
      </c>
      <c r="J20" s="14">
        <f t="shared" si="6"/>
        <v>7.3082651885158176</v>
      </c>
      <c r="K20" s="13">
        <f t="shared" si="7"/>
        <v>-0.87603148159081301</v>
      </c>
      <c r="L20" s="10">
        <f t="shared" si="8"/>
        <v>-0.57305607544650694</v>
      </c>
      <c r="M20" s="10">
        <f t="shared" si="9"/>
        <v>-0.27008066930220087</v>
      </c>
      <c r="N20" s="10">
        <f t="shared" si="10"/>
        <v>3.2894736842105261E-2</v>
      </c>
      <c r="O20" s="10">
        <f t="shared" si="11"/>
        <v>0.33587014298641138</v>
      </c>
      <c r="P20" s="10">
        <f t="shared" si="12"/>
        <v>0.63884554913071756</v>
      </c>
      <c r="Q20" s="14">
        <f t="shared" si="13"/>
        <v>0.94182095527502363</v>
      </c>
    </row>
    <row r="21" spans="1:17" x14ac:dyDescent="0.25">
      <c r="A21" s="4">
        <v>45170</v>
      </c>
      <c r="B21" s="5">
        <f>IF('Catalogo de Variaveis'!Q26="","",SUM('Catalogo de Variaveis'!Q23:Q26))</f>
        <v>0</v>
      </c>
      <c r="C21" s="15">
        <f>IFERROR(IF($B21="","",AVERAGE('Catalogo de Variaveis'!Q26-'Catalogo de Variaveis'!Q25,'Catalogo de Variaveis'!Q25-'Catalogo de Variaveis'!Q24,'Catalogo de Variaveis'!Q24-'Catalogo de Variaveis'!Q23,'Catalogo de Variaveis'!Q23-'Catalogo de Variaveis'!Q22)),0)</f>
        <v>0</v>
      </c>
      <c r="D21" s="13">
        <f t="shared" si="0"/>
        <v>-2.992475714831607</v>
      </c>
      <c r="E21" s="10">
        <f t="shared" si="1"/>
        <v>-1.2756855642737031</v>
      </c>
      <c r="F21" s="10">
        <f t="shared" si="2"/>
        <v>0.44110458628420113</v>
      </c>
      <c r="G21" s="10">
        <f t="shared" si="3"/>
        <v>2.1578947368421053</v>
      </c>
      <c r="H21" s="10">
        <f t="shared" si="4"/>
        <v>3.8746848874000097</v>
      </c>
      <c r="I21" s="10">
        <f t="shared" si="5"/>
        <v>5.5914750379579132</v>
      </c>
      <c r="J21" s="14">
        <f t="shared" si="6"/>
        <v>7.3082651885158176</v>
      </c>
      <c r="K21" s="13">
        <f t="shared" si="7"/>
        <v>-0.87603148159081301</v>
      </c>
      <c r="L21" s="10">
        <f t="shared" si="8"/>
        <v>-0.57305607544650694</v>
      </c>
      <c r="M21" s="10">
        <f t="shared" si="9"/>
        <v>-0.27008066930220087</v>
      </c>
      <c r="N21" s="10">
        <f t="shared" si="10"/>
        <v>3.2894736842105261E-2</v>
      </c>
      <c r="O21" s="10">
        <f t="shared" si="11"/>
        <v>0.33587014298641138</v>
      </c>
      <c r="P21" s="10">
        <f t="shared" si="12"/>
        <v>0.63884554913071756</v>
      </c>
      <c r="Q21" s="14">
        <f t="shared" si="13"/>
        <v>0.94182095527502363</v>
      </c>
    </row>
    <row r="22" spans="1:17" x14ac:dyDescent="0.25">
      <c r="A22" s="4">
        <v>45200</v>
      </c>
      <c r="B22" s="5">
        <f>IF('Catalogo de Variaveis'!Q27="","",SUM('Catalogo de Variaveis'!Q24:Q27))</f>
        <v>2</v>
      </c>
      <c r="C22" s="15">
        <f>IFERROR(IF($B22="","",AVERAGE('Catalogo de Variaveis'!Q27-'Catalogo de Variaveis'!Q26,'Catalogo de Variaveis'!Q26-'Catalogo de Variaveis'!Q25,'Catalogo de Variaveis'!Q25-'Catalogo de Variaveis'!Q24,'Catalogo de Variaveis'!Q24-'Catalogo de Variaveis'!Q23)),0)</f>
        <v>0.5</v>
      </c>
      <c r="D22" s="13">
        <f t="shared" si="0"/>
        <v>-2.992475714831607</v>
      </c>
      <c r="E22" s="10">
        <f t="shared" si="1"/>
        <v>-1.2756855642737031</v>
      </c>
      <c r="F22" s="10">
        <f t="shared" si="2"/>
        <v>0.44110458628420113</v>
      </c>
      <c r="G22" s="10">
        <f t="shared" si="3"/>
        <v>2.1578947368421053</v>
      </c>
      <c r="H22" s="10">
        <f t="shared" si="4"/>
        <v>3.8746848874000097</v>
      </c>
      <c r="I22" s="10">
        <f t="shared" si="5"/>
        <v>5.5914750379579132</v>
      </c>
      <c r="J22" s="14">
        <f t="shared" si="6"/>
        <v>7.3082651885158176</v>
      </c>
      <c r="K22" s="13">
        <f t="shared" si="7"/>
        <v>-0.87603148159081301</v>
      </c>
      <c r="L22" s="10">
        <f t="shared" si="8"/>
        <v>-0.57305607544650694</v>
      </c>
      <c r="M22" s="10">
        <f t="shared" si="9"/>
        <v>-0.27008066930220087</v>
      </c>
      <c r="N22" s="10">
        <f t="shared" si="10"/>
        <v>3.2894736842105261E-2</v>
      </c>
      <c r="O22" s="10">
        <f t="shared" si="11"/>
        <v>0.33587014298641138</v>
      </c>
      <c r="P22" s="10">
        <f t="shared" si="12"/>
        <v>0.63884554913071756</v>
      </c>
      <c r="Q22" s="14">
        <f t="shared" si="13"/>
        <v>0.94182095527502363</v>
      </c>
    </row>
    <row r="23" spans="1:17" x14ac:dyDescent="0.25">
      <c r="A23" s="4">
        <v>45231</v>
      </c>
      <c r="B23" s="5">
        <f>IF('Catalogo de Variaveis'!Q28="","",SUM('Catalogo de Variaveis'!Q25:Q28))</f>
        <v>3</v>
      </c>
      <c r="C23" s="15">
        <f>IFERROR(IF($B23="","",AVERAGE('Catalogo de Variaveis'!Q28-'Catalogo de Variaveis'!Q27,'Catalogo de Variaveis'!Q27-'Catalogo de Variaveis'!Q26,'Catalogo de Variaveis'!Q26-'Catalogo de Variaveis'!Q25,'Catalogo de Variaveis'!Q25-'Catalogo de Variaveis'!Q24)),0)</f>
        <v>0.25</v>
      </c>
      <c r="D23" s="13">
        <f t="shared" si="0"/>
        <v>-2.992475714831607</v>
      </c>
      <c r="E23" s="10">
        <f t="shared" si="1"/>
        <v>-1.2756855642737031</v>
      </c>
      <c r="F23" s="10">
        <f t="shared" si="2"/>
        <v>0.44110458628420113</v>
      </c>
      <c r="G23" s="10">
        <f t="shared" si="3"/>
        <v>2.1578947368421053</v>
      </c>
      <c r="H23" s="10">
        <f t="shared" si="4"/>
        <v>3.8746848874000097</v>
      </c>
      <c r="I23" s="10">
        <f t="shared" si="5"/>
        <v>5.5914750379579132</v>
      </c>
      <c r="J23" s="14">
        <f t="shared" si="6"/>
        <v>7.3082651885158176</v>
      </c>
      <c r="K23" s="13">
        <f t="shared" si="7"/>
        <v>-0.87603148159081301</v>
      </c>
      <c r="L23" s="10">
        <f t="shared" si="8"/>
        <v>-0.57305607544650694</v>
      </c>
      <c r="M23" s="10">
        <f t="shared" si="9"/>
        <v>-0.27008066930220087</v>
      </c>
      <c r="N23" s="10">
        <f t="shared" si="10"/>
        <v>3.2894736842105261E-2</v>
      </c>
      <c r="O23" s="10">
        <f t="shared" si="11"/>
        <v>0.33587014298641138</v>
      </c>
      <c r="P23" s="10">
        <f t="shared" si="12"/>
        <v>0.63884554913071756</v>
      </c>
      <c r="Q23" s="14">
        <f t="shared" si="13"/>
        <v>0.94182095527502363</v>
      </c>
    </row>
    <row r="24" spans="1:17" x14ac:dyDescent="0.25">
      <c r="A24" s="4">
        <v>45261</v>
      </c>
      <c r="B24" s="5">
        <f>IF('Catalogo de Variaveis'!Q29="","",SUM('Catalogo de Variaveis'!Q26:Q29))</f>
        <v>3</v>
      </c>
      <c r="C24" s="15">
        <f>IFERROR(IF($B24="","",AVERAGE('Catalogo de Variaveis'!Q29-'Catalogo de Variaveis'!Q28,'Catalogo de Variaveis'!Q28-'Catalogo de Variaveis'!Q27,'Catalogo de Variaveis'!Q27-'Catalogo de Variaveis'!Q26,'Catalogo de Variaveis'!Q26-'Catalogo de Variaveis'!Q25)),0)</f>
        <v>0</v>
      </c>
      <c r="D24" s="13">
        <f t="shared" si="0"/>
        <v>-2.992475714831607</v>
      </c>
      <c r="E24" s="10">
        <f t="shared" si="1"/>
        <v>-1.2756855642737031</v>
      </c>
      <c r="F24" s="10">
        <f t="shared" si="2"/>
        <v>0.44110458628420113</v>
      </c>
      <c r="G24" s="10">
        <f t="shared" si="3"/>
        <v>2.1578947368421053</v>
      </c>
      <c r="H24" s="10">
        <f t="shared" si="4"/>
        <v>3.8746848874000097</v>
      </c>
      <c r="I24" s="10">
        <f t="shared" si="5"/>
        <v>5.5914750379579132</v>
      </c>
      <c r="J24" s="14">
        <f t="shared" si="6"/>
        <v>7.3082651885158176</v>
      </c>
      <c r="K24" s="13">
        <f t="shared" si="7"/>
        <v>-0.87603148159081301</v>
      </c>
      <c r="L24" s="10">
        <f t="shared" si="8"/>
        <v>-0.57305607544650694</v>
      </c>
      <c r="M24" s="10">
        <f t="shared" si="9"/>
        <v>-0.27008066930220087</v>
      </c>
      <c r="N24" s="10">
        <f t="shared" si="10"/>
        <v>3.2894736842105261E-2</v>
      </c>
      <c r="O24" s="10">
        <f t="shared" si="11"/>
        <v>0.33587014298641138</v>
      </c>
      <c r="P24" s="10">
        <f t="shared" si="12"/>
        <v>0.63884554913071756</v>
      </c>
      <c r="Q24" s="14">
        <f t="shared" si="13"/>
        <v>0.94182095527502363</v>
      </c>
    </row>
    <row r="25" spans="1:17" x14ac:dyDescent="0.25">
      <c r="A25" s="4">
        <v>45292</v>
      </c>
      <c r="B25" s="5">
        <f>IF('Catalogo de Variaveis'!Q30="","",SUM('Catalogo de Variaveis'!Q27:Q30))</f>
        <v>4</v>
      </c>
      <c r="C25" s="15">
        <f>IFERROR(IF($B25="","",AVERAGE('Catalogo de Variaveis'!Q30-'Catalogo de Variaveis'!Q29,'Catalogo de Variaveis'!Q29-'Catalogo de Variaveis'!Q28,'Catalogo de Variaveis'!Q28-'Catalogo de Variaveis'!Q27,'Catalogo de Variaveis'!Q27-'Catalogo de Variaveis'!Q26)),0)</f>
        <v>0.25</v>
      </c>
      <c r="D25" s="13">
        <f t="shared" si="0"/>
        <v>-2.992475714831607</v>
      </c>
      <c r="E25" s="10">
        <f t="shared" si="1"/>
        <v>-1.2756855642737031</v>
      </c>
      <c r="F25" s="10">
        <f t="shared" si="2"/>
        <v>0.44110458628420113</v>
      </c>
      <c r="G25" s="10">
        <f t="shared" si="3"/>
        <v>2.1578947368421053</v>
      </c>
      <c r="H25" s="10">
        <f t="shared" si="4"/>
        <v>3.8746848874000097</v>
      </c>
      <c r="I25" s="10">
        <f t="shared" si="5"/>
        <v>5.5914750379579132</v>
      </c>
      <c r="J25" s="14">
        <f t="shared" si="6"/>
        <v>7.3082651885158176</v>
      </c>
      <c r="K25" s="13">
        <f t="shared" si="7"/>
        <v>-0.87603148159081301</v>
      </c>
      <c r="L25" s="10">
        <f t="shared" si="8"/>
        <v>-0.57305607544650694</v>
      </c>
      <c r="M25" s="10">
        <f t="shared" si="9"/>
        <v>-0.27008066930220087</v>
      </c>
      <c r="N25" s="10">
        <f t="shared" si="10"/>
        <v>3.2894736842105261E-2</v>
      </c>
      <c r="O25" s="10">
        <f t="shared" si="11"/>
        <v>0.33587014298641138</v>
      </c>
      <c r="P25" s="10">
        <f t="shared" si="12"/>
        <v>0.63884554913071756</v>
      </c>
      <c r="Q25" s="14">
        <f t="shared" si="13"/>
        <v>0.94182095527502363</v>
      </c>
    </row>
    <row r="26" spans="1:17" x14ac:dyDescent="0.25">
      <c r="A26" s="4">
        <v>45323</v>
      </c>
      <c r="B26" s="5">
        <f>IF('Catalogo de Variaveis'!Q31="","",SUM('Catalogo de Variaveis'!Q28:Q31))</f>
        <v>2</v>
      </c>
      <c r="C26" s="15">
        <f>IFERROR(IF($B26="","",AVERAGE('Catalogo de Variaveis'!Q31-'Catalogo de Variaveis'!Q30,'Catalogo de Variaveis'!Q30-'Catalogo de Variaveis'!Q29,'Catalogo de Variaveis'!Q29-'Catalogo de Variaveis'!Q28,'Catalogo de Variaveis'!Q28-'Catalogo de Variaveis'!Q27)),0)</f>
        <v>-0.5</v>
      </c>
      <c r="D26" s="13">
        <f t="shared" si="0"/>
        <v>-2.992475714831607</v>
      </c>
      <c r="E26" s="10">
        <f t="shared" si="1"/>
        <v>-1.2756855642737031</v>
      </c>
      <c r="F26" s="10">
        <f t="shared" si="2"/>
        <v>0.44110458628420113</v>
      </c>
      <c r="G26" s="10">
        <f t="shared" si="3"/>
        <v>2.1578947368421053</v>
      </c>
      <c r="H26" s="10">
        <f t="shared" si="4"/>
        <v>3.8746848874000097</v>
      </c>
      <c r="I26" s="10">
        <f t="shared" si="5"/>
        <v>5.5914750379579132</v>
      </c>
      <c r="J26" s="14">
        <f t="shared" si="6"/>
        <v>7.3082651885158176</v>
      </c>
      <c r="K26" s="13">
        <f t="shared" si="7"/>
        <v>-0.87603148159081301</v>
      </c>
      <c r="L26" s="10">
        <f t="shared" si="8"/>
        <v>-0.57305607544650694</v>
      </c>
      <c r="M26" s="10">
        <f t="shared" si="9"/>
        <v>-0.27008066930220087</v>
      </c>
      <c r="N26" s="10">
        <f t="shared" si="10"/>
        <v>3.2894736842105261E-2</v>
      </c>
      <c r="O26" s="10">
        <f t="shared" si="11"/>
        <v>0.33587014298641138</v>
      </c>
      <c r="P26" s="10">
        <f t="shared" si="12"/>
        <v>0.63884554913071756</v>
      </c>
      <c r="Q26" s="14">
        <f t="shared" si="13"/>
        <v>0.94182095527502363</v>
      </c>
    </row>
    <row r="27" spans="1:17" x14ac:dyDescent="0.25">
      <c r="A27" s="4">
        <v>45352</v>
      </c>
      <c r="B27" s="5">
        <f>IF('Catalogo de Variaveis'!Q32="","",SUM('Catalogo de Variaveis'!Q29:Q32))</f>
        <v>1</v>
      </c>
      <c r="C27" s="15">
        <f>IFERROR(IF($B27="","",AVERAGE('Catalogo de Variaveis'!Q32-'Catalogo de Variaveis'!Q31,'Catalogo de Variaveis'!Q31-'Catalogo de Variaveis'!Q30,'Catalogo de Variaveis'!Q30-'Catalogo de Variaveis'!Q29,'Catalogo de Variaveis'!Q29-'Catalogo de Variaveis'!Q28)),0)</f>
        <v>-0.25</v>
      </c>
      <c r="D27" s="13">
        <f t="shared" si="0"/>
        <v>-2.992475714831607</v>
      </c>
      <c r="E27" s="10">
        <f t="shared" si="1"/>
        <v>-1.2756855642737031</v>
      </c>
      <c r="F27" s="10">
        <f t="shared" si="2"/>
        <v>0.44110458628420113</v>
      </c>
      <c r="G27" s="10">
        <f t="shared" si="3"/>
        <v>2.1578947368421053</v>
      </c>
      <c r="H27" s="10">
        <f t="shared" si="4"/>
        <v>3.8746848874000097</v>
      </c>
      <c r="I27" s="10">
        <f t="shared" si="5"/>
        <v>5.5914750379579132</v>
      </c>
      <c r="J27" s="14">
        <f t="shared" si="6"/>
        <v>7.3082651885158176</v>
      </c>
      <c r="K27" s="13">
        <f t="shared" si="7"/>
        <v>-0.87603148159081301</v>
      </c>
      <c r="L27" s="10">
        <f t="shared" si="8"/>
        <v>-0.57305607544650694</v>
      </c>
      <c r="M27" s="10">
        <f t="shared" si="9"/>
        <v>-0.27008066930220087</v>
      </c>
      <c r="N27" s="10">
        <f t="shared" si="10"/>
        <v>3.2894736842105261E-2</v>
      </c>
      <c r="O27" s="10">
        <f t="shared" si="11"/>
        <v>0.33587014298641138</v>
      </c>
      <c r="P27" s="10">
        <f t="shared" si="12"/>
        <v>0.63884554913071756</v>
      </c>
      <c r="Q27" s="14">
        <f t="shared" si="13"/>
        <v>0.94182095527502363</v>
      </c>
    </row>
    <row r="28" spans="1:17" x14ac:dyDescent="0.25">
      <c r="A28" s="4">
        <v>45383</v>
      </c>
      <c r="B28" s="5">
        <f>IF('Catalogo de Variaveis'!Q33="","",SUM('Catalogo de Variaveis'!Q30:Q33))</f>
        <v>1</v>
      </c>
      <c r="C28" s="15">
        <f>IFERROR(IF($B28="","",AVERAGE('Catalogo de Variaveis'!Q33-'Catalogo de Variaveis'!Q32,'Catalogo de Variaveis'!Q32-'Catalogo de Variaveis'!Q31,'Catalogo de Variaveis'!Q31-'Catalogo de Variaveis'!Q30,'Catalogo de Variaveis'!Q30-'Catalogo de Variaveis'!Q29)),0)</f>
        <v>0</v>
      </c>
      <c r="D28" s="13">
        <f t="shared" si="0"/>
        <v>-2.992475714831607</v>
      </c>
      <c r="E28" s="10">
        <f t="shared" si="1"/>
        <v>-1.2756855642737031</v>
      </c>
      <c r="F28" s="10">
        <f t="shared" si="2"/>
        <v>0.44110458628420113</v>
      </c>
      <c r="G28" s="10">
        <f t="shared" si="3"/>
        <v>2.1578947368421053</v>
      </c>
      <c r="H28" s="10">
        <f t="shared" si="4"/>
        <v>3.8746848874000097</v>
      </c>
      <c r="I28" s="10">
        <f t="shared" si="5"/>
        <v>5.5914750379579132</v>
      </c>
      <c r="J28" s="14">
        <f t="shared" si="6"/>
        <v>7.3082651885158176</v>
      </c>
      <c r="K28" s="13">
        <f t="shared" si="7"/>
        <v>-0.87603148159081301</v>
      </c>
      <c r="L28" s="10">
        <f t="shared" si="8"/>
        <v>-0.57305607544650694</v>
      </c>
      <c r="M28" s="10">
        <f t="shared" si="9"/>
        <v>-0.27008066930220087</v>
      </c>
      <c r="N28" s="10">
        <f t="shared" si="10"/>
        <v>3.2894736842105261E-2</v>
      </c>
      <c r="O28" s="10">
        <f t="shared" si="11"/>
        <v>0.33587014298641138</v>
      </c>
      <c r="P28" s="10">
        <f t="shared" si="12"/>
        <v>0.63884554913071756</v>
      </c>
      <c r="Q28" s="14">
        <f t="shared" si="13"/>
        <v>0.94182095527502363</v>
      </c>
    </row>
    <row r="29" spans="1:17" x14ac:dyDescent="0.25">
      <c r="A29" s="4">
        <v>45413</v>
      </c>
      <c r="B29" s="5">
        <f>IF('Catalogo de Variaveis'!Q34="","",SUM('Catalogo de Variaveis'!Q31:Q34))</f>
        <v>1</v>
      </c>
      <c r="C29" s="15">
        <f>IFERROR(IF($B29="","",AVERAGE('Catalogo de Variaveis'!Q34-'Catalogo de Variaveis'!Q33,'Catalogo de Variaveis'!Q33-'Catalogo de Variaveis'!Q32,'Catalogo de Variaveis'!Q32-'Catalogo de Variaveis'!Q31,'Catalogo de Variaveis'!Q31-'Catalogo de Variaveis'!Q30)),0)</f>
        <v>0</v>
      </c>
      <c r="D29" s="13">
        <f t="shared" si="0"/>
        <v>-2.992475714831607</v>
      </c>
      <c r="E29" s="10">
        <f t="shared" si="1"/>
        <v>-1.2756855642737031</v>
      </c>
      <c r="F29" s="10">
        <f t="shared" si="2"/>
        <v>0.44110458628420113</v>
      </c>
      <c r="G29" s="10">
        <f t="shared" si="3"/>
        <v>2.1578947368421053</v>
      </c>
      <c r="H29" s="10">
        <f t="shared" si="4"/>
        <v>3.8746848874000097</v>
      </c>
      <c r="I29" s="10">
        <f t="shared" si="5"/>
        <v>5.5914750379579132</v>
      </c>
      <c r="J29" s="14">
        <f t="shared" si="6"/>
        <v>7.3082651885158176</v>
      </c>
      <c r="K29" s="13">
        <f t="shared" si="7"/>
        <v>-0.87603148159081301</v>
      </c>
      <c r="L29" s="10">
        <f t="shared" si="8"/>
        <v>-0.57305607544650694</v>
      </c>
      <c r="M29" s="10">
        <f t="shared" si="9"/>
        <v>-0.27008066930220087</v>
      </c>
      <c r="N29" s="10">
        <f t="shared" si="10"/>
        <v>3.2894736842105261E-2</v>
      </c>
      <c r="O29" s="10">
        <f t="shared" si="11"/>
        <v>0.33587014298641138</v>
      </c>
      <c r="P29" s="10">
        <f t="shared" si="12"/>
        <v>0.63884554913071756</v>
      </c>
      <c r="Q29" s="14">
        <f t="shared" si="13"/>
        <v>0.94182095527502363</v>
      </c>
    </row>
    <row r="30" spans="1:17" x14ac:dyDescent="0.25">
      <c r="A30" s="4">
        <v>45444</v>
      </c>
      <c r="B30" s="5">
        <f>IF('Catalogo de Variaveis'!Q35="","",SUM('Catalogo de Variaveis'!Q32:Q35))</f>
        <v>3</v>
      </c>
      <c r="C30" s="15">
        <f>IFERROR(IF($B30="","",AVERAGE('Catalogo de Variaveis'!Q35-'Catalogo de Variaveis'!Q34,'Catalogo de Variaveis'!Q34-'Catalogo de Variaveis'!Q33,'Catalogo de Variaveis'!Q33-'Catalogo de Variaveis'!Q32,'Catalogo de Variaveis'!Q32-'Catalogo de Variaveis'!Q31)),0)</f>
        <v>0.5</v>
      </c>
      <c r="D30" s="13">
        <f>IF($B30="","",IF(OR($J$1="",$J$2=""),$B$1-3*$B$2,$J$1-3*$J$2))</f>
        <v>-2.992475714831607</v>
      </c>
      <c r="E30" s="10">
        <f>IF($B30="","",IF(OR($J$1="",$J$2=""),$B$1-2*$B$2,$J$1-2*$J$2))</f>
        <v>-1.2756855642737031</v>
      </c>
      <c r="F30" s="10">
        <f>IF($B30="","",IF(OR($J$1="",$J$2=""),$B$1-$B$2,$J$1-$J$2))</f>
        <v>0.44110458628420113</v>
      </c>
      <c r="G30" s="10">
        <f>IF($B30="","",IF(OR($J$1="",$J$2=""),$B$1,$J$1))</f>
        <v>2.1578947368421053</v>
      </c>
      <c r="H30" s="10">
        <f>IF($B30="","",IF(OR($J$1="",$J$2=""),$B$1+$B$2,$J$1+$J$2))</f>
        <v>3.8746848874000097</v>
      </c>
      <c r="I30" s="10">
        <f>IF($B30="","",IF(OR($J$1="",$J$2=""),$B$1+2*$B$2,$J$1+2*$J$2))</f>
        <v>5.5914750379579132</v>
      </c>
      <c r="J30" s="14">
        <f>IF($B30="","",IF(OR($J$1="",$J$2=""),$B$1+3*$B$2,$J$1+3*$J$2))</f>
        <v>7.3082651885158176</v>
      </c>
      <c r="K30" s="13">
        <f t="shared" si="7"/>
        <v>-0.87603148159081301</v>
      </c>
      <c r="L30" s="10">
        <f t="shared" si="8"/>
        <v>-0.57305607544650694</v>
      </c>
      <c r="M30" s="10">
        <f t="shared" si="9"/>
        <v>-0.27008066930220087</v>
      </c>
      <c r="N30" s="10">
        <f t="shared" si="10"/>
        <v>3.2894736842105261E-2</v>
      </c>
      <c r="O30" s="10">
        <f t="shared" si="11"/>
        <v>0.33587014298641138</v>
      </c>
      <c r="P30" s="10">
        <f t="shared" si="12"/>
        <v>0.63884554913071756</v>
      </c>
      <c r="Q30" s="14">
        <f t="shared" si="13"/>
        <v>0.94182095527502363</v>
      </c>
    </row>
    <row r="31" spans="1:17" x14ac:dyDescent="0.25">
      <c r="A31" s="4">
        <v>45474</v>
      </c>
      <c r="B31" s="5">
        <f>IF('Catalogo de Variaveis'!Q36="","",SUM('Catalogo de Variaveis'!Q33:Q36))</f>
        <v>4</v>
      </c>
      <c r="C31" s="15">
        <f>IFERROR(IF($B31="","",AVERAGE('Catalogo de Variaveis'!Q36-'Catalogo de Variaveis'!Q35,'Catalogo de Variaveis'!Q35-'Catalogo de Variaveis'!Q34,'Catalogo de Variaveis'!Q34-'Catalogo de Variaveis'!Q33,'Catalogo de Variaveis'!Q33-'Catalogo de Variaveis'!Q32)),0)</f>
        <v>0.25</v>
      </c>
      <c r="D31" s="13">
        <f t="shared" si="0"/>
        <v>-2.992475714831607</v>
      </c>
      <c r="E31" s="10">
        <f t="shared" ref="E31:E94" si="14">IF($B31="","",IF(OR($J$1="",$J$2=""),$B$1-2*$B$2,$J$1-2*$J$2))</f>
        <v>-1.2756855642737031</v>
      </c>
      <c r="F31" s="10">
        <f t="shared" ref="F31:F94" si="15">IF($B31="","",IF(OR($J$1="",$J$2=""),$B$1-$B$2,$J$1-$J$2))</f>
        <v>0.44110458628420113</v>
      </c>
      <c r="G31" s="10">
        <f t="shared" si="3"/>
        <v>2.1578947368421053</v>
      </c>
      <c r="H31" s="10">
        <f t="shared" ref="H31:H94" si="16">IF($B31="","",IF(OR($J$1="",$J$2=""),$B$1+$B$2,$J$1+$J$2))</f>
        <v>3.8746848874000097</v>
      </c>
      <c r="I31" s="10">
        <f t="shared" si="5"/>
        <v>5.5914750379579132</v>
      </c>
      <c r="J31" s="14">
        <f t="shared" ref="J31:J94" si="17">IF($B31="","",IF(OR($J$1="",$J$2=""),$B$1+3*$B$2,$J$1+3*$J$2))</f>
        <v>7.3082651885158176</v>
      </c>
      <c r="K31" s="13">
        <f t="shared" si="7"/>
        <v>-0.87603148159081301</v>
      </c>
      <c r="L31" s="10">
        <f t="shared" si="8"/>
        <v>-0.57305607544650694</v>
      </c>
      <c r="M31" s="10">
        <f t="shared" si="9"/>
        <v>-0.27008066930220087</v>
      </c>
      <c r="N31" s="10">
        <f t="shared" si="10"/>
        <v>3.2894736842105261E-2</v>
      </c>
      <c r="O31" s="10">
        <f t="shared" si="11"/>
        <v>0.33587014298641138</v>
      </c>
      <c r="P31" s="10">
        <f t="shared" si="12"/>
        <v>0.63884554913071756</v>
      </c>
      <c r="Q31" s="14">
        <f t="shared" si="13"/>
        <v>0.94182095527502363</v>
      </c>
    </row>
    <row r="32" spans="1:17" x14ac:dyDescent="0.25">
      <c r="A32" s="4">
        <v>45505</v>
      </c>
      <c r="B32" s="5">
        <f>IF('Catalogo de Variaveis'!Q37="","",SUM('Catalogo de Variaveis'!Q34:Q37))</f>
        <v>4</v>
      </c>
      <c r="C32" s="15">
        <f>IFERROR(IF($B32="","",AVERAGE('Catalogo de Variaveis'!Q37-'Catalogo de Variaveis'!Q36,'Catalogo de Variaveis'!Q36-'Catalogo de Variaveis'!Q35,'Catalogo de Variaveis'!Q35-'Catalogo de Variaveis'!Q34,'Catalogo de Variaveis'!Q34-'Catalogo de Variaveis'!Q33)),0)</f>
        <v>0</v>
      </c>
      <c r="D32" s="13">
        <f t="shared" si="0"/>
        <v>-2.992475714831607</v>
      </c>
      <c r="E32" s="10">
        <f t="shared" si="14"/>
        <v>-1.2756855642737031</v>
      </c>
      <c r="F32" s="10">
        <f t="shared" si="15"/>
        <v>0.44110458628420113</v>
      </c>
      <c r="G32" s="10">
        <f t="shared" si="3"/>
        <v>2.1578947368421053</v>
      </c>
      <c r="H32" s="10">
        <f t="shared" si="16"/>
        <v>3.8746848874000097</v>
      </c>
      <c r="I32" s="10">
        <f t="shared" si="5"/>
        <v>5.5914750379579132</v>
      </c>
      <c r="J32" s="14">
        <f t="shared" si="17"/>
        <v>7.3082651885158176</v>
      </c>
      <c r="K32" s="13">
        <f t="shared" si="7"/>
        <v>-0.87603148159081301</v>
      </c>
      <c r="L32" s="10">
        <f t="shared" si="8"/>
        <v>-0.57305607544650694</v>
      </c>
      <c r="M32" s="10">
        <f t="shared" si="9"/>
        <v>-0.27008066930220087</v>
      </c>
      <c r="N32" s="10">
        <f t="shared" si="10"/>
        <v>3.2894736842105261E-2</v>
      </c>
      <c r="O32" s="10">
        <f t="shared" si="11"/>
        <v>0.33587014298641138</v>
      </c>
      <c r="P32" s="10">
        <f t="shared" si="12"/>
        <v>0.63884554913071756</v>
      </c>
      <c r="Q32" s="14">
        <f t="shared" si="13"/>
        <v>0.94182095527502363</v>
      </c>
    </row>
    <row r="33" spans="1:17" x14ac:dyDescent="0.25">
      <c r="A33" s="4">
        <v>45536</v>
      </c>
      <c r="B33" s="5">
        <f>IF('Catalogo de Variaveis'!Q38="","",SUM('Catalogo de Variaveis'!Q35:Q38))</f>
        <v>3</v>
      </c>
      <c r="C33" s="15">
        <f>IFERROR(IF($B33="","",AVERAGE('Catalogo de Variaveis'!Q38-'Catalogo de Variaveis'!Q37,'Catalogo de Variaveis'!Q37-'Catalogo de Variaveis'!Q36,'Catalogo de Variaveis'!Q36-'Catalogo de Variaveis'!Q35,'Catalogo de Variaveis'!Q35-'Catalogo de Variaveis'!Q34)),0)</f>
        <v>-0.25</v>
      </c>
      <c r="D33" s="13">
        <f t="shared" si="0"/>
        <v>-2.992475714831607</v>
      </c>
      <c r="E33" s="10">
        <f t="shared" si="14"/>
        <v>-1.2756855642737031</v>
      </c>
      <c r="F33" s="10">
        <f t="shared" si="15"/>
        <v>0.44110458628420113</v>
      </c>
      <c r="G33" s="10">
        <f t="shared" si="3"/>
        <v>2.1578947368421053</v>
      </c>
      <c r="H33" s="10">
        <f t="shared" si="16"/>
        <v>3.8746848874000097</v>
      </c>
      <c r="I33" s="10">
        <f t="shared" si="5"/>
        <v>5.5914750379579132</v>
      </c>
      <c r="J33" s="14">
        <f t="shared" si="17"/>
        <v>7.3082651885158176</v>
      </c>
      <c r="K33" s="13">
        <f t="shared" si="7"/>
        <v>-0.87603148159081301</v>
      </c>
      <c r="L33" s="10">
        <f t="shared" si="8"/>
        <v>-0.57305607544650694</v>
      </c>
      <c r="M33" s="10">
        <f t="shared" si="9"/>
        <v>-0.27008066930220087</v>
      </c>
      <c r="N33" s="10">
        <f t="shared" si="10"/>
        <v>3.2894736842105261E-2</v>
      </c>
      <c r="O33" s="10">
        <f t="shared" si="11"/>
        <v>0.33587014298641138</v>
      </c>
      <c r="P33" s="10">
        <f t="shared" si="12"/>
        <v>0.63884554913071756</v>
      </c>
      <c r="Q33" s="14">
        <f t="shared" si="13"/>
        <v>0.94182095527502363</v>
      </c>
    </row>
    <row r="34" spans="1:17" x14ac:dyDescent="0.25">
      <c r="A34" s="4">
        <v>45566</v>
      </c>
      <c r="B34" s="5">
        <f>IF('Catalogo de Variaveis'!Q39="","",SUM('Catalogo de Variaveis'!Q36:Q39))</f>
        <v>1</v>
      </c>
      <c r="C34" s="15">
        <f>IFERROR(IF($B34="","",AVERAGE('Catalogo de Variaveis'!Q39-'Catalogo de Variaveis'!Q38,'Catalogo de Variaveis'!Q38-'Catalogo de Variaveis'!Q37,'Catalogo de Variaveis'!Q37-'Catalogo de Variaveis'!Q36,'Catalogo de Variaveis'!Q36-'Catalogo de Variaveis'!Q35)),0)</f>
        <v>-0.5</v>
      </c>
      <c r="D34" s="13">
        <f t="shared" si="0"/>
        <v>-2.992475714831607</v>
      </c>
      <c r="E34" s="10">
        <f t="shared" si="14"/>
        <v>-1.2756855642737031</v>
      </c>
      <c r="F34" s="10">
        <f t="shared" si="15"/>
        <v>0.44110458628420113</v>
      </c>
      <c r="G34" s="10">
        <f t="shared" si="3"/>
        <v>2.1578947368421053</v>
      </c>
      <c r="H34" s="10">
        <f t="shared" si="16"/>
        <v>3.8746848874000097</v>
      </c>
      <c r="I34" s="10">
        <f t="shared" si="5"/>
        <v>5.5914750379579132</v>
      </c>
      <c r="J34" s="14">
        <f t="shared" si="17"/>
        <v>7.3082651885158176</v>
      </c>
      <c r="K34" s="13">
        <f t="shared" si="7"/>
        <v>-0.87603148159081301</v>
      </c>
      <c r="L34" s="10">
        <f t="shared" si="8"/>
        <v>-0.57305607544650694</v>
      </c>
      <c r="M34" s="10">
        <f t="shared" si="9"/>
        <v>-0.27008066930220087</v>
      </c>
      <c r="N34" s="10">
        <f t="shared" si="10"/>
        <v>3.2894736842105261E-2</v>
      </c>
      <c r="O34" s="10">
        <f t="shared" si="11"/>
        <v>0.33587014298641138</v>
      </c>
      <c r="P34" s="10">
        <f t="shared" si="12"/>
        <v>0.63884554913071756</v>
      </c>
      <c r="Q34" s="14">
        <f t="shared" si="13"/>
        <v>0.94182095527502363</v>
      </c>
    </row>
    <row r="35" spans="1:17" x14ac:dyDescent="0.25">
      <c r="A35" s="4">
        <v>45597</v>
      </c>
      <c r="B35" s="5">
        <f>IF('Catalogo de Variaveis'!Q40="","",SUM('Catalogo de Variaveis'!Q37:Q40))</f>
        <v>0</v>
      </c>
      <c r="C35" s="15">
        <f>IFERROR(IF($B35="","",AVERAGE('Catalogo de Variaveis'!Q40-'Catalogo de Variaveis'!Q39,'Catalogo de Variaveis'!Q39-'Catalogo de Variaveis'!Q38,'Catalogo de Variaveis'!Q38-'Catalogo de Variaveis'!Q37,'Catalogo de Variaveis'!Q37-'Catalogo de Variaveis'!Q36)),0)</f>
        <v>-0.25</v>
      </c>
      <c r="D35" s="13">
        <f t="shared" si="0"/>
        <v>-2.992475714831607</v>
      </c>
      <c r="E35" s="10">
        <f t="shared" si="14"/>
        <v>-1.2756855642737031</v>
      </c>
      <c r="F35" s="10">
        <f t="shared" si="15"/>
        <v>0.44110458628420113</v>
      </c>
      <c r="G35" s="10">
        <f t="shared" si="3"/>
        <v>2.1578947368421053</v>
      </c>
      <c r="H35" s="10">
        <f t="shared" si="16"/>
        <v>3.8746848874000097</v>
      </c>
      <c r="I35" s="10">
        <f t="shared" si="5"/>
        <v>5.5914750379579132</v>
      </c>
      <c r="J35" s="14">
        <f t="shared" si="17"/>
        <v>7.3082651885158176</v>
      </c>
      <c r="K35" s="13">
        <f t="shared" si="7"/>
        <v>-0.87603148159081301</v>
      </c>
      <c r="L35" s="10">
        <f t="shared" si="8"/>
        <v>-0.57305607544650694</v>
      </c>
      <c r="M35" s="10">
        <f t="shared" si="9"/>
        <v>-0.27008066930220087</v>
      </c>
      <c r="N35" s="10">
        <f t="shared" si="10"/>
        <v>3.2894736842105261E-2</v>
      </c>
      <c r="O35" s="10">
        <f t="shared" si="11"/>
        <v>0.33587014298641138</v>
      </c>
      <c r="P35" s="10">
        <f t="shared" si="12"/>
        <v>0.63884554913071756</v>
      </c>
      <c r="Q35" s="14">
        <f t="shared" si="13"/>
        <v>0.94182095527502363</v>
      </c>
    </row>
    <row r="36" spans="1:17" x14ac:dyDescent="0.25">
      <c r="A36" s="4">
        <v>45627</v>
      </c>
      <c r="B36" s="5">
        <f>IF('Catalogo de Variaveis'!Q41="","",SUM('Catalogo de Variaveis'!Q38:Q41))</f>
        <v>0</v>
      </c>
      <c r="C36" s="15">
        <f>IFERROR(IF($B36="","",AVERAGE('Catalogo de Variaveis'!Q41-'Catalogo de Variaveis'!Q40,'Catalogo de Variaveis'!Q40-'Catalogo de Variaveis'!Q39,'Catalogo de Variaveis'!Q39-'Catalogo de Variaveis'!Q38,'Catalogo de Variaveis'!Q38-'Catalogo de Variaveis'!Q37)),0)</f>
        <v>0</v>
      </c>
      <c r="D36" s="13">
        <f t="shared" si="0"/>
        <v>-2.992475714831607</v>
      </c>
      <c r="E36" s="10">
        <f t="shared" si="14"/>
        <v>-1.2756855642737031</v>
      </c>
      <c r="F36" s="10">
        <f t="shared" si="15"/>
        <v>0.44110458628420113</v>
      </c>
      <c r="G36" s="10">
        <f t="shared" si="3"/>
        <v>2.1578947368421053</v>
      </c>
      <c r="H36" s="10">
        <f t="shared" si="16"/>
        <v>3.8746848874000097</v>
      </c>
      <c r="I36" s="10">
        <f t="shared" si="5"/>
        <v>5.5914750379579132</v>
      </c>
      <c r="J36" s="14">
        <f t="shared" si="17"/>
        <v>7.3082651885158176</v>
      </c>
      <c r="K36" s="13">
        <f t="shared" si="7"/>
        <v>-0.87603148159081301</v>
      </c>
      <c r="L36" s="10">
        <f t="shared" si="8"/>
        <v>-0.57305607544650694</v>
      </c>
      <c r="M36" s="10">
        <f t="shared" si="9"/>
        <v>-0.27008066930220087</v>
      </c>
      <c r="N36" s="10">
        <f t="shared" si="10"/>
        <v>3.2894736842105261E-2</v>
      </c>
      <c r="O36" s="10">
        <f t="shared" si="11"/>
        <v>0.33587014298641138</v>
      </c>
      <c r="P36" s="10">
        <f t="shared" si="12"/>
        <v>0.63884554913071756</v>
      </c>
      <c r="Q36" s="14">
        <f t="shared" si="13"/>
        <v>0.94182095527502363</v>
      </c>
    </row>
    <row r="37" spans="1:17" x14ac:dyDescent="0.25">
      <c r="A37" s="4">
        <v>45658</v>
      </c>
      <c r="B37" s="5">
        <f>IF('Catalogo de Variaveis'!Q42="","",SUM('Catalogo de Variaveis'!Q39:Q42))</f>
        <v>4</v>
      </c>
      <c r="C37" s="15">
        <f>IFERROR(IF($B37="","",AVERAGE('Catalogo de Variaveis'!Q42-'Catalogo de Variaveis'!Q41,'Catalogo de Variaveis'!Q41-'Catalogo de Variaveis'!Q40,'Catalogo de Variaveis'!Q40-'Catalogo de Variaveis'!Q39,'Catalogo de Variaveis'!Q39-'Catalogo de Variaveis'!Q38)),0)</f>
        <v>1</v>
      </c>
      <c r="D37" s="13">
        <f t="shared" si="0"/>
        <v>-2.992475714831607</v>
      </c>
      <c r="E37" s="10">
        <f t="shared" si="14"/>
        <v>-1.2756855642737031</v>
      </c>
      <c r="F37" s="10">
        <f t="shared" si="15"/>
        <v>0.44110458628420113</v>
      </c>
      <c r="G37" s="10">
        <f t="shared" si="3"/>
        <v>2.1578947368421053</v>
      </c>
      <c r="H37" s="10">
        <f t="shared" si="16"/>
        <v>3.8746848874000097</v>
      </c>
      <c r="I37" s="10">
        <f t="shared" si="5"/>
        <v>5.5914750379579132</v>
      </c>
      <c r="J37" s="14">
        <f t="shared" si="17"/>
        <v>7.3082651885158176</v>
      </c>
      <c r="K37" s="13">
        <f t="shared" si="7"/>
        <v>-0.87603148159081301</v>
      </c>
      <c r="L37" s="10">
        <f t="shared" si="8"/>
        <v>-0.57305607544650694</v>
      </c>
      <c r="M37" s="10">
        <f t="shared" si="9"/>
        <v>-0.27008066930220087</v>
      </c>
      <c r="N37" s="10">
        <f t="shared" si="10"/>
        <v>3.2894736842105261E-2</v>
      </c>
      <c r="O37" s="10">
        <f t="shared" si="11"/>
        <v>0.33587014298641138</v>
      </c>
      <c r="P37" s="10">
        <f t="shared" si="12"/>
        <v>0.63884554913071756</v>
      </c>
      <c r="Q37" s="14">
        <f t="shared" si="13"/>
        <v>0.94182095527502363</v>
      </c>
    </row>
    <row r="38" spans="1:17" x14ac:dyDescent="0.25">
      <c r="A38" s="4">
        <v>45689</v>
      </c>
      <c r="B38" s="5">
        <f>IF('Catalogo de Variaveis'!Q43="","",SUM('Catalogo de Variaveis'!Q40:Q43))</f>
        <v>4</v>
      </c>
      <c r="C38" s="15">
        <f>IFERROR(IF($B38="","",AVERAGE('Catalogo de Variaveis'!Q43-'Catalogo de Variaveis'!Q42,'Catalogo de Variaveis'!Q42-'Catalogo de Variaveis'!Q41,'Catalogo de Variaveis'!Q41-'Catalogo de Variaveis'!Q40,'Catalogo de Variaveis'!Q40-'Catalogo de Variaveis'!Q39)),0)</f>
        <v>0</v>
      </c>
      <c r="D38" s="13">
        <f t="shared" si="0"/>
        <v>-2.992475714831607</v>
      </c>
      <c r="E38" s="10">
        <f t="shared" si="14"/>
        <v>-1.2756855642737031</v>
      </c>
      <c r="F38" s="10">
        <f t="shared" si="15"/>
        <v>0.44110458628420113</v>
      </c>
      <c r="G38" s="10">
        <f t="shared" si="3"/>
        <v>2.1578947368421053</v>
      </c>
      <c r="H38" s="10">
        <f t="shared" si="16"/>
        <v>3.8746848874000097</v>
      </c>
      <c r="I38" s="10">
        <f t="shared" si="5"/>
        <v>5.5914750379579132</v>
      </c>
      <c r="J38" s="14">
        <f t="shared" si="17"/>
        <v>7.3082651885158176</v>
      </c>
      <c r="K38" s="13">
        <f t="shared" si="7"/>
        <v>-0.87603148159081301</v>
      </c>
      <c r="L38" s="10">
        <f t="shared" si="8"/>
        <v>-0.57305607544650694</v>
      </c>
      <c r="M38" s="10">
        <f t="shared" si="9"/>
        <v>-0.27008066930220087</v>
      </c>
      <c r="N38" s="10">
        <f t="shared" si="10"/>
        <v>3.2894736842105261E-2</v>
      </c>
      <c r="O38" s="10">
        <f t="shared" si="11"/>
        <v>0.33587014298641138</v>
      </c>
      <c r="P38" s="10">
        <f t="shared" si="12"/>
        <v>0.63884554913071756</v>
      </c>
      <c r="Q38" s="14">
        <f t="shared" si="13"/>
        <v>0.94182095527502363</v>
      </c>
    </row>
    <row r="39" spans="1:17" x14ac:dyDescent="0.25">
      <c r="A39" s="4">
        <v>45717</v>
      </c>
      <c r="B39" s="5">
        <f>IF('Catalogo de Variaveis'!Q44="","",SUM('Catalogo de Variaveis'!Q41:Q44))</f>
        <v>4</v>
      </c>
      <c r="C39" s="15">
        <f>IFERROR(IF($B39="","",AVERAGE('Catalogo de Variaveis'!Q44-'Catalogo de Variaveis'!Q43,'Catalogo de Variaveis'!Q43-'Catalogo de Variaveis'!Q42,'Catalogo de Variaveis'!Q42-'Catalogo de Variaveis'!Q41,'Catalogo de Variaveis'!Q41-'Catalogo de Variaveis'!Q40)),0)</f>
        <v>0</v>
      </c>
      <c r="D39" s="13">
        <f t="shared" si="0"/>
        <v>-2.992475714831607</v>
      </c>
      <c r="E39" s="10">
        <f t="shared" si="14"/>
        <v>-1.2756855642737031</v>
      </c>
      <c r="F39" s="10">
        <f t="shared" si="15"/>
        <v>0.44110458628420113</v>
      </c>
      <c r="G39" s="10">
        <f t="shared" si="3"/>
        <v>2.1578947368421053</v>
      </c>
      <c r="H39" s="10">
        <f t="shared" si="16"/>
        <v>3.8746848874000097</v>
      </c>
      <c r="I39" s="10">
        <f t="shared" si="5"/>
        <v>5.5914750379579132</v>
      </c>
      <c r="J39" s="14">
        <f t="shared" si="17"/>
        <v>7.3082651885158176</v>
      </c>
      <c r="K39" s="13">
        <f t="shared" si="7"/>
        <v>-0.87603148159081301</v>
      </c>
      <c r="L39" s="10">
        <f t="shared" si="8"/>
        <v>-0.57305607544650694</v>
      </c>
      <c r="M39" s="10">
        <f t="shared" si="9"/>
        <v>-0.27008066930220087</v>
      </c>
      <c r="N39" s="10">
        <f t="shared" si="10"/>
        <v>3.2894736842105261E-2</v>
      </c>
      <c r="O39" s="10">
        <f t="shared" si="11"/>
        <v>0.33587014298641138</v>
      </c>
      <c r="P39" s="10">
        <f t="shared" si="12"/>
        <v>0.63884554913071756</v>
      </c>
      <c r="Q39" s="14">
        <f t="shared" si="13"/>
        <v>0.94182095527502363</v>
      </c>
    </row>
    <row r="40" spans="1:17" x14ac:dyDescent="0.25">
      <c r="A40" s="4">
        <v>45748</v>
      </c>
      <c r="B40" s="5">
        <f>IF('Catalogo de Variaveis'!Q45="","",SUM('Catalogo de Variaveis'!Q42:Q45))</f>
        <v>6</v>
      </c>
      <c r="C40" s="15">
        <f>IFERROR(IF($B40="","",AVERAGE('Catalogo de Variaveis'!Q45-'Catalogo de Variaveis'!Q44,'Catalogo de Variaveis'!Q44-'Catalogo de Variaveis'!Q43,'Catalogo de Variaveis'!Q43-'Catalogo de Variaveis'!Q42,'Catalogo de Variaveis'!Q42-'Catalogo de Variaveis'!Q41)),0)</f>
        <v>0.5</v>
      </c>
      <c r="D40" s="13">
        <f t="shared" si="0"/>
        <v>-2.992475714831607</v>
      </c>
      <c r="E40" s="10">
        <f t="shared" si="14"/>
        <v>-1.2756855642737031</v>
      </c>
      <c r="F40" s="10">
        <f t="shared" si="15"/>
        <v>0.44110458628420113</v>
      </c>
      <c r="G40" s="10">
        <f t="shared" si="3"/>
        <v>2.1578947368421053</v>
      </c>
      <c r="H40" s="10">
        <f t="shared" si="16"/>
        <v>3.8746848874000097</v>
      </c>
      <c r="I40" s="10">
        <f t="shared" si="5"/>
        <v>5.5914750379579132</v>
      </c>
      <c r="J40" s="14">
        <f t="shared" si="17"/>
        <v>7.3082651885158176</v>
      </c>
      <c r="K40" s="13">
        <f t="shared" si="7"/>
        <v>-0.87603148159081301</v>
      </c>
      <c r="L40" s="10">
        <f t="shared" si="8"/>
        <v>-0.57305607544650694</v>
      </c>
      <c r="M40" s="10">
        <f t="shared" si="9"/>
        <v>-0.27008066930220087</v>
      </c>
      <c r="N40" s="10">
        <f t="shared" si="10"/>
        <v>3.2894736842105261E-2</v>
      </c>
      <c r="O40" s="10">
        <f t="shared" si="11"/>
        <v>0.33587014298641138</v>
      </c>
      <c r="P40" s="10">
        <f t="shared" si="12"/>
        <v>0.63884554913071756</v>
      </c>
      <c r="Q40" s="14">
        <f t="shared" si="13"/>
        <v>0.94182095527502363</v>
      </c>
    </row>
    <row r="41" spans="1:17" x14ac:dyDescent="0.25">
      <c r="A41" s="4">
        <v>45778</v>
      </c>
      <c r="B41" s="5">
        <f>IF('Catalogo de Variaveis'!Q46="","",SUM('Catalogo de Variaveis'!Q43:Q46))</f>
        <v>4</v>
      </c>
      <c r="C41" s="15">
        <f>IFERROR(IF($B41="","",AVERAGE('Catalogo de Variaveis'!Q46-'Catalogo de Variaveis'!Q45,'Catalogo de Variaveis'!Q45-'Catalogo de Variaveis'!Q44,'Catalogo de Variaveis'!Q44-'Catalogo de Variaveis'!Q43,'Catalogo de Variaveis'!Q43-'Catalogo de Variaveis'!Q42)),0)</f>
        <v>-0.5</v>
      </c>
      <c r="D41" s="13">
        <f t="shared" si="0"/>
        <v>-2.992475714831607</v>
      </c>
      <c r="E41" s="10">
        <f t="shared" si="14"/>
        <v>-1.2756855642737031</v>
      </c>
      <c r="F41" s="10">
        <f t="shared" si="15"/>
        <v>0.44110458628420113</v>
      </c>
      <c r="G41" s="10">
        <f t="shared" si="3"/>
        <v>2.1578947368421053</v>
      </c>
      <c r="H41" s="10">
        <f t="shared" si="16"/>
        <v>3.8746848874000097</v>
      </c>
      <c r="I41" s="10">
        <f t="shared" si="5"/>
        <v>5.5914750379579132</v>
      </c>
      <c r="J41" s="14">
        <f t="shared" si="17"/>
        <v>7.3082651885158176</v>
      </c>
      <c r="K41" s="13">
        <f t="shared" si="7"/>
        <v>-0.87603148159081301</v>
      </c>
      <c r="L41" s="10">
        <f t="shared" si="8"/>
        <v>-0.57305607544650694</v>
      </c>
      <c r="M41" s="10">
        <f t="shared" si="9"/>
        <v>-0.27008066930220087</v>
      </c>
      <c r="N41" s="10">
        <f t="shared" si="10"/>
        <v>3.2894736842105261E-2</v>
      </c>
      <c r="O41" s="10">
        <f t="shared" si="11"/>
        <v>0.33587014298641138</v>
      </c>
      <c r="P41" s="10">
        <f t="shared" si="12"/>
        <v>0.63884554913071756</v>
      </c>
      <c r="Q41" s="14">
        <f t="shared" si="13"/>
        <v>0.94182095527502363</v>
      </c>
    </row>
    <row r="42" spans="1:17" x14ac:dyDescent="0.25">
      <c r="A42" s="4">
        <v>45809</v>
      </c>
      <c r="B42" s="5">
        <f>IF('Catalogo de Variaveis'!Q47="","",SUM('Catalogo de Variaveis'!Q44:Q47))</f>
        <v>4</v>
      </c>
      <c r="C42" s="15">
        <f>IFERROR(IF($B42="","",AVERAGE('Catalogo de Variaveis'!Q47-'Catalogo de Variaveis'!Q46,'Catalogo de Variaveis'!Q46-'Catalogo de Variaveis'!Q45,'Catalogo de Variaveis'!Q45-'Catalogo de Variaveis'!Q44,'Catalogo de Variaveis'!Q44-'Catalogo de Variaveis'!Q43)),0)</f>
        <v>0</v>
      </c>
      <c r="D42" s="13">
        <f t="shared" si="0"/>
        <v>-2.992475714831607</v>
      </c>
      <c r="E42" s="10">
        <f t="shared" si="14"/>
        <v>-1.2756855642737031</v>
      </c>
      <c r="F42" s="10">
        <f t="shared" si="15"/>
        <v>0.44110458628420113</v>
      </c>
      <c r="G42" s="10">
        <f t="shared" si="3"/>
        <v>2.1578947368421053</v>
      </c>
      <c r="H42" s="10">
        <f t="shared" si="16"/>
        <v>3.8746848874000097</v>
      </c>
      <c r="I42" s="10">
        <f t="shared" si="5"/>
        <v>5.5914750379579132</v>
      </c>
      <c r="J42" s="14">
        <f t="shared" si="17"/>
        <v>7.3082651885158176</v>
      </c>
      <c r="K42" s="13">
        <f t="shared" si="7"/>
        <v>-0.87603148159081301</v>
      </c>
      <c r="L42" s="10">
        <f t="shared" si="8"/>
        <v>-0.57305607544650694</v>
      </c>
      <c r="M42" s="10">
        <f t="shared" si="9"/>
        <v>-0.27008066930220087</v>
      </c>
      <c r="N42" s="10">
        <f t="shared" si="10"/>
        <v>3.2894736842105261E-2</v>
      </c>
      <c r="O42" s="10">
        <f t="shared" si="11"/>
        <v>0.33587014298641138</v>
      </c>
      <c r="P42" s="10">
        <f t="shared" si="12"/>
        <v>0.63884554913071756</v>
      </c>
      <c r="Q42" s="14">
        <f t="shared" si="13"/>
        <v>0.94182095527502363</v>
      </c>
    </row>
    <row r="43" spans="1:17" x14ac:dyDescent="0.25">
      <c r="A43" s="4">
        <v>45839</v>
      </c>
      <c r="B43" s="5">
        <f>IF('Catalogo de Variaveis'!Q48="","",SUM('Catalogo de Variaveis'!Q45:Q48))</f>
        <v>4</v>
      </c>
      <c r="C43" s="15">
        <f>IFERROR(IF($B43="","",AVERAGE('Catalogo de Variaveis'!Q48-'Catalogo de Variaveis'!Q47,'Catalogo de Variaveis'!Q47-'Catalogo de Variaveis'!Q46,'Catalogo de Variaveis'!Q46-'Catalogo de Variaveis'!Q45,'Catalogo de Variaveis'!Q45-'Catalogo de Variaveis'!Q44)),0)</f>
        <v>0</v>
      </c>
      <c r="D43" s="13">
        <f t="shared" si="0"/>
        <v>-2.992475714831607</v>
      </c>
      <c r="E43" s="10">
        <f t="shared" si="14"/>
        <v>-1.2756855642737031</v>
      </c>
      <c r="F43" s="10">
        <f t="shared" si="15"/>
        <v>0.44110458628420113</v>
      </c>
      <c r="G43" s="10">
        <f t="shared" si="3"/>
        <v>2.1578947368421053</v>
      </c>
      <c r="H43" s="10">
        <f t="shared" si="16"/>
        <v>3.8746848874000097</v>
      </c>
      <c r="I43" s="10">
        <f t="shared" si="5"/>
        <v>5.5914750379579132</v>
      </c>
      <c r="J43" s="14">
        <f t="shared" si="17"/>
        <v>7.3082651885158176</v>
      </c>
      <c r="K43" s="13">
        <f t="shared" si="7"/>
        <v>-0.87603148159081301</v>
      </c>
      <c r="L43" s="10">
        <f t="shared" si="8"/>
        <v>-0.57305607544650694</v>
      </c>
      <c r="M43" s="10">
        <f t="shared" si="9"/>
        <v>-0.27008066930220087</v>
      </c>
      <c r="N43" s="10">
        <f t="shared" si="10"/>
        <v>3.2894736842105261E-2</v>
      </c>
      <c r="O43" s="10">
        <f t="shared" si="11"/>
        <v>0.33587014298641138</v>
      </c>
      <c r="P43" s="10">
        <f t="shared" si="12"/>
        <v>0.63884554913071756</v>
      </c>
      <c r="Q43" s="14">
        <f t="shared" si="13"/>
        <v>0.94182095527502363</v>
      </c>
    </row>
    <row r="44" spans="1:17" x14ac:dyDescent="0.25">
      <c r="A44" s="4">
        <v>45870</v>
      </c>
      <c r="B44" s="5">
        <f>IF('Catalogo de Variaveis'!Q49="","",SUM('Catalogo de Variaveis'!Q46:Q49))</f>
        <v>4</v>
      </c>
      <c r="C44" s="15">
        <f>IFERROR(IF($B44="","",AVERAGE('Catalogo de Variaveis'!Q49-'Catalogo de Variaveis'!Q48,'Catalogo de Variaveis'!Q48-'Catalogo de Variaveis'!Q47,'Catalogo de Variaveis'!Q47-'Catalogo de Variaveis'!Q46,'Catalogo de Variaveis'!Q46-'Catalogo de Variaveis'!Q45)),0)</f>
        <v>0</v>
      </c>
      <c r="D44" s="13">
        <f t="shared" si="0"/>
        <v>-2.992475714831607</v>
      </c>
      <c r="E44" s="10">
        <f t="shared" si="14"/>
        <v>-1.2756855642737031</v>
      </c>
      <c r="F44" s="10">
        <f t="shared" si="15"/>
        <v>0.44110458628420113</v>
      </c>
      <c r="G44" s="10">
        <f t="shared" si="3"/>
        <v>2.1578947368421053</v>
      </c>
      <c r="H44" s="10">
        <f t="shared" si="16"/>
        <v>3.8746848874000097</v>
      </c>
      <c r="I44" s="10">
        <f t="shared" si="5"/>
        <v>5.5914750379579132</v>
      </c>
      <c r="J44" s="14">
        <f t="shared" si="17"/>
        <v>7.3082651885158176</v>
      </c>
      <c r="K44" s="13">
        <f t="shared" si="7"/>
        <v>-0.87603148159081301</v>
      </c>
      <c r="L44" s="10">
        <f t="shared" si="8"/>
        <v>-0.57305607544650694</v>
      </c>
      <c r="M44" s="10">
        <f t="shared" si="9"/>
        <v>-0.27008066930220087</v>
      </c>
      <c r="N44" s="10">
        <f t="shared" si="10"/>
        <v>3.2894736842105261E-2</v>
      </c>
      <c r="O44" s="10">
        <f t="shared" si="11"/>
        <v>0.33587014298641138</v>
      </c>
      <c r="P44" s="10">
        <f t="shared" si="12"/>
        <v>0.63884554913071756</v>
      </c>
      <c r="Q44" s="14">
        <f t="shared" si="13"/>
        <v>0.94182095527502363</v>
      </c>
    </row>
    <row r="45" spans="1:17" x14ac:dyDescent="0.25">
      <c r="A45" s="4">
        <v>45901</v>
      </c>
      <c r="B45" s="5">
        <f>IF('Catalogo de Variaveis'!Q50="","",SUM('Catalogo de Variaveis'!Q47:Q50))</f>
        <v>3</v>
      </c>
      <c r="C45" s="15">
        <f>IFERROR(IF($B45="","",AVERAGE('Catalogo de Variaveis'!Q50-'Catalogo de Variaveis'!Q49,'Catalogo de Variaveis'!Q49-'Catalogo de Variaveis'!Q48,'Catalogo de Variaveis'!Q48-'Catalogo de Variaveis'!Q47,'Catalogo de Variaveis'!Q47-'Catalogo de Variaveis'!Q46)),0)</f>
        <v>-0.25</v>
      </c>
      <c r="D45" s="13">
        <f t="shared" si="0"/>
        <v>-2.992475714831607</v>
      </c>
      <c r="E45" s="10">
        <f t="shared" si="14"/>
        <v>-1.2756855642737031</v>
      </c>
      <c r="F45" s="10">
        <f t="shared" si="15"/>
        <v>0.44110458628420113</v>
      </c>
      <c r="G45" s="10">
        <f t="shared" si="3"/>
        <v>2.1578947368421053</v>
      </c>
      <c r="H45" s="10">
        <f t="shared" si="16"/>
        <v>3.8746848874000097</v>
      </c>
      <c r="I45" s="10">
        <f t="shared" si="5"/>
        <v>5.5914750379579132</v>
      </c>
      <c r="J45" s="14">
        <f t="shared" si="17"/>
        <v>7.3082651885158176</v>
      </c>
      <c r="K45" s="13">
        <f t="shared" si="7"/>
        <v>-0.87603148159081301</v>
      </c>
      <c r="L45" s="10">
        <f t="shared" si="8"/>
        <v>-0.57305607544650694</v>
      </c>
      <c r="M45" s="10">
        <f t="shared" si="9"/>
        <v>-0.27008066930220087</v>
      </c>
      <c r="N45" s="10">
        <f t="shared" si="10"/>
        <v>3.2894736842105261E-2</v>
      </c>
      <c r="O45" s="10">
        <f t="shared" si="11"/>
        <v>0.33587014298641138</v>
      </c>
      <c r="P45" s="10">
        <f t="shared" si="12"/>
        <v>0.63884554913071756</v>
      </c>
      <c r="Q45" s="14">
        <f t="shared" si="13"/>
        <v>0.94182095527502363</v>
      </c>
    </row>
    <row r="46" spans="1:17" x14ac:dyDescent="0.25">
      <c r="A46" s="4">
        <v>45931</v>
      </c>
      <c r="B46" s="5">
        <f>IF('Catalogo de Variaveis'!Q51="","",SUM('Catalogo de Variaveis'!Q48:Q51))</f>
        <v>5</v>
      </c>
      <c r="C46" s="15">
        <f>IFERROR(IF($B46="","",AVERAGE('Catalogo de Variaveis'!Q51-'Catalogo de Variaveis'!Q50,'Catalogo de Variaveis'!Q50-'Catalogo de Variaveis'!Q49,'Catalogo de Variaveis'!Q49-'Catalogo de Variaveis'!Q48,'Catalogo de Variaveis'!Q48-'Catalogo de Variaveis'!Q47)),0)</f>
        <v>0.5</v>
      </c>
      <c r="D46" s="13">
        <f t="shared" si="0"/>
        <v>-2.992475714831607</v>
      </c>
      <c r="E46" s="10">
        <f t="shared" si="14"/>
        <v>-1.2756855642737031</v>
      </c>
      <c r="F46" s="10">
        <f t="shared" si="15"/>
        <v>0.44110458628420113</v>
      </c>
      <c r="G46" s="10">
        <f t="shared" si="3"/>
        <v>2.1578947368421053</v>
      </c>
      <c r="H46" s="10">
        <f t="shared" si="16"/>
        <v>3.8746848874000097</v>
      </c>
      <c r="I46" s="10">
        <f t="shared" si="5"/>
        <v>5.5914750379579132</v>
      </c>
      <c r="J46" s="14">
        <f t="shared" si="17"/>
        <v>7.3082651885158176</v>
      </c>
      <c r="K46" s="13">
        <f t="shared" si="7"/>
        <v>-0.87603148159081301</v>
      </c>
      <c r="L46" s="10">
        <f t="shared" si="8"/>
        <v>-0.57305607544650694</v>
      </c>
      <c r="M46" s="10">
        <f t="shared" si="9"/>
        <v>-0.27008066930220087</v>
      </c>
      <c r="N46" s="10">
        <f t="shared" si="10"/>
        <v>3.2894736842105261E-2</v>
      </c>
      <c r="O46" s="10">
        <f t="shared" si="11"/>
        <v>0.33587014298641138</v>
      </c>
      <c r="P46" s="10">
        <f t="shared" si="12"/>
        <v>0.63884554913071756</v>
      </c>
      <c r="Q46" s="14">
        <f t="shared" si="13"/>
        <v>0.94182095527502363</v>
      </c>
    </row>
    <row r="47" spans="1:17" x14ac:dyDescent="0.25">
      <c r="A47" s="4">
        <v>45962</v>
      </c>
      <c r="B47" s="5" t="str">
        <f>IF('Catalogo de Variaveis'!Q52="","",SUM('Catalogo de Variaveis'!Q49:Q52))</f>
        <v/>
      </c>
      <c r="C47" s="15" t="str">
        <f>IFERROR(IF($B47="","",AVERAGE('Catalogo de Variaveis'!Q52-'Catalogo de Variaveis'!Q51,'Catalogo de Variaveis'!Q51-'Catalogo de Variaveis'!Q50,'Catalogo de Variaveis'!Q50-'Catalogo de Variaveis'!Q49,'Catalogo de Variaveis'!Q49-'Catalogo de Variaveis'!Q48)),0)</f>
        <v/>
      </c>
      <c r="D47" s="13" t="str">
        <f t="shared" si="0"/>
        <v/>
      </c>
      <c r="E47" s="10" t="str">
        <f t="shared" si="14"/>
        <v/>
      </c>
      <c r="F47" s="10" t="str">
        <f t="shared" si="15"/>
        <v/>
      </c>
      <c r="G47" s="10" t="str">
        <f t="shared" si="3"/>
        <v/>
      </c>
      <c r="H47" s="10" t="str">
        <f t="shared" si="16"/>
        <v/>
      </c>
      <c r="I47" s="10" t="str">
        <f t="shared" si="5"/>
        <v/>
      </c>
      <c r="J47" s="14" t="str">
        <f t="shared" si="17"/>
        <v/>
      </c>
      <c r="K47" s="13" t="str">
        <f t="shared" si="7"/>
        <v/>
      </c>
      <c r="L47" s="10" t="str">
        <f t="shared" si="8"/>
        <v/>
      </c>
      <c r="M47" s="10" t="str">
        <f t="shared" si="9"/>
        <v/>
      </c>
      <c r="N47" s="10" t="str">
        <f t="shared" si="10"/>
        <v/>
      </c>
      <c r="O47" s="10" t="str">
        <f t="shared" si="11"/>
        <v/>
      </c>
      <c r="P47" s="10" t="str">
        <f t="shared" si="12"/>
        <v/>
      </c>
      <c r="Q47" s="14" t="str">
        <f t="shared" si="13"/>
        <v/>
      </c>
    </row>
    <row r="48" spans="1:17" x14ac:dyDescent="0.25">
      <c r="A48" s="4">
        <v>45992</v>
      </c>
      <c r="B48" s="5" t="str">
        <f>IF('Catalogo de Variaveis'!Q53="","",SUM('Catalogo de Variaveis'!Q50:Q53))</f>
        <v/>
      </c>
      <c r="C48" s="15" t="str">
        <f>IFERROR(IF($B48="","",AVERAGE('Catalogo de Variaveis'!Q53-'Catalogo de Variaveis'!Q52,'Catalogo de Variaveis'!Q52-'Catalogo de Variaveis'!Q51,'Catalogo de Variaveis'!Q51-'Catalogo de Variaveis'!Q50,'Catalogo de Variaveis'!Q50-'Catalogo de Variaveis'!Q49)),0)</f>
        <v/>
      </c>
      <c r="D48" s="13" t="str">
        <f t="shared" si="0"/>
        <v/>
      </c>
      <c r="E48" s="10" t="str">
        <f t="shared" si="14"/>
        <v/>
      </c>
      <c r="F48" s="10" t="str">
        <f t="shared" si="15"/>
        <v/>
      </c>
      <c r="G48" s="10" t="str">
        <f t="shared" si="3"/>
        <v/>
      </c>
      <c r="H48" s="10" t="str">
        <f t="shared" si="16"/>
        <v/>
      </c>
      <c r="I48" s="10" t="str">
        <f t="shared" si="5"/>
        <v/>
      </c>
      <c r="J48" s="14" t="str">
        <f t="shared" si="17"/>
        <v/>
      </c>
      <c r="K48" s="13" t="str">
        <f t="shared" si="7"/>
        <v/>
      </c>
      <c r="L48" s="10" t="str">
        <f t="shared" si="8"/>
        <v/>
      </c>
      <c r="M48" s="10" t="str">
        <f t="shared" si="9"/>
        <v/>
      </c>
      <c r="N48" s="10" t="str">
        <f t="shared" si="10"/>
        <v/>
      </c>
      <c r="O48" s="10" t="str">
        <f t="shared" si="11"/>
        <v/>
      </c>
      <c r="P48" s="10" t="str">
        <f t="shared" si="12"/>
        <v/>
      </c>
      <c r="Q48" s="14" t="str">
        <f t="shared" si="13"/>
        <v/>
      </c>
    </row>
    <row r="49" spans="1:17" x14ac:dyDescent="0.25">
      <c r="A49" s="4">
        <v>46023</v>
      </c>
      <c r="B49" s="5" t="str">
        <f>IF('Catalogo de Variaveis'!Q54="","",SUM('Catalogo de Variaveis'!Q51:Q54))</f>
        <v/>
      </c>
      <c r="C49" s="15" t="str">
        <f>IFERROR(IF($B49="","",AVERAGE('Catalogo de Variaveis'!Q54-'Catalogo de Variaveis'!Q53,'Catalogo de Variaveis'!Q53-'Catalogo de Variaveis'!Q52,'Catalogo de Variaveis'!Q52-'Catalogo de Variaveis'!Q51,'Catalogo de Variaveis'!Q51-'Catalogo de Variaveis'!Q50)),0)</f>
        <v/>
      </c>
      <c r="D49" s="13" t="str">
        <f t="shared" si="0"/>
        <v/>
      </c>
      <c r="E49" s="10" t="str">
        <f t="shared" si="14"/>
        <v/>
      </c>
      <c r="F49" s="10" t="str">
        <f t="shared" si="15"/>
        <v/>
      </c>
      <c r="G49" s="10" t="str">
        <f t="shared" si="3"/>
        <v/>
      </c>
      <c r="H49" s="10" t="str">
        <f t="shared" si="16"/>
        <v/>
      </c>
      <c r="I49" s="10" t="str">
        <f t="shared" si="5"/>
        <v/>
      </c>
      <c r="J49" s="14" t="str">
        <f t="shared" si="17"/>
        <v/>
      </c>
      <c r="K49" s="13" t="str">
        <f t="shared" si="7"/>
        <v/>
      </c>
      <c r="L49" s="10" t="str">
        <f t="shared" si="8"/>
        <v/>
      </c>
      <c r="M49" s="10" t="str">
        <f t="shared" si="9"/>
        <v/>
      </c>
      <c r="N49" s="10" t="str">
        <f t="shared" si="10"/>
        <v/>
      </c>
      <c r="O49" s="10" t="str">
        <f t="shared" si="11"/>
        <v/>
      </c>
      <c r="P49" s="10" t="str">
        <f t="shared" si="12"/>
        <v/>
      </c>
      <c r="Q49" s="14" t="str">
        <f t="shared" si="13"/>
        <v/>
      </c>
    </row>
    <row r="50" spans="1:17" x14ac:dyDescent="0.25">
      <c r="A50" s="4">
        <v>46054</v>
      </c>
      <c r="B50" s="5" t="str">
        <f>IF('Catalogo de Variaveis'!Q55="","",SUM('Catalogo de Variaveis'!Q52:Q55))</f>
        <v/>
      </c>
      <c r="C50" s="15" t="str">
        <f>IFERROR(IF($B50="","",AVERAGE('Catalogo de Variaveis'!Q55-'Catalogo de Variaveis'!Q54,'Catalogo de Variaveis'!Q54-'Catalogo de Variaveis'!Q53,'Catalogo de Variaveis'!Q53-'Catalogo de Variaveis'!Q52,'Catalogo de Variaveis'!Q52-'Catalogo de Variaveis'!Q51)),0)</f>
        <v/>
      </c>
      <c r="D50" s="13" t="str">
        <f t="shared" si="0"/>
        <v/>
      </c>
      <c r="E50" s="10" t="str">
        <f t="shared" si="14"/>
        <v/>
      </c>
      <c r="F50" s="10" t="str">
        <f t="shared" si="15"/>
        <v/>
      </c>
      <c r="G50" s="10" t="str">
        <f t="shared" si="3"/>
        <v/>
      </c>
      <c r="H50" s="10" t="str">
        <f t="shared" si="16"/>
        <v/>
      </c>
      <c r="I50" s="10" t="str">
        <f t="shared" si="5"/>
        <v/>
      </c>
      <c r="J50" s="14" t="str">
        <f t="shared" si="17"/>
        <v/>
      </c>
      <c r="K50" s="13" t="str">
        <f t="shared" si="7"/>
        <v/>
      </c>
      <c r="L50" s="10" t="str">
        <f t="shared" si="8"/>
        <v/>
      </c>
      <c r="M50" s="10" t="str">
        <f t="shared" si="9"/>
        <v/>
      </c>
      <c r="N50" s="10" t="str">
        <f t="shared" si="10"/>
        <v/>
      </c>
      <c r="O50" s="10" t="str">
        <f t="shared" si="11"/>
        <v/>
      </c>
      <c r="P50" s="10" t="str">
        <f t="shared" si="12"/>
        <v/>
      </c>
      <c r="Q50" s="14" t="str">
        <f t="shared" si="13"/>
        <v/>
      </c>
    </row>
    <row r="51" spans="1:17" x14ac:dyDescent="0.25">
      <c r="A51" s="4">
        <v>46082</v>
      </c>
      <c r="B51" s="5" t="str">
        <f>IF('Catalogo de Variaveis'!Q56="","",SUM('Catalogo de Variaveis'!Q53:Q56))</f>
        <v/>
      </c>
      <c r="C51" s="15" t="str">
        <f>IFERROR(IF($B51="","",AVERAGE('Catalogo de Variaveis'!Q56-'Catalogo de Variaveis'!Q55,'Catalogo de Variaveis'!Q55-'Catalogo de Variaveis'!Q54,'Catalogo de Variaveis'!Q54-'Catalogo de Variaveis'!Q53,'Catalogo de Variaveis'!Q53-'Catalogo de Variaveis'!Q52)),0)</f>
        <v/>
      </c>
      <c r="D51" s="13" t="str">
        <f t="shared" si="0"/>
        <v/>
      </c>
      <c r="E51" s="10" t="str">
        <f t="shared" si="14"/>
        <v/>
      </c>
      <c r="F51" s="10" t="str">
        <f t="shared" si="15"/>
        <v/>
      </c>
      <c r="G51" s="10" t="str">
        <f t="shared" si="3"/>
        <v/>
      </c>
      <c r="H51" s="10" t="str">
        <f t="shared" si="16"/>
        <v/>
      </c>
      <c r="I51" s="10" t="str">
        <f t="shared" si="5"/>
        <v/>
      </c>
      <c r="J51" s="14" t="str">
        <f t="shared" si="17"/>
        <v/>
      </c>
      <c r="K51" s="13" t="str">
        <f t="shared" si="7"/>
        <v/>
      </c>
      <c r="L51" s="10" t="str">
        <f t="shared" si="8"/>
        <v/>
      </c>
      <c r="M51" s="10" t="str">
        <f t="shared" si="9"/>
        <v/>
      </c>
      <c r="N51" s="10" t="str">
        <f t="shared" si="10"/>
        <v/>
      </c>
      <c r="O51" s="10" t="str">
        <f t="shared" si="11"/>
        <v/>
      </c>
      <c r="P51" s="10" t="str">
        <f t="shared" si="12"/>
        <v/>
      </c>
      <c r="Q51" s="14" t="str">
        <f t="shared" si="13"/>
        <v/>
      </c>
    </row>
    <row r="52" spans="1:17" x14ac:dyDescent="0.25">
      <c r="A52" s="4">
        <v>46113</v>
      </c>
      <c r="B52" s="5" t="str">
        <f>IF('Catalogo de Variaveis'!Q57="","",SUM('Catalogo de Variaveis'!Q54:Q57))</f>
        <v/>
      </c>
      <c r="C52" s="15" t="str">
        <f>IFERROR(IF($B52="","",AVERAGE('Catalogo de Variaveis'!Q57-'Catalogo de Variaveis'!Q56,'Catalogo de Variaveis'!Q56-'Catalogo de Variaveis'!Q55,'Catalogo de Variaveis'!Q55-'Catalogo de Variaveis'!Q54,'Catalogo de Variaveis'!Q54-'Catalogo de Variaveis'!Q53)),0)</f>
        <v/>
      </c>
      <c r="D52" s="13" t="str">
        <f t="shared" si="0"/>
        <v/>
      </c>
      <c r="E52" s="10" t="str">
        <f t="shared" si="14"/>
        <v/>
      </c>
      <c r="F52" s="10" t="str">
        <f t="shared" si="15"/>
        <v/>
      </c>
      <c r="G52" s="10" t="str">
        <f t="shared" si="3"/>
        <v/>
      </c>
      <c r="H52" s="10" t="str">
        <f t="shared" si="16"/>
        <v/>
      </c>
      <c r="I52" s="10" t="str">
        <f t="shared" si="5"/>
        <v/>
      </c>
      <c r="J52" s="14" t="str">
        <f t="shared" si="17"/>
        <v/>
      </c>
      <c r="K52" s="13" t="str">
        <f t="shared" si="7"/>
        <v/>
      </c>
      <c r="L52" s="10" t="str">
        <f t="shared" si="8"/>
        <v/>
      </c>
      <c r="M52" s="10" t="str">
        <f t="shared" si="9"/>
        <v/>
      </c>
      <c r="N52" s="10" t="str">
        <f t="shared" si="10"/>
        <v/>
      </c>
      <c r="O52" s="10" t="str">
        <f t="shared" si="11"/>
        <v/>
      </c>
      <c r="P52" s="10" t="str">
        <f t="shared" si="12"/>
        <v/>
      </c>
      <c r="Q52" s="14" t="str">
        <f t="shared" si="13"/>
        <v/>
      </c>
    </row>
    <row r="53" spans="1:17" x14ac:dyDescent="0.25">
      <c r="A53" s="4">
        <v>46143</v>
      </c>
      <c r="B53" s="5" t="str">
        <f>IF('Catalogo de Variaveis'!Q58="","",SUM('Catalogo de Variaveis'!Q55:Q58))</f>
        <v/>
      </c>
      <c r="C53" s="15" t="str">
        <f>IFERROR(IF($B53="","",AVERAGE('Catalogo de Variaveis'!Q58-'Catalogo de Variaveis'!Q57,'Catalogo de Variaveis'!Q57-'Catalogo de Variaveis'!Q56,'Catalogo de Variaveis'!Q56-'Catalogo de Variaveis'!Q55,'Catalogo de Variaveis'!Q55-'Catalogo de Variaveis'!Q54)),0)</f>
        <v/>
      </c>
      <c r="D53" s="13" t="str">
        <f t="shared" si="0"/>
        <v/>
      </c>
      <c r="E53" s="10" t="str">
        <f t="shared" si="14"/>
        <v/>
      </c>
      <c r="F53" s="10" t="str">
        <f t="shared" si="15"/>
        <v/>
      </c>
      <c r="G53" s="10" t="str">
        <f t="shared" si="3"/>
        <v/>
      </c>
      <c r="H53" s="10" t="str">
        <f t="shared" si="16"/>
        <v/>
      </c>
      <c r="I53" s="10" t="str">
        <f t="shared" si="5"/>
        <v/>
      </c>
      <c r="J53" s="14" t="str">
        <f t="shared" si="17"/>
        <v/>
      </c>
      <c r="K53" s="13" t="str">
        <f t="shared" si="7"/>
        <v/>
      </c>
      <c r="L53" s="10" t="str">
        <f t="shared" si="8"/>
        <v/>
      </c>
      <c r="M53" s="10" t="str">
        <f t="shared" si="9"/>
        <v/>
      </c>
      <c r="N53" s="10" t="str">
        <f t="shared" si="10"/>
        <v/>
      </c>
      <c r="O53" s="10" t="str">
        <f t="shared" si="11"/>
        <v/>
      </c>
      <c r="P53" s="10" t="str">
        <f t="shared" si="12"/>
        <v/>
      </c>
      <c r="Q53" s="14" t="str">
        <f t="shared" si="13"/>
        <v/>
      </c>
    </row>
    <row r="54" spans="1:17" x14ac:dyDescent="0.25">
      <c r="A54" s="4">
        <v>46174</v>
      </c>
      <c r="B54" s="5" t="str">
        <f>IF('Catalogo de Variaveis'!Q59="","",SUM('Catalogo de Variaveis'!Q56:Q59))</f>
        <v/>
      </c>
      <c r="C54" s="15" t="str">
        <f>IFERROR(IF($B54="","",AVERAGE('Catalogo de Variaveis'!Q59-'Catalogo de Variaveis'!Q58,'Catalogo de Variaveis'!Q58-'Catalogo de Variaveis'!Q57,'Catalogo de Variaveis'!Q57-'Catalogo de Variaveis'!Q56,'Catalogo de Variaveis'!Q56-'Catalogo de Variaveis'!Q55)),0)</f>
        <v/>
      </c>
      <c r="D54" s="13" t="str">
        <f t="shared" si="0"/>
        <v/>
      </c>
      <c r="E54" s="10" t="str">
        <f t="shared" si="14"/>
        <v/>
      </c>
      <c r="F54" s="10" t="str">
        <f t="shared" si="15"/>
        <v/>
      </c>
      <c r="G54" s="10" t="str">
        <f t="shared" si="3"/>
        <v/>
      </c>
      <c r="H54" s="10" t="str">
        <f t="shared" si="16"/>
        <v/>
      </c>
      <c r="I54" s="10" t="str">
        <f t="shared" si="5"/>
        <v/>
      </c>
      <c r="J54" s="14" t="str">
        <f t="shared" si="17"/>
        <v/>
      </c>
      <c r="K54" s="13" t="str">
        <f t="shared" si="7"/>
        <v/>
      </c>
      <c r="L54" s="10" t="str">
        <f t="shared" si="8"/>
        <v/>
      </c>
      <c r="M54" s="10" t="str">
        <f t="shared" si="9"/>
        <v/>
      </c>
      <c r="N54" s="10" t="str">
        <f t="shared" si="10"/>
        <v/>
      </c>
      <c r="O54" s="10" t="str">
        <f t="shared" si="11"/>
        <v/>
      </c>
      <c r="P54" s="10" t="str">
        <f t="shared" si="12"/>
        <v/>
      </c>
      <c r="Q54" s="14" t="str">
        <f t="shared" si="13"/>
        <v/>
      </c>
    </row>
    <row r="55" spans="1:17" x14ac:dyDescent="0.25">
      <c r="A55" s="4">
        <v>46204</v>
      </c>
      <c r="B55" s="5" t="str">
        <f>IF('Catalogo de Variaveis'!Q60="","",SUM('Catalogo de Variaveis'!Q57:Q60))</f>
        <v/>
      </c>
      <c r="C55" s="15" t="str">
        <f>IFERROR(IF($B55="","",AVERAGE('Catalogo de Variaveis'!Q60-'Catalogo de Variaveis'!Q59,'Catalogo de Variaveis'!Q59-'Catalogo de Variaveis'!Q58,'Catalogo de Variaveis'!Q58-'Catalogo de Variaveis'!Q57,'Catalogo de Variaveis'!Q57-'Catalogo de Variaveis'!Q56)),0)</f>
        <v/>
      </c>
      <c r="D55" s="13" t="str">
        <f t="shared" si="0"/>
        <v/>
      </c>
      <c r="E55" s="10" t="str">
        <f t="shared" si="14"/>
        <v/>
      </c>
      <c r="F55" s="10" t="str">
        <f t="shared" si="15"/>
        <v/>
      </c>
      <c r="G55" s="10" t="str">
        <f t="shared" si="3"/>
        <v/>
      </c>
      <c r="H55" s="10" t="str">
        <f t="shared" si="16"/>
        <v/>
      </c>
      <c r="I55" s="10" t="str">
        <f t="shared" si="5"/>
        <v/>
      </c>
      <c r="J55" s="14" t="str">
        <f t="shared" si="17"/>
        <v/>
      </c>
      <c r="K55" s="13" t="str">
        <f t="shared" si="7"/>
        <v/>
      </c>
      <c r="L55" s="10" t="str">
        <f t="shared" si="8"/>
        <v/>
      </c>
      <c r="M55" s="10" t="str">
        <f t="shared" si="9"/>
        <v/>
      </c>
      <c r="N55" s="10" t="str">
        <f t="shared" si="10"/>
        <v/>
      </c>
      <c r="O55" s="10" t="str">
        <f t="shared" si="11"/>
        <v/>
      </c>
      <c r="P55" s="10" t="str">
        <f t="shared" si="12"/>
        <v/>
      </c>
      <c r="Q55" s="14" t="str">
        <f t="shared" si="13"/>
        <v/>
      </c>
    </row>
    <row r="56" spans="1:17" x14ac:dyDescent="0.25">
      <c r="A56" s="4">
        <v>46235</v>
      </c>
      <c r="B56" s="5" t="str">
        <f>IF('Catalogo de Variaveis'!Q61="","",SUM('Catalogo de Variaveis'!Q58:Q61))</f>
        <v/>
      </c>
      <c r="C56" s="15" t="str">
        <f>IFERROR(IF($B56="","",AVERAGE('Catalogo de Variaveis'!Q61-'Catalogo de Variaveis'!Q60,'Catalogo de Variaveis'!Q60-'Catalogo de Variaveis'!Q59,'Catalogo de Variaveis'!Q59-'Catalogo de Variaveis'!Q58,'Catalogo de Variaveis'!Q58-'Catalogo de Variaveis'!Q57)),0)</f>
        <v/>
      </c>
      <c r="D56" s="13" t="str">
        <f t="shared" si="0"/>
        <v/>
      </c>
      <c r="E56" s="10" t="str">
        <f t="shared" si="14"/>
        <v/>
      </c>
      <c r="F56" s="10" t="str">
        <f t="shared" si="15"/>
        <v/>
      </c>
      <c r="G56" s="10" t="str">
        <f t="shared" si="3"/>
        <v/>
      </c>
      <c r="H56" s="10" t="str">
        <f t="shared" si="16"/>
        <v/>
      </c>
      <c r="I56" s="10" t="str">
        <f t="shared" si="5"/>
        <v/>
      </c>
      <c r="J56" s="14" t="str">
        <f t="shared" si="17"/>
        <v/>
      </c>
      <c r="K56" s="13" t="str">
        <f t="shared" si="7"/>
        <v/>
      </c>
      <c r="L56" s="10" t="str">
        <f t="shared" si="8"/>
        <v/>
      </c>
      <c r="M56" s="10" t="str">
        <f t="shared" si="9"/>
        <v/>
      </c>
      <c r="N56" s="10" t="str">
        <f t="shared" si="10"/>
        <v/>
      </c>
      <c r="O56" s="10" t="str">
        <f t="shared" si="11"/>
        <v/>
      </c>
      <c r="P56" s="10" t="str">
        <f t="shared" si="12"/>
        <v/>
      </c>
      <c r="Q56" s="14" t="str">
        <f t="shared" si="13"/>
        <v/>
      </c>
    </row>
    <row r="57" spans="1:17" x14ac:dyDescent="0.25">
      <c r="A57" s="4">
        <v>46266</v>
      </c>
      <c r="B57" s="5" t="str">
        <f>IF('Catalogo de Variaveis'!Q62="","",SUM('Catalogo de Variaveis'!Q59:Q62))</f>
        <v/>
      </c>
      <c r="C57" s="15" t="str">
        <f>IFERROR(IF($B57="","",AVERAGE('Catalogo de Variaveis'!Q62-'Catalogo de Variaveis'!Q61,'Catalogo de Variaveis'!Q61-'Catalogo de Variaveis'!Q60,'Catalogo de Variaveis'!Q60-'Catalogo de Variaveis'!Q59,'Catalogo de Variaveis'!Q59-'Catalogo de Variaveis'!Q58)),0)</f>
        <v/>
      </c>
      <c r="D57" s="13" t="str">
        <f t="shared" si="0"/>
        <v/>
      </c>
      <c r="E57" s="10" t="str">
        <f t="shared" si="14"/>
        <v/>
      </c>
      <c r="F57" s="10" t="str">
        <f t="shared" si="15"/>
        <v/>
      </c>
      <c r="G57" s="10" t="str">
        <f t="shared" si="3"/>
        <v/>
      </c>
      <c r="H57" s="10" t="str">
        <f t="shared" si="16"/>
        <v/>
      </c>
      <c r="I57" s="10" t="str">
        <f t="shared" si="5"/>
        <v/>
      </c>
      <c r="J57" s="14" t="str">
        <f t="shared" si="17"/>
        <v/>
      </c>
      <c r="K57" s="13" t="str">
        <f t="shared" si="7"/>
        <v/>
      </c>
      <c r="L57" s="10" t="str">
        <f t="shared" si="8"/>
        <v/>
      </c>
      <c r="M57" s="10" t="str">
        <f t="shared" si="9"/>
        <v/>
      </c>
      <c r="N57" s="10" t="str">
        <f t="shared" si="10"/>
        <v/>
      </c>
      <c r="O57" s="10" t="str">
        <f t="shared" si="11"/>
        <v/>
      </c>
      <c r="P57" s="10" t="str">
        <f t="shared" si="12"/>
        <v/>
      </c>
      <c r="Q57" s="14" t="str">
        <f t="shared" si="13"/>
        <v/>
      </c>
    </row>
    <row r="58" spans="1:17" x14ac:dyDescent="0.25">
      <c r="A58" s="4">
        <v>46296</v>
      </c>
      <c r="B58" s="5" t="str">
        <f>IF('Catalogo de Variaveis'!Q63="","",SUM('Catalogo de Variaveis'!Q60:Q63))</f>
        <v/>
      </c>
      <c r="C58" s="15" t="str">
        <f>IFERROR(IF($B58="","",AVERAGE('Catalogo de Variaveis'!Q63-'Catalogo de Variaveis'!Q62,'Catalogo de Variaveis'!Q62-'Catalogo de Variaveis'!Q61,'Catalogo de Variaveis'!Q61-'Catalogo de Variaveis'!Q60,'Catalogo de Variaveis'!Q60-'Catalogo de Variaveis'!Q59)),0)</f>
        <v/>
      </c>
      <c r="D58" s="13" t="str">
        <f t="shared" si="0"/>
        <v/>
      </c>
      <c r="E58" s="10" t="str">
        <f t="shared" si="14"/>
        <v/>
      </c>
      <c r="F58" s="10" t="str">
        <f t="shared" si="15"/>
        <v/>
      </c>
      <c r="G58" s="10" t="str">
        <f t="shared" si="3"/>
        <v/>
      </c>
      <c r="H58" s="10" t="str">
        <f t="shared" si="16"/>
        <v/>
      </c>
      <c r="I58" s="10" t="str">
        <f t="shared" si="5"/>
        <v/>
      </c>
      <c r="J58" s="14" t="str">
        <f t="shared" si="17"/>
        <v/>
      </c>
      <c r="K58" s="13" t="str">
        <f t="shared" si="7"/>
        <v/>
      </c>
      <c r="L58" s="10" t="str">
        <f t="shared" si="8"/>
        <v/>
      </c>
      <c r="M58" s="10" t="str">
        <f t="shared" si="9"/>
        <v/>
      </c>
      <c r="N58" s="10" t="str">
        <f t="shared" si="10"/>
        <v/>
      </c>
      <c r="O58" s="10" t="str">
        <f t="shared" si="11"/>
        <v/>
      </c>
      <c r="P58" s="10" t="str">
        <f t="shared" si="12"/>
        <v/>
      </c>
      <c r="Q58" s="14" t="str">
        <f t="shared" si="13"/>
        <v/>
      </c>
    </row>
    <row r="59" spans="1:17" x14ac:dyDescent="0.25">
      <c r="A59" s="4">
        <v>46327</v>
      </c>
      <c r="B59" s="5" t="str">
        <f>IF('Catalogo de Variaveis'!Q64="","",SUM('Catalogo de Variaveis'!Q61:Q64))</f>
        <v/>
      </c>
      <c r="C59" s="15" t="str">
        <f>IFERROR(IF($B59="","",AVERAGE('Catalogo de Variaveis'!Q64-'Catalogo de Variaveis'!Q63,'Catalogo de Variaveis'!Q63-'Catalogo de Variaveis'!Q62,'Catalogo de Variaveis'!Q62-'Catalogo de Variaveis'!Q61,'Catalogo de Variaveis'!Q61-'Catalogo de Variaveis'!Q60)),0)</f>
        <v/>
      </c>
      <c r="D59" s="13" t="str">
        <f t="shared" si="0"/>
        <v/>
      </c>
      <c r="E59" s="10" t="str">
        <f t="shared" si="14"/>
        <v/>
      </c>
      <c r="F59" s="10" t="str">
        <f t="shared" si="15"/>
        <v/>
      </c>
      <c r="G59" s="10" t="str">
        <f t="shared" si="3"/>
        <v/>
      </c>
      <c r="H59" s="10" t="str">
        <f t="shared" si="16"/>
        <v/>
      </c>
      <c r="I59" s="10" t="str">
        <f t="shared" si="5"/>
        <v/>
      </c>
      <c r="J59" s="14" t="str">
        <f t="shared" si="17"/>
        <v/>
      </c>
      <c r="K59" s="13" t="str">
        <f t="shared" si="7"/>
        <v/>
      </c>
      <c r="L59" s="10" t="str">
        <f t="shared" si="8"/>
        <v/>
      </c>
      <c r="M59" s="10" t="str">
        <f t="shared" si="9"/>
        <v/>
      </c>
      <c r="N59" s="10" t="str">
        <f t="shared" si="10"/>
        <v/>
      </c>
      <c r="O59" s="10" t="str">
        <f t="shared" si="11"/>
        <v/>
      </c>
      <c r="P59" s="10" t="str">
        <f t="shared" si="12"/>
        <v/>
      </c>
      <c r="Q59" s="14" t="str">
        <f t="shared" si="13"/>
        <v/>
      </c>
    </row>
    <row r="60" spans="1:17" x14ac:dyDescent="0.25">
      <c r="A60" s="4">
        <v>46357</v>
      </c>
      <c r="B60" s="5" t="str">
        <f>IF('Catalogo de Variaveis'!Q65="","",SUM('Catalogo de Variaveis'!Q62:Q65))</f>
        <v/>
      </c>
      <c r="C60" s="15" t="str">
        <f>IFERROR(IF($B60="","",AVERAGE('Catalogo de Variaveis'!Q65-'Catalogo de Variaveis'!Q64,'Catalogo de Variaveis'!Q64-'Catalogo de Variaveis'!Q63,'Catalogo de Variaveis'!Q63-'Catalogo de Variaveis'!Q62,'Catalogo de Variaveis'!Q62-'Catalogo de Variaveis'!Q61)),0)</f>
        <v/>
      </c>
      <c r="D60" s="13" t="str">
        <f>IF($B60="","",IF(OR($J$1="",$J$2=""),$B$1-3*$B$2,$J$1-3*$J$2))</f>
        <v/>
      </c>
      <c r="E60" s="10" t="str">
        <f t="shared" si="14"/>
        <v/>
      </c>
      <c r="F60" s="10" t="str">
        <f t="shared" si="15"/>
        <v/>
      </c>
      <c r="G60" s="10" t="str">
        <f>IF($B60="","",IF(OR($J$1="",$J$2=""),$B$1,$J$1))</f>
        <v/>
      </c>
      <c r="H60" s="10" t="str">
        <f t="shared" si="16"/>
        <v/>
      </c>
      <c r="I60" s="10" t="str">
        <f>IF($B60="","",IF(OR($J$1="",$J$2=""),$B$1+2*$B$2,$J$1+2*$J$2))</f>
        <v/>
      </c>
      <c r="J60" s="14" t="str">
        <f t="shared" si="17"/>
        <v/>
      </c>
      <c r="K60" s="13" t="str">
        <f t="shared" si="7"/>
        <v/>
      </c>
      <c r="L60" s="10" t="str">
        <f t="shared" si="8"/>
        <v/>
      </c>
      <c r="M60" s="10" t="str">
        <f t="shared" si="9"/>
        <v/>
      </c>
      <c r="N60" s="10" t="str">
        <f t="shared" si="10"/>
        <v/>
      </c>
      <c r="O60" s="10" t="str">
        <f t="shared" si="11"/>
        <v/>
      </c>
      <c r="P60" s="10" t="str">
        <f t="shared" si="12"/>
        <v/>
      </c>
      <c r="Q60" s="14" t="str">
        <f t="shared" si="13"/>
        <v/>
      </c>
    </row>
    <row r="61" spans="1:17" x14ac:dyDescent="0.25">
      <c r="A61" s="4">
        <v>46388</v>
      </c>
      <c r="B61" s="5" t="str">
        <f>IF('Catalogo de Variaveis'!Q66="","",SUM('Catalogo de Variaveis'!Q63:Q66))</f>
        <v/>
      </c>
      <c r="C61" s="15" t="str">
        <f>IFERROR(IF($B61="","",AVERAGE('Catalogo de Variaveis'!Q66-'Catalogo de Variaveis'!Q65,'Catalogo de Variaveis'!Q65-'Catalogo de Variaveis'!Q64,'Catalogo de Variaveis'!Q64-'Catalogo de Variaveis'!Q63,'Catalogo de Variaveis'!Q63-'Catalogo de Variaveis'!Q62)),0)</f>
        <v/>
      </c>
      <c r="D61" s="13" t="str">
        <f t="shared" ref="D61:D96" si="18">IF($B61="","",IF(OR($J$1="",$J$2=""),$B$1-3*$B$2,$J$1-3*$J$2))</f>
        <v/>
      </c>
      <c r="E61" s="10" t="str">
        <f t="shared" si="14"/>
        <v/>
      </c>
      <c r="F61" s="10" t="str">
        <f t="shared" si="15"/>
        <v/>
      </c>
      <c r="G61" s="10" t="str">
        <f t="shared" ref="G61:G96" si="19">IF($B61="","",IF(OR($J$1="",$J$2=""),$B$1,$J$1))</f>
        <v/>
      </c>
      <c r="H61" s="10" t="str">
        <f t="shared" si="16"/>
        <v/>
      </c>
      <c r="I61" s="10" t="str">
        <f t="shared" ref="I61:I96" si="20">IF($B61="","",IF(OR($J$1="",$J$2=""),$B$1+2*$B$2,$J$1+2*$J$2))</f>
        <v/>
      </c>
      <c r="J61" s="14" t="str">
        <f t="shared" si="17"/>
        <v/>
      </c>
      <c r="K61" s="13" t="str">
        <f t="shared" si="7"/>
        <v/>
      </c>
      <c r="L61" s="10" t="str">
        <f t="shared" si="8"/>
        <v/>
      </c>
      <c r="M61" s="10" t="str">
        <f t="shared" si="9"/>
        <v/>
      </c>
      <c r="N61" s="10" t="str">
        <f t="shared" si="10"/>
        <v/>
      </c>
      <c r="O61" s="10" t="str">
        <f t="shared" si="11"/>
        <v/>
      </c>
      <c r="P61" s="10" t="str">
        <f t="shared" si="12"/>
        <v/>
      </c>
      <c r="Q61" s="14" t="str">
        <f t="shared" si="13"/>
        <v/>
      </c>
    </row>
    <row r="62" spans="1:17" x14ac:dyDescent="0.25">
      <c r="A62" s="4">
        <v>46419</v>
      </c>
      <c r="B62" s="5" t="str">
        <f>IF('Catalogo de Variaveis'!Q67="","",SUM('Catalogo de Variaveis'!Q64:Q67))</f>
        <v/>
      </c>
      <c r="C62" s="15" t="str">
        <f>IFERROR(IF($B62="","",AVERAGE('Catalogo de Variaveis'!Q67-'Catalogo de Variaveis'!Q66,'Catalogo de Variaveis'!Q66-'Catalogo de Variaveis'!Q65,'Catalogo de Variaveis'!Q65-'Catalogo de Variaveis'!Q64,'Catalogo de Variaveis'!Q64-'Catalogo de Variaveis'!Q63)),0)</f>
        <v/>
      </c>
      <c r="D62" s="13" t="str">
        <f t="shared" si="18"/>
        <v/>
      </c>
      <c r="E62" s="10" t="str">
        <f t="shared" si="14"/>
        <v/>
      </c>
      <c r="F62" s="10" t="str">
        <f t="shared" si="15"/>
        <v/>
      </c>
      <c r="G62" s="10" t="str">
        <f t="shared" si="19"/>
        <v/>
      </c>
      <c r="H62" s="10" t="str">
        <f t="shared" si="16"/>
        <v/>
      </c>
      <c r="I62" s="10" t="str">
        <f t="shared" si="20"/>
        <v/>
      </c>
      <c r="J62" s="14" t="str">
        <f t="shared" si="17"/>
        <v/>
      </c>
      <c r="K62" s="13" t="str">
        <f t="shared" si="7"/>
        <v/>
      </c>
      <c r="L62" s="10" t="str">
        <f t="shared" si="8"/>
        <v/>
      </c>
      <c r="M62" s="10" t="str">
        <f t="shared" si="9"/>
        <v/>
      </c>
      <c r="N62" s="10" t="str">
        <f t="shared" si="10"/>
        <v/>
      </c>
      <c r="O62" s="10" t="str">
        <f t="shared" si="11"/>
        <v/>
      </c>
      <c r="P62" s="10" t="str">
        <f t="shared" si="12"/>
        <v/>
      </c>
      <c r="Q62" s="14" t="str">
        <f t="shared" si="13"/>
        <v/>
      </c>
    </row>
    <row r="63" spans="1:17" x14ac:dyDescent="0.25">
      <c r="A63" s="4">
        <v>46447</v>
      </c>
      <c r="B63" s="5" t="str">
        <f>IF('Catalogo de Variaveis'!Q68="","",SUM('Catalogo de Variaveis'!Q65:Q68))</f>
        <v/>
      </c>
      <c r="C63" s="15" t="str">
        <f>IFERROR(IF($B63="","",AVERAGE('Catalogo de Variaveis'!Q68-'Catalogo de Variaveis'!Q67,'Catalogo de Variaveis'!Q67-'Catalogo de Variaveis'!Q66,'Catalogo de Variaveis'!Q66-'Catalogo de Variaveis'!Q65,'Catalogo de Variaveis'!Q65-'Catalogo de Variaveis'!Q64)),0)</f>
        <v/>
      </c>
      <c r="D63" s="13" t="str">
        <f t="shared" si="18"/>
        <v/>
      </c>
      <c r="E63" s="10" t="str">
        <f t="shared" si="14"/>
        <v/>
      </c>
      <c r="F63" s="10" t="str">
        <f t="shared" si="15"/>
        <v/>
      </c>
      <c r="G63" s="10" t="str">
        <f t="shared" si="19"/>
        <v/>
      </c>
      <c r="H63" s="10" t="str">
        <f t="shared" si="16"/>
        <v/>
      </c>
      <c r="I63" s="10" t="str">
        <f t="shared" si="20"/>
        <v/>
      </c>
      <c r="J63" s="14" t="str">
        <f t="shared" si="17"/>
        <v/>
      </c>
      <c r="K63" s="13" t="str">
        <f t="shared" si="7"/>
        <v/>
      </c>
      <c r="L63" s="10" t="str">
        <f t="shared" si="8"/>
        <v/>
      </c>
      <c r="M63" s="10" t="str">
        <f t="shared" si="9"/>
        <v/>
      </c>
      <c r="N63" s="10" t="str">
        <f t="shared" si="10"/>
        <v/>
      </c>
      <c r="O63" s="10" t="str">
        <f t="shared" si="11"/>
        <v/>
      </c>
      <c r="P63" s="10" t="str">
        <f t="shared" si="12"/>
        <v/>
      </c>
      <c r="Q63" s="14" t="str">
        <f t="shared" si="13"/>
        <v/>
      </c>
    </row>
    <row r="64" spans="1:17" x14ac:dyDescent="0.25">
      <c r="A64" s="4">
        <v>46478</v>
      </c>
      <c r="B64" s="5" t="str">
        <f>IF('Catalogo de Variaveis'!Q69="","",SUM('Catalogo de Variaveis'!Q66:Q69))</f>
        <v/>
      </c>
      <c r="C64" s="15" t="str">
        <f>IFERROR(IF($B64="","",AVERAGE('Catalogo de Variaveis'!Q69-'Catalogo de Variaveis'!Q68,'Catalogo de Variaveis'!Q68-'Catalogo de Variaveis'!Q67,'Catalogo de Variaveis'!Q67-'Catalogo de Variaveis'!Q66,'Catalogo de Variaveis'!Q66-'Catalogo de Variaveis'!Q65)),0)</f>
        <v/>
      </c>
      <c r="D64" s="13" t="str">
        <f t="shared" si="18"/>
        <v/>
      </c>
      <c r="E64" s="10" t="str">
        <f t="shared" si="14"/>
        <v/>
      </c>
      <c r="F64" s="10" t="str">
        <f t="shared" si="15"/>
        <v/>
      </c>
      <c r="G64" s="10" t="str">
        <f t="shared" si="19"/>
        <v/>
      </c>
      <c r="H64" s="10" t="str">
        <f t="shared" si="16"/>
        <v/>
      </c>
      <c r="I64" s="10" t="str">
        <f t="shared" si="20"/>
        <v/>
      </c>
      <c r="J64" s="14" t="str">
        <f t="shared" si="17"/>
        <v/>
      </c>
      <c r="K64" s="13" t="str">
        <f t="shared" si="7"/>
        <v/>
      </c>
      <c r="L64" s="10" t="str">
        <f t="shared" si="8"/>
        <v/>
      </c>
      <c r="M64" s="10" t="str">
        <f t="shared" si="9"/>
        <v/>
      </c>
      <c r="N64" s="10" t="str">
        <f t="shared" si="10"/>
        <v/>
      </c>
      <c r="O64" s="10" t="str">
        <f t="shared" si="11"/>
        <v/>
      </c>
      <c r="P64" s="10" t="str">
        <f t="shared" si="12"/>
        <v/>
      </c>
      <c r="Q64" s="14" t="str">
        <f t="shared" si="13"/>
        <v/>
      </c>
    </row>
    <row r="65" spans="1:17" x14ac:dyDescent="0.25">
      <c r="A65" s="4">
        <v>46508</v>
      </c>
      <c r="B65" s="5" t="str">
        <f>IF('Catalogo de Variaveis'!Q70="","",SUM('Catalogo de Variaveis'!Q67:Q70))</f>
        <v/>
      </c>
      <c r="C65" s="15" t="str">
        <f>IFERROR(IF($B65="","",AVERAGE('Catalogo de Variaveis'!Q70-'Catalogo de Variaveis'!Q69,'Catalogo de Variaveis'!Q69-'Catalogo de Variaveis'!Q68,'Catalogo de Variaveis'!Q68-'Catalogo de Variaveis'!Q67,'Catalogo de Variaveis'!Q67-'Catalogo de Variaveis'!Q66)),0)</f>
        <v/>
      </c>
      <c r="D65" s="13" t="str">
        <f t="shared" si="18"/>
        <v/>
      </c>
      <c r="E65" s="10" t="str">
        <f t="shared" si="14"/>
        <v/>
      </c>
      <c r="F65" s="10" t="str">
        <f t="shared" si="15"/>
        <v/>
      </c>
      <c r="G65" s="10" t="str">
        <f t="shared" si="19"/>
        <v/>
      </c>
      <c r="H65" s="10" t="str">
        <f t="shared" si="16"/>
        <v/>
      </c>
      <c r="I65" s="10" t="str">
        <f t="shared" si="20"/>
        <v/>
      </c>
      <c r="J65" s="14" t="str">
        <f t="shared" si="17"/>
        <v/>
      </c>
      <c r="K65" s="13" t="str">
        <f t="shared" si="7"/>
        <v/>
      </c>
      <c r="L65" s="10" t="str">
        <f t="shared" si="8"/>
        <v/>
      </c>
      <c r="M65" s="10" t="str">
        <f t="shared" si="9"/>
        <v/>
      </c>
      <c r="N65" s="10" t="str">
        <f t="shared" si="10"/>
        <v/>
      </c>
      <c r="O65" s="10" t="str">
        <f t="shared" si="11"/>
        <v/>
      </c>
      <c r="P65" s="10" t="str">
        <f t="shared" si="12"/>
        <v/>
      </c>
      <c r="Q65" s="14" t="str">
        <f t="shared" si="13"/>
        <v/>
      </c>
    </row>
    <row r="66" spans="1:17" x14ac:dyDescent="0.25">
      <c r="A66" s="4">
        <v>46539</v>
      </c>
      <c r="B66" s="5" t="str">
        <f>IF('Catalogo de Variaveis'!Q71="","",SUM('Catalogo de Variaveis'!Q68:Q71))</f>
        <v/>
      </c>
      <c r="C66" s="15" t="str">
        <f>IFERROR(IF($B66="","",AVERAGE('Catalogo de Variaveis'!Q71-'Catalogo de Variaveis'!Q70,'Catalogo de Variaveis'!Q70-'Catalogo de Variaveis'!Q69,'Catalogo de Variaveis'!Q69-'Catalogo de Variaveis'!Q68,'Catalogo de Variaveis'!Q68-'Catalogo de Variaveis'!Q67)),0)</f>
        <v/>
      </c>
      <c r="D66" s="13" t="str">
        <f t="shared" si="18"/>
        <v/>
      </c>
      <c r="E66" s="10" t="str">
        <f t="shared" si="14"/>
        <v/>
      </c>
      <c r="F66" s="10" t="str">
        <f t="shared" si="15"/>
        <v/>
      </c>
      <c r="G66" s="10" t="str">
        <f t="shared" si="19"/>
        <v/>
      </c>
      <c r="H66" s="10" t="str">
        <f t="shared" si="16"/>
        <v/>
      </c>
      <c r="I66" s="10" t="str">
        <f t="shared" si="20"/>
        <v/>
      </c>
      <c r="J66" s="14" t="str">
        <f t="shared" si="17"/>
        <v/>
      </c>
      <c r="K66" s="13" t="str">
        <f t="shared" si="7"/>
        <v/>
      </c>
      <c r="L66" s="10" t="str">
        <f t="shared" si="8"/>
        <v/>
      </c>
      <c r="M66" s="10" t="str">
        <f t="shared" si="9"/>
        <v/>
      </c>
      <c r="N66" s="10" t="str">
        <f t="shared" si="10"/>
        <v/>
      </c>
      <c r="O66" s="10" t="str">
        <f t="shared" si="11"/>
        <v/>
      </c>
      <c r="P66" s="10" t="str">
        <f t="shared" si="12"/>
        <v/>
      </c>
      <c r="Q66" s="14" t="str">
        <f t="shared" si="13"/>
        <v/>
      </c>
    </row>
    <row r="67" spans="1:17" x14ac:dyDescent="0.25">
      <c r="A67" s="4">
        <v>46569</v>
      </c>
      <c r="B67" s="5" t="str">
        <f>IF('Catalogo de Variaveis'!Q72="","",SUM('Catalogo de Variaveis'!Q69:Q72))</f>
        <v/>
      </c>
      <c r="C67" s="15" t="str">
        <f>IFERROR(IF($B67="","",AVERAGE('Catalogo de Variaveis'!Q72-'Catalogo de Variaveis'!Q71,'Catalogo de Variaveis'!Q71-'Catalogo de Variaveis'!Q70,'Catalogo de Variaveis'!Q70-'Catalogo de Variaveis'!Q69,'Catalogo de Variaveis'!Q69-'Catalogo de Variaveis'!Q68)),0)</f>
        <v/>
      </c>
      <c r="D67" s="13" t="str">
        <f t="shared" si="18"/>
        <v/>
      </c>
      <c r="E67" s="10" t="str">
        <f t="shared" si="14"/>
        <v/>
      </c>
      <c r="F67" s="10" t="str">
        <f t="shared" si="15"/>
        <v/>
      </c>
      <c r="G67" s="10" t="str">
        <f t="shared" si="19"/>
        <v/>
      </c>
      <c r="H67" s="10" t="str">
        <f t="shared" si="16"/>
        <v/>
      </c>
      <c r="I67" s="10" t="str">
        <f t="shared" si="20"/>
        <v/>
      </c>
      <c r="J67" s="14" t="str">
        <f t="shared" si="17"/>
        <v/>
      </c>
      <c r="K67" s="13" t="str">
        <f t="shared" si="7"/>
        <v/>
      </c>
      <c r="L67" s="10" t="str">
        <f t="shared" si="8"/>
        <v/>
      </c>
      <c r="M67" s="10" t="str">
        <f t="shared" si="9"/>
        <v/>
      </c>
      <c r="N67" s="10" t="str">
        <f t="shared" si="10"/>
        <v/>
      </c>
      <c r="O67" s="10" t="str">
        <f t="shared" si="11"/>
        <v/>
      </c>
      <c r="P67" s="10" t="str">
        <f t="shared" si="12"/>
        <v/>
      </c>
      <c r="Q67" s="14" t="str">
        <f t="shared" si="13"/>
        <v/>
      </c>
    </row>
    <row r="68" spans="1:17" x14ac:dyDescent="0.25">
      <c r="A68" s="4">
        <v>46600</v>
      </c>
      <c r="B68" s="5" t="str">
        <f>IF('Catalogo de Variaveis'!Q73="","",SUM('Catalogo de Variaveis'!Q70:Q73))</f>
        <v/>
      </c>
      <c r="C68" s="15" t="str">
        <f>IFERROR(IF($B68="","",AVERAGE('Catalogo de Variaveis'!Q73-'Catalogo de Variaveis'!Q72,'Catalogo de Variaveis'!Q72-'Catalogo de Variaveis'!Q71,'Catalogo de Variaveis'!Q71-'Catalogo de Variaveis'!Q70,'Catalogo de Variaveis'!Q70-'Catalogo de Variaveis'!Q69)),0)</f>
        <v/>
      </c>
      <c r="D68" s="13" t="str">
        <f t="shared" si="18"/>
        <v/>
      </c>
      <c r="E68" s="10" t="str">
        <f t="shared" si="14"/>
        <v/>
      </c>
      <c r="F68" s="10" t="str">
        <f t="shared" si="15"/>
        <v/>
      </c>
      <c r="G68" s="10" t="str">
        <f t="shared" si="19"/>
        <v/>
      </c>
      <c r="H68" s="10" t="str">
        <f t="shared" si="16"/>
        <v/>
      </c>
      <c r="I68" s="10" t="str">
        <f t="shared" si="20"/>
        <v/>
      </c>
      <c r="J68" s="14" t="str">
        <f t="shared" si="17"/>
        <v/>
      </c>
      <c r="K68" s="13" t="str">
        <f t="shared" si="7"/>
        <v/>
      </c>
      <c r="L68" s="10" t="str">
        <f t="shared" si="8"/>
        <v/>
      </c>
      <c r="M68" s="10" t="str">
        <f t="shared" si="9"/>
        <v/>
      </c>
      <c r="N68" s="10" t="str">
        <f t="shared" si="10"/>
        <v/>
      </c>
      <c r="O68" s="10" t="str">
        <f t="shared" si="11"/>
        <v/>
      </c>
      <c r="P68" s="10" t="str">
        <f t="shared" si="12"/>
        <v/>
      </c>
      <c r="Q68" s="14" t="str">
        <f t="shared" si="13"/>
        <v/>
      </c>
    </row>
    <row r="69" spans="1:17" x14ac:dyDescent="0.25">
      <c r="A69" s="4">
        <v>46631</v>
      </c>
      <c r="B69" s="5" t="str">
        <f>IF('Catalogo de Variaveis'!Q74="","",SUM('Catalogo de Variaveis'!Q71:Q74))</f>
        <v/>
      </c>
      <c r="C69" s="15" t="str">
        <f>IFERROR(IF($B69="","",AVERAGE('Catalogo de Variaveis'!Q74-'Catalogo de Variaveis'!Q73,'Catalogo de Variaveis'!Q73-'Catalogo de Variaveis'!Q72,'Catalogo de Variaveis'!Q72-'Catalogo de Variaveis'!Q71,'Catalogo de Variaveis'!Q71-'Catalogo de Variaveis'!Q70)),0)</f>
        <v/>
      </c>
      <c r="D69" s="13" t="str">
        <f t="shared" si="18"/>
        <v/>
      </c>
      <c r="E69" s="10" t="str">
        <f t="shared" si="14"/>
        <v/>
      </c>
      <c r="F69" s="10" t="str">
        <f t="shared" si="15"/>
        <v/>
      </c>
      <c r="G69" s="10" t="str">
        <f t="shared" si="19"/>
        <v/>
      </c>
      <c r="H69" s="10" t="str">
        <f t="shared" si="16"/>
        <v/>
      </c>
      <c r="I69" s="10" t="str">
        <f t="shared" si="20"/>
        <v/>
      </c>
      <c r="J69" s="14" t="str">
        <f t="shared" si="17"/>
        <v/>
      </c>
      <c r="K69" s="13" t="str">
        <f t="shared" si="7"/>
        <v/>
      </c>
      <c r="L69" s="10" t="str">
        <f t="shared" si="8"/>
        <v/>
      </c>
      <c r="M69" s="10" t="str">
        <f t="shared" si="9"/>
        <v/>
      </c>
      <c r="N69" s="10" t="str">
        <f t="shared" si="10"/>
        <v/>
      </c>
      <c r="O69" s="10" t="str">
        <f t="shared" si="11"/>
        <v/>
      </c>
      <c r="P69" s="10" t="str">
        <f t="shared" si="12"/>
        <v/>
      </c>
      <c r="Q69" s="14" t="str">
        <f t="shared" si="13"/>
        <v/>
      </c>
    </row>
    <row r="70" spans="1:17" x14ac:dyDescent="0.25">
      <c r="A70" s="4">
        <v>46661</v>
      </c>
      <c r="B70" s="5" t="str">
        <f>IF('Catalogo de Variaveis'!Q75="","",SUM('Catalogo de Variaveis'!Q72:Q75))</f>
        <v/>
      </c>
      <c r="C70" s="15" t="str">
        <f>IFERROR(IF($B70="","",AVERAGE('Catalogo de Variaveis'!Q75-'Catalogo de Variaveis'!Q74,'Catalogo de Variaveis'!Q74-'Catalogo de Variaveis'!Q73,'Catalogo de Variaveis'!Q73-'Catalogo de Variaveis'!Q72,'Catalogo de Variaveis'!Q72-'Catalogo de Variaveis'!Q71)),0)</f>
        <v/>
      </c>
      <c r="D70" s="13" t="str">
        <f t="shared" si="18"/>
        <v/>
      </c>
      <c r="E70" s="10" t="str">
        <f t="shared" si="14"/>
        <v/>
      </c>
      <c r="F70" s="10" t="str">
        <f t="shared" si="15"/>
        <v/>
      </c>
      <c r="G70" s="10" t="str">
        <f t="shared" si="19"/>
        <v/>
      </c>
      <c r="H70" s="10" t="str">
        <f t="shared" si="16"/>
        <v/>
      </c>
      <c r="I70" s="10" t="str">
        <f t="shared" si="20"/>
        <v/>
      </c>
      <c r="J70" s="14" t="str">
        <f t="shared" si="17"/>
        <v/>
      </c>
      <c r="K70" s="13" t="str">
        <f t="shared" si="7"/>
        <v/>
      </c>
      <c r="L70" s="10" t="str">
        <f t="shared" si="8"/>
        <v/>
      </c>
      <c r="M70" s="10" t="str">
        <f t="shared" si="9"/>
        <v/>
      </c>
      <c r="N70" s="10" t="str">
        <f t="shared" si="10"/>
        <v/>
      </c>
      <c r="O70" s="10" t="str">
        <f t="shared" si="11"/>
        <v/>
      </c>
      <c r="P70" s="10" t="str">
        <f t="shared" si="12"/>
        <v/>
      </c>
      <c r="Q70" s="14" t="str">
        <f t="shared" si="13"/>
        <v/>
      </c>
    </row>
    <row r="71" spans="1:17" x14ac:dyDescent="0.25">
      <c r="A71" s="4">
        <v>46692</v>
      </c>
      <c r="B71" s="5" t="str">
        <f>IF('Catalogo de Variaveis'!Q76="","",SUM('Catalogo de Variaveis'!Q73:Q76))</f>
        <v/>
      </c>
      <c r="C71" s="15" t="str">
        <f>IFERROR(IF($B71="","",AVERAGE('Catalogo de Variaveis'!Q76-'Catalogo de Variaveis'!Q75,'Catalogo de Variaveis'!Q75-'Catalogo de Variaveis'!Q74,'Catalogo de Variaveis'!Q74-'Catalogo de Variaveis'!Q73,'Catalogo de Variaveis'!Q73-'Catalogo de Variaveis'!Q72)),0)</f>
        <v/>
      </c>
      <c r="D71" s="13" t="str">
        <f t="shared" si="18"/>
        <v/>
      </c>
      <c r="E71" s="10" t="str">
        <f t="shared" si="14"/>
        <v/>
      </c>
      <c r="F71" s="10" t="str">
        <f t="shared" si="15"/>
        <v/>
      </c>
      <c r="G71" s="10" t="str">
        <f t="shared" si="19"/>
        <v/>
      </c>
      <c r="H71" s="10" t="str">
        <f t="shared" si="16"/>
        <v/>
      </c>
      <c r="I71" s="10" t="str">
        <f t="shared" si="20"/>
        <v/>
      </c>
      <c r="J71" s="14" t="str">
        <f t="shared" si="17"/>
        <v/>
      </c>
      <c r="K71" s="13" t="str">
        <f t="shared" si="7"/>
        <v/>
      </c>
      <c r="L71" s="10" t="str">
        <f t="shared" si="8"/>
        <v/>
      </c>
      <c r="M71" s="10" t="str">
        <f t="shared" si="9"/>
        <v/>
      </c>
      <c r="N71" s="10" t="str">
        <f t="shared" si="10"/>
        <v/>
      </c>
      <c r="O71" s="10" t="str">
        <f t="shared" si="11"/>
        <v/>
      </c>
      <c r="P71" s="10" t="str">
        <f t="shared" si="12"/>
        <v/>
      </c>
      <c r="Q71" s="14" t="str">
        <f t="shared" si="13"/>
        <v/>
      </c>
    </row>
    <row r="72" spans="1:17" x14ac:dyDescent="0.25">
      <c r="A72" s="4">
        <v>46722</v>
      </c>
      <c r="B72" s="5" t="str">
        <f>IF('Catalogo de Variaveis'!Q77="","",SUM('Catalogo de Variaveis'!Q74:Q77))</f>
        <v/>
      </c>
      <c r="C72" s="15" t="str">
        <f>IFERROR(IF($B72="","",AVERAGE('Catalogo de Variaveis'!Q77-'Catalogo de Variaveis'!Q76,'Catalogo de Variaveis'!Q76-'Catalogo de Variaveis'!Q75,'Catalogo de Variaveis'!Q75-'Catalogo de Variaveis'!Q74,'Catalogo de Variaveis'!Q74-'Catalogo de Variaveis'!Q73)),0)</f>
        <v/>
      </c>
      <c r="D72" s="13" t="str">
        <f t="shared" si="18"/>
        <v/>
      </c>
      <c r="E72" s="10" t="str">
        <f t="shared" si="14"/>
        <v/>
      </c>
      <c r="F72" s="10" t="str">
        <f t="shared" si="15"/>
        <v/>
      </c>
      <c r="G72" s="10" t="str">
        <f t="shared" si="19"/>
        <v/>
      </c>
      <c r="H72" s="10" t="str">
        <f t="shared" si="16"/>
        <v/>
      </c>
      <c r="I72" s="10" t="str">
        <f t="shared" si="20"/>
        <v/>
      </c>
      <c r="J72" s="14" t="str">
        <f t="shared" si="17"/>
        <v/>
      </c>
      <c r="K72" s="13" t="str">
        <f t="shared" si="7"/>
        <v/>
      </c>
      <c r="L72" s="10" t="str">
        <f t="shared" si="8"/>
        <v/>
      </c>
      <c r="M72" s="10" t="str">
        <f t="shared" si="9"/>
        <v/>
      </c>
      <c r="N72" s="10" t="str">
        <f t="shared" si="10"/>
        <v/>
      </c>
      <c r="O72" s="10" t="str">
        <f t="shared" si="11"/>
        <v/>
      </c>
      <c r="P72" s="10" t="str">
        <f t="shared" si="12"/>
        <v/>
      </c>
      <c r="Q72" s="14" t="str">
        <f t="shared" si="13"/>
        <v/>
      </c>
    </row>
    <row r="73" spans="1:17" x14ac:dyDescent="0.25">
      <c r="A73" s="4">
        <v>46753</v>
      </c>
      <c r="B73" s="5" t="str">
        <f>IF('Catalogo de Variaveis'!Q78="","",SUM('Catalogo de Variaveis'!Q75:Q78))</f>
        <v/>
      </c>
      <c r="C73" s="15" t="str">
        <f>IFERROR(IF($B73="","",AVERAGE('Catalogo de Variaveis'!Q78-'Catalogo de Variaveis'!Q77,'Catalogo de Variaveis'!Q77-'Catalogo de Variaveis'!Q76,'Catalogo de Variaveis'!Q76-'Catalogo de Variaveis'!Q75,'Catalogo de Variaveis'!Q75-'Catalogo de Variaveis'!Q74)),0)</f>
        <v/>
      </c>
      <c r="D73" s="13" t="str">
        <f t="shared" si="18"/>
        <v/>
      </c>
      <c r="E73" s="10" t="str">
        <f t="shared" si="14"/>
        <v/>
      </c>
      <c r="F73" s="10" t="str">
        <f t="shared" si="15"/>
        <v/>
      </c>
      <c r="G73" s="10" t="str">
        <f t="shared" si="19"/>
        <v/>
      </c>
      <c r="H73" s="10" t="str">
        <f t="shared" si="16"/>
        <v/>
      </c>
      <c r="I73" s="10" t="str">
        <f t="shared" si="20"/>
        <v/>
      </c>
      <c r="J73" s="14" t="str">
        <f t="shared" si="17"/>
        <v/>
      </c>
      <c r="K73" s="13" t="str">
        <f t="shared" ref="K73:K96" si="21">IF($B73="","",$C$1-3*$C$2)</f>
        <v/>
      </c>
      <c r="L73" s="10" t="str">
        <f t="shared" ref="L73:L96" si="22">IF($B73="","",$C$1-2*$C$2)</f>
        <v/>
      </c>
      <c r="M73" s="10" t="str">
        <f t="shared" ref="M73:M96" si="23">IF($B73="","",$C$1-$C$2)</f>
        <v/>
      </c>
      <c r="N73" s="10" t="str">
        <f t="shared" ref="N73:N96" si="24">IF($B73="","",$C$1)</f>
        <v/>
      </c>
      <c r="O73" s="10" t="str">
        <f t="shared" ref="O73:O96" si="25">IF($B73="","",$C$1+1*$C$2)</f>
        <v/>
      </c>
      <c r="P73" s="10" t="str">
        <f t="shared" ref="P73:P96" si="26">IF($B73="","",$C$1+2*$C$2)</f>
        <v/>
      </c>
      <c r="Q73" s="14" t="str">
        <f t="shared" ref="Q73:Q96" si="27">IF($B73="","",$C$1+3*$C$2)</f>
        <v/>
      </c>
    </row>
    <row r="74" spans="1:17" x14ac:dyDescent="0.25">
      <c r="A74" s="4">
        <v>46784</v>
      </c>
      <c r="B74" s="5" t="str">
        <f>IF('Catalogo de Variaveis'!Q79="","",SUM('Catalogo de Variaveis'!Q76:Q79))</f>
        <v/>
      </c>
      <c r="C74" s="15" t="str">
        <f>IFERROR(IF($B74="","",AVERAGE('Catalogo de Variaveis'!Q79-'Catalogo de Variaveis'!Q78,'Catalogo de Variaveis'!Q78-'Catalogo de Variaveis'!Q77,'Catalogo de Variaveis'!Q77-'Catalogo de Variaveis'!Q76,'Catalogo de Variaveis'!Q76-'Catalogo de Variaveis'!Q75)),0)</f>
        <v/>
      </c>
      <c r="D74" s="13" t="str">
        <f t="shared" si="18"/>
        <v/>
      </c>
      <c r="E74" s="10" t="str">
        <f t="shared" si="14"/>
        <v/>
      </c>
      <c r="F74" s="10" t="str">
        <f t="shared" si="15"/>
        <v/>
      </c>
      <c r="G74" s="10" t="str">
        <f t="shared" si="19"/>
        <v/>
      </c>
      <c r="H74" s="10" t="str">
        <f t="shared" si="16"/>
        <v/>
      </c>
      <c r="I74" s="10" t="str">
        <f t="shared" si="20"/>
        <v/>
      </c>
      <c r="J74" s="14" t="str">
        <f t="shared" si="17"/>
        <v/>
      </c>
      <c r="K74" s="13" t="str">
        <f t="shared" si="21"/>
        <v/>
      </c>
      <c r="L74" s="10" t="str">
        <f t="shared" si="22"/>
        <v/>
      </c>
      <c r="M74" s="10" t="str">
        <f t="shared" si="23"/>
        <v/>
      </c>
      <c r="N74" s="10" t="str">
        <f t="shared" si="24"/>
        <v/>
      </c>
      <c r="O74" s="10" t="str">
        <f t="shared" si="25"/>
        <v/>
      </c>
      <c r="P74" s="10" t="str">
        <f t="shared" si="26"/>
        <v/>
      </c>
      <c r="Q74" s="14" t="str">
        <f t="shared" si="27"/>
        <v/>
      </c>
    </row>
    <row r="75" spans="1:17" x14ac:dyDescent="0.25">
      <c r="A75" s="4">
        <v>46813</v>
      </c>
      <c r="B75" s="5" t="str">
        <f>IF('Catalogo de Variaveis'!Q80="","",SUM('Catalogo de Variaveis'!Q77:Q80))</f>
        <v/>
      </c>
      <c r="C75" s="15" t="str">
        <f>IFERROR(IF($B75="","",AVERAGE('Catalogo de Variaveis'!Q80-'Catalogo de Variaveis'!Q79,'Catalogo de Variaveis'!Q79-'Catalogo de Variaveis'!Q78,'Catalogo de Variaveis'!Q78-'Catalogo de Variaveis'!Q77,'Catalogo de Variaveis'!Q77-'Catalogo de Variaveis'!Q76)),0)</f>
        <v/>
      </c>
      <c r="D75" s="13" t="str">
        <f t="shared" si="18"/>
        <v/>
      </c>
      <c r="E75" s="10" t="str">
        <f t="shared" si="14"/>
        <v/>
      </c>
      <c r="F75" s="10" t="str">
        <f t="shared" si="15"/>
        <v/>
      </c>
      <c r="G75" s="10" t="str">
        <f t="shared" si="19"/>
        <v/>
      </c>
      <c r="H75" s="10" t="str">
        <f t="shared" si="16"/>
        <v/>
      </c>
      <c r="I75" s="10" t="str">
        <f t="shared" si="20"/>
        <v/>
      </c>
      <c r="J75" s="14" t="str">
        <f t="shared" si="17"/>
        <v/>
      </c>
      <c r="K75" s="13" t="str">
        <f t="shared" si="21"/>
        <v/>
      </c>
      <c r="L75" s="10" t="str">
        <f t="shared" si="22"/>
        <v/>
      </c>
      <c r="M75" s="10" t="str">
        <f t="shared" si="23"/>
        <v/>
      </c>
      <c r="N75" s="10" t="str">
        <f t="shared" si="24"/>
        <v/>
      </c>
      <c r="O75" s="10" t="str">
        <f t="shared" si="25"/>
        <v/>
      </c>
      <c r="P75" s="10" t="str">
        <f t="shared" si="26"/>
        <v/>
      </c>
      <c r="Q75" s="14" t="str">
        <f t="shared" si="27"/>
        <v/>
      </c>
    </row>
    <row r="76" spans="1:17" x14ac:dyDescent="0.25">
      <c r="A76" s="4">
        <v>46844</v>
      </c>
      <c r="B76" s="5" t="str">
        <f>IF('Catalogo de Variaveis'!Q81="","",SUM('Catalogo de Variaveis'!Q78:Q81))</f>
        <v/>
      </c>
      <c r="C76" s="15" t="str">
        <f>IFERROR(IF($B76="","",AVERAGE('Catalogo de Variaveis'!Q81-'Catalogo de Variaveis'!Q80,'Catalogo de Variaveis'!Q80-'Catalogo de Variaveis'!Q79,'Catalogo de Variaveis'!Q79-'Catalogo de Variaveis'!Q78,'Catalogo de Variaveis'!Q78-'Catalogo de Variaveis'!Q77)),0)</f>
        <v/>
      </c>
      <c r="D76" s="13" t="str">
        <f t="shared" si="18"/>
        <v/>
      </c>
      <c r="E76" s="10" t="str">
        <f t="shared" si="14"/>
        <v/>
      </c>
      <c r="F76" s="10" t="str">
        <f t="shared" si="15"/>
        <v/>
      </c>
      <c r="G76" s="10" t="str">
        <f t="shared" si="19"/>
        <v/>
      </c>
      <c r="H76" s="10" t="str">
        <f t="shared" si="16"/>
        <v/>
      </c>
      <c r="I76" s="10" t="str">
        <f t="shared" si="20"/>
        <v/>
      </c>
      <c r="J76" s="14" t="str">
        <f t="shared" si="17"/>
        <v/>
      </c>
      <c r="K76" s="13" t="str">
        <f t="shared" si="21"/>
        <v/>
      </c>
      <c r="L76" s="10" t="str">
        <f t="shared" si="22"/>
        <v/>
      </c>
      <c r="M76" s="10" t="str">
        <f t="shared" si="23"/>
        <v/>
      </c>
      <c r="N76" s="10" t="str">
        <f t="shared" si="24"/>
        <v/>
      </c>
      <c r="O76" s="10" t="str">
        <f t="shared" si="25"/>
        <v/>
      </c>
      <c r="P76" s="10" t="str">
        <f t="shared" si="26"/>
        <v/>
      </c>
      <c r="Q76" s="14" t="str">
        <f t="shared" si="27"/>
        <v/>
      </c>
    </row>
    <row r="77" spans="1:17" x14ac:dyDescent="0.25">
      <c r="A77" s="4">
        <v>46874</v>
      </c>
      <c r="B77" s="5" t="str">
        <f>IF('Catalogo de Variaveis'!Q82="","",SUM('Catalogo de Variaveis'!Q79:Q82))</f>
        <v/>
      </c>
      <c r="C77" s="15" t="str">
        <f>IFERROR(IF($B77="","",AVERAGE('Catalogo de Variaveis'!Q82-'Catalogo de Variaveis'!Q81,'Catalogo de Variaveis'!Q81-'Catalogo de Variaveis'!Q80,'Catalogo de Variaveis'!Q80-'Catalogo de Variaveis'!Q79,'Catalogo de Variaveis'!Q79-'Catalogo de Variaveis'!Q78)),0)</f>
        <v/>
      </c>
      <c r="D77" s="13" t="str">
        <f t="shared" si="18"/>
        <v/>
      </c>
      <c r="E77" s="10" t="str">
        <f t="shared" si="14"/>
        <v/>
      </c>
      <c r="F77" s="10" t="str">
        <f t="shared" si="15"/>
        <v/>
      </c>
      <c r="G77" s="10" t="str">
        <f t="shared" si="19"/>
        <v/>
      </c>
      <c r="H77" s="10" t="str">
        <f t="shared" si="16"/>
        <v/>
      </c>
      <c r="I77" s="10" t="str">
        <f t="shared" si="20"/>
        <v/>
      </c>
      <c r="J77" s="14" t="str">
        <f t="shared" si="17"/>
        <v/>
      </c>
      <c r="K77" s="13" t="str">
        <f t="shared" si="21"/>
        <v/>
      </c>
      <c r="L77" s="10" t="str">
        <f t="shared" si="22"/>
        <v/>
      </c>
      <c r="M77" s="10" t="str">
        <f t="shared" si="23"/>
        <v/>
      </c>
      <c r="N77" s="10" t="str">
        <f t="shared" si="24"/>
        <v/>
      </c>
      <c r="O77" s="10" t="str">
        <f t="shared" si="25"/>
        <v/>
      </c>
      <c r="P77" s="10" t="str">
        <f t="shared" si="26"/>
        <v/>
      </c>
      <c r="Q77" s="14" t="str">
        <f t="shared" si="27"/>
        <v/>
      </c>
    </row>
    <row r="78" spans="1:17" x14ac:dyDescent="0.25">
      <c r="A78" s="4">
        <v>46905</v>
      </c>
      <c r="B78" s="5" t="str">
        <f>IF('Catalogo de Variaveis'!Q83="","",SUM('Catalogo de Variaveis'!Q80:Q83))</f>
        <v/>
      </c>
      <c r="C78" s="15" t="str">
        <f>IFERROR(IF($B78="","",AVERAGE('Catalogo de Variaveis'!Q83-'Catalogo de Variaveis'!Q82,'Catalogo de Variaveis'!Q82-'Catalogo de Variaveis'!Q81,'Catalogo de Variaveis'!Q81-'Catalogo de Variaveis'!Q80,'Catalogo de Variaveis'!Q80-'Catalogo de Variaveis'!Q79)),0)</f>
        <v/>
      </c>
      <c r="D78" s="13" t="str">
        <f t="shared" si="18"/>
        <v/>
      </c>
      <c r="E78" s="10" t="str">
        <f t="shared" si="14"/>
        <v/>
      </c>
      <c r="F78" s="10" t="str">
        <f t="shared" si="15"/>
        <v/>
      </c>
      <c r="G78" s="10" t="str">
        <f t="shared" si="19"/>
        <v/>
      </c>
      <c r="H78" s="10" t="str">
        <f t="shared" si="16"/>
        <v/>
      </c>
      <c r="I78" s="10" t="str">
        <f t="shared" si="20"/>
        <v/>
      </c>
      <c r="J78" s="14" t="str">
        <f t="shared" si="17"/>
        <v/>
      </c>
      <c r="K78" s="13" t="str">
        <f t="shared" si="21"/>
        <v/>
      </c>
      <c r="L78" s="10" t="str">
        <f t="shared" si="22"/>
        <v/>
      </c>
      <c r="M78" s="10" t="str">
        <f t="shared" si="23"/>
        <v/>
      </c>
      <c r="N78" s="10" t="str">
        <f t="shared" si="24"/>
        <v/>
      </c>
      <c r="O78" s="10" t="str">
        <f t="shared" si="25"/>
        <v/>
      </c>
      <c r="P78" s="10" t="str">
        <f t="shared" si="26"/>
        <v/>
      </c>
      <c r="Q78" s="14" t="str">
        <f t="shared" si="27"/>
        <v/>
      </c>
    </row>
    <row r="79" spans="1:17" x14ac:dyDescent="0.25">
      <c r="A79" s="4">
        <v>46935</v>
      </c>
      <c r="B79" s="5" t="str">
        <f>IF('Catalogo de Variaveis'!Q84="","",SUM('Catalogo de Variaveis'!Q81:Q84))</f>
        <v/>
      </c>
      <c r="C79" s="15" t="str">
        <f>IFERROR(IF($B79="","",AVERAGE('Catalogo de Variaveis'!Q84-'Catalogo de Variaveis'!Q83,'Catalogo de Variaveis'!Q83-'Catalogo de Variaveis'!Q82,'Catalogo de Variaveis'!Q82-'Catalogo de Variaveis'!Q81,'Catalogo de Variaveis'!Q81-'Catalogo de Variaveis'!Q80)),0)</f>
        <v/>
      </c>
      <c r="D79" s="13" t="str">
        <f t="shared" si="18"/>
        <v/>
      </c>
      <c r="E79" s="10" t="str">
        <f t="shared" si="14"/>
        <v/>
      </c>
      <c r="F79" s="10" t="str">
        <f t="shared" si="15"/>
        <v/>
      </c>
      <c r="G79" s="10" t="str">
        <f t="shared" si="19"/>
        <v/>
      </c>
      <c r="H79" s="10" t="str">
        <f t="shared" si="16"/>
        <v/>
      </c>
      <c r="I79" s="10" t="str">
        <f t="shared" si="20"/>
        <v/>
      </c>
      <c r="J79" s="14" t="str">
        <f t="shared" si="17"/>
        <v/>
      </c>
      <c r="K79" s="13" t="str">
        <f t="shared" si="21"/>
        <v/>
      </c>
      <c r="L79" s="10" t="str">
        <f t="shared" si="22"/>
        <v/>
      </c>
      <c r="M79" s="10" t="str">
        <f t="shared" si="23"/>
        <v/>
      </c>
      <c r="N79" s="10" t="str">
        <f t="shared" si="24"/>
        <v/>
      </c>
      <c r="O79" s="10" t="str">
        <f t="shared" si="25"/>
        <v/>
      </c>
      <c r="P79" s="10" t="str">
        <f t="shared" si="26"/>
        <v/>
      </c>
      <c r="Q79" s="14" t="str">
        <f t="shared" si="27"/>
        <v/>
      </c>
    </row>
    <row r="80" spans="1:17" x14ac:dyDescent="0.25">
      <c r="A80" s="4">
        <v>46966</v>
      </c>
      <c r="B80" s="5" t="str">
        <f>IF('Catalogo de Variaveis'!Q85="","",SUM('Catalogo de Variaveis'!Q82:Q85))</f>
        <v/>
      </c>
      <c r="C80" s="15" t="str">
        <f>IFERROR(IF($B80="","",AVERAGE('Catalogo de Variaveis'!Q85-'Catalogo de Variaveis'!Q84,'Catalogo de Variaveis'!Q84-'Catalogo de Variaveis'!Q83,'Catalogo de Variaveis'!Q83-'Catalogo de Variaveis'!Q82,'Catalogo de Variaveis'!Q82-'Catalogo de Variaveis'!Q81)),0)</f>
        <v/>
      </c>
      <c r="D80" s="13" t="str">
        <f t="shared" si="18"/>
        <v/>
      </c>
      <c r="E80" s="10" t="str">
        <f t="shared" si="14"/>
        <v/>
      </c>
      <c r="F80" s="10" t="str">
        <f t="shared" si="15"/>
        <v/>
      </c>
      <c r="G80" s="10" t="str">
        <f t="shared" si="19"/>
        <v/>
      </c>
      <c r="H80" s="10" t="str">
        <f t="shared" si="16"/>
        <v/>
      </c>
      <c r="I80" s="10" t="str">
        <f t="shared" si="20"/>
        <v/>
      </c>
      <c r="J80" s="14" t="str">
        <f t="shared" si="17"/>
        <v/>
      </c>
      <c r="K80" s="13" t="str">
        <f t="shared" si="21"/>
        <v/>
      </c>
      <c r="L80" s="10" t="str">
        <f t="shared" si="22"/>
        <v/>
      </c>
      <c r="M80" s="10" t="str">
        <f t="shared" si="23"/>
        <v/>
      </c>
      <c r="N80" s="10" t="str">
        <f t="shared" si="24"/>
        <v/>
      </c>
      <c r="O80" s="10" t="str">
        <f t="shared" si="25"/>
        <v/>
      </c>
      <c r="P80" s="10" t="str">
        <f t="shared" si="26"/>
        <v/>
      </c>
      <c r="Q80" s="14" t="str">
        <f t="shared" si="27"/>
        <v/>
      </c>
    </row>
    <row r="81" spans="1:17" x14ac:dyDescent="0.25">
      <c r="A81" s="4">
        <v>46997</v>
      </c>
      <c r="B81" s="5" t="str">
        <f>IF('Catalogo de Variaveis'!Q86="","",SUM('Catalogo de Variaveis'!Q83:Q86))</f>
        <v/>
      </c>
      <c r="C81" s="15" t="str">
        <f>IFERROR(IF($B81="","",AVERAGE('Catalogo de Variaveis'!Q86-'Catalogo de Variaveis'!Q85,'Catalogo de Variaveis'!Q85-'Catalogo de Variaveis'!Q84,'Catalogo de Variaveis'!Q84-'Catalogo de Variaveis'!Q83,'Catalogo de Variaveis'!Q83-'Catalogo de Variaveis'!Q82)),0)</f>
        <v/>
      </c>
      <c r="D81" s="13" t="str">
        <f t="shared" si="18"/>
        <v/>
      </c>
      <c r="E81" s="10" t="str">
        <f t="shared" si="14"/>
        <v/>
      </c>
      <c r="F81" s="10" t="str">
        <f t="shared" si="15"/>
        <v/>
      </c>
      <c r="G81" s="10" t="str">
        <f t="shared" si="19"/>
        <v/>
      </c>
      <c r="H81" s="10" t="str">
        <f t="shared" si="16"/>
        <v/>
      </c>
      <c r="I81" s="10" t="str">
        <f t="shared" si="20"/>
        <v/>
      </c>
      <c r="J81" s="14" t="str">
        <f t="shared" si="17"/>
        <v/>
      </c>
      <c r="K81" s="13" t="str">
        <f t="shared" si="21"/>
        <v/>
      </c>
      <c r="L81" s="10" t="str">
        <f t="shared" si="22"/>
        <v/>
      </c>
      <c r="M81" s="10" t="str">
        <f t="shared" si="23"/>
        <v/>
      </c>
      <c r="N81" s="10" t="str">
        <f t="shared" si="24"/>
        <v/>
      </c>
      <c r="O81" s="10" t="str">
        <f t="shared" si="25"/>
        <v/>
      </c>
      <c r="P81" s="10" t="str">
        <f t="shared" si="26"/>
        <v/>
      </c>
      <c r="Q81" s="14" t="str">
        <f t="shared" si="27"/>
        <v/>
      </c>
    </row>
    <row r="82" spans="1:17" x14ac:dyDescent="0.25">
      <c r="A82" s="4">
        <v>47027</v>
      </c>
      <c r="B82" s="5" t="str">
        <f>IF('Catalogo de Variaveis'!Q87="","",SUM('Catalogo de Variaveis'!Q84:Q87))</f>
        <v/>
      </c>
      <c r="C82" s="15" t="str">
        <f>IFERROR(IF($B82="","",AVERAGE('Catalogo de Variaveis'!Q87-'Catalogo de Variaveis'!Q86,'Catalogo de Variaveis'!Q86-'Catalogo de Variaveis'!Q85,'Catalogo de Variaveis'!Q85-'Catalogo de Variaveis'!Q84,'Catalogo de Variaveis'!Q84-'Catalogo de Variaveis'!Q83)),0)</f>
        <v/>
      </c>
      <c r="D82" s="13" t="str">
        <f t="shared" si="18"/>
        <v/>
      </c>
      <c r="E82" s="10" t="str">
        <f t="shared" si="14"/>
        <v/>
      </c>
      <c r="F82" s="10" t="str">
        <f t="shared" si="15"/>
        <v/>
      </c>
      <c r="G82" s="10" t="str">
        <f t="shared" si="19"/>
        <v/>
      </c>
      <c r="H82" s="10" t="str">
        <f t="shared" si="16"/>
        <v/>
      </c>
      <c r="I82" s="10" t="str">
        <f t="shared" si="20"/>
        <v/>
      </c>
      <c r="J82" s="14" t="str">
        <f t="shared" si="17"/>
        <v/>
      </c>
      <c r="K82" s="13" t="str">
        <f t="shared" si="21"/>
        <v/>
      </c>
      <c r="L82" s="10" t="str">
        <f t="shared" si="22"/>
        <v/>
      </c>
      <c r="M82" s="10" t="str">
        <f t="shared" si="23"/>
        <v/>
      </c>
      <c r="N82" s="10" t="str">
        <f t="shared" si="24"/>
        <v/>
      </c>
      <c r="O82" s="10" t="str">
        <f t="shared" si="25"/>
        <v/>
      </c>
      <c r="P82" s="10" t="str">
        <f t="shared" si="26"/>
        <v/>
      </c>
      <c r="Q82" s="14" t="str">
        <f t="shared" si="27"/>
        <v/>
      </c>
    </row>
    <row r="83" spans="1:17" x14ac:dyDescent="0.25">
      <c r="A83" s="4">
        <v>47058</v>
      </c>
      <c r="B83" s="5" t="str">
        <f>IF('Catalogo de Variaveis'!Q88="","",SUM('Catalogo de Variaveis'!Q85:Q88))</f>
        <v/>
      </c>
      <c r="C83" s="15" t="str">
        <f>IFERROR(IF($B83="","",AVERAGE('Catalogo de Variaveis'!Q88-'Catalogo de Variaveis'!Q87,'Catalogo de Variaveis'!Q87-'Catalogo de Variaveis'!Q86,'Catalogo de Variaveis'!Q86-'Catalogo de Variaveis'!Q85,'Catalogo de Variaveis'!Q85-'Catalogo de Variaveis'!Q84)),0)</f>
        <v/>
      </c>
      <c r="D83" s="13" t="str">
        <f t="shared" si="18"/>
        <v/>
      </c>
      <c r="E83" s="10" t="str">
        <f t="shared" si="14"/>
        <v/>
      </c>
      <c r="F83" s="10" t="str">
        <f t="shared" si="15"/>
        <v/>
      </c>
      <c r="G83" s="10" t="str">
        <f t="shared" si="19"/>
        <v/>
      </c>
      <c r="H83" s="10" t="str">
        <f t="shared" si="16"/>
        <v/>
      </c>
      <c r="I83" s="10" t="str">
        <f t="shared" si="20"/>
        <v/>
      </c>
      <c r="J83" s="14" t="str">
        <f t="shared" si="17"/>
        <v/>
      </c>
      <c r="K83" s="13" t="str">
        <f t="shared" si="21"/>
        <v/>
      </c>
      <c r="L83" s="10" t="str">
        <f t="shared" si="22"/>
        <v/>
      </c>
      <c r="M83" s="10" t="str">
        <f t="shared" si="23"/>
        <v/>
      </c>
      <c r="N83" s="10" t="str">
        <f t="shared" si="24"/>
        <v/>
      </c>
      <c r="O83" s="10" t="str">
        <f t="shared" si="25"/>
        <v/>
      </c>
      <c r="P83" s="10" t="str">
        <f t="shared" si="26"/>
        <v/>
      </c>
      <c r="Q83" s="14" t="str">
        <f t="shared" si="27"/>
        <v/>
      </c>
    </row>
    <row r="84" spans="1:17" x14ac:dyDescent="0.25">
      <c r="A84" s="4">
        <v>47088</v>
      </c>
      <c r="B84" s="5" t="str">
        <f>IF('Catalogo de Variaveis'!Q89="","",SUM('Catalogo de Variaveis'!Q86:Q89))</f>
        <v/>
      </c>
      <c r="C84" s="15" t="str">
        <f>IFERROR(IF($B84="","",AVERAGE('Catalogo de Variaveis'!Q89-'Catalogo de Variaveis'!Q88,'Catalogo de Variaveis'!Q88-'Catalogo de Variaveis'!Q87,'Catalogo de Variaveis'!Q87-'Catalogo de Variaveis'!Q86,'Catalogo de Variaveis'!Q86-'Catalogo de Variaveis'!Q85)),0)</f>
        <v/>
      </c>
      <c r="D84" s="13" t="str">
        <f t="shared" si="18"/>
        <v/>
      </c>
      <c r="E84" s="10" t="str">
        <f t="shared" si="14"/>
        <v/>
      </c>
      <c r="F84" s="10" t="str">
        <f t="shared" si="15"/>
        <v/>
      </c>
      <c r="G84" s="10" t="str">
        <f t="shared" si="19"/>
        <v/>
      </c>
      <c r="H84" s="10" t="str">
        <f t="shared" si="16"/>
        <v/>
      </c>
      <c r="I84" s="10" t="str">
        <f t="shared" si="20"/>
        <v/>
      </c>
      <c r="J84" s="14" t="str">
        <f t="shared" si="17"/>
        <v/>
      </c>
      <c r="K84" s="13" t="str">
        <f t="shared" si="21"/>
        <v/>
      </c>
      <c r="L84" s="10" t="str">
        <f t="shared" si="22"/>
        <v/>
      </c>
      <c r="M84" s="10" t="str">
        <f t="shared" si="23"/>
        <v/>
      </c>
      <c r="N84" s="10" t="str">
        <f t="shared" si="24"/>
        <v/>
      </c>
      <c r="O84" s="10" t="str">
        <f t="shared" si="25"/>
        <v/>
      </c>
      <c r="P84" s="10" t="str">
        <f t="shared" si="26"/>
        <v/>
      </c>
      <c r="Q84" s="14" t="str">
        <f t="shared" si="27"/>
        <v/>
      </c>
    </row>
    <row r="85" spans="1:17" x14ac:dyDescent="0.25">
      <c r="A85" s="4">
        <v>47119</v>
      </c>
      <c r="B85" s="5" t="str">
        <f>IF('Catalogo de Variaveis'!Q90="","",SUM('Catalogo de Variaveis'!Q87:Q90))</f>
        <v/>
      </c>
      <c r="C85" s="15" t="str">
        <f>IFERROR(IF($B85="","",AVERAGE('Catalogo de Variaveis'!Q90-'Catalogo de Variaveis'!Q89,'Catalogo de Variaveis'!Q89-'Catalogo de Variaveis'!Q88,'Catalogo de Variaveis'!Q88-'Catalogo de Variaveis'!Q87,'Catalogo de Variaveis'!Q87-'Catalogo de Variaveis'!Q86)),0)</f>
        <v/>
      </c>
      <c r="D85" s="13" t="str">
        <f t="shared" si="18"/>
        <v/>
      </c>
      <c r="E85" s="10" t="str">
        <f t="shared" si="14"/>
        <v/>
      </c>
      <c r="F85" s="10" t="str">
        <f t="shared" si="15"/>
        <v/>
      </c>
      <c r="G85" s="10" t="str">
        <f t="shared" si="19"/>
        <v/>
      </c>
      <c r="H85" s="10" t="str">
        <f t="shared" si="16"/>
        <v/>
      </c>
      <c r="I85" s="10" t="str">
        <f t="shared" si="20"/>
        <v/>
      </c>
      <c r="J85" s="14" t="str">
        <f t="shared" si="17"/>
        <v/>
      </c>
      <c r="K85" s="13" t="str">
        <f t="shared" si="21"/>
        <v/>
      </c>
      <c r="L85" s="10" t="str">
        <f t="shared" si="22"/>
        <v/>
      </c>
      <c r="M85" s="10" t="str">
        <f t="shared" si="23"/>
        <v/>
      </c>
      <c r="N85" s="10" t="str">
        <f t="shared" si="24"/>
        <v/>
      </c>
      <c r="O85" s="10" t="str">
        <f t="shared" si="25"/>
        <v/>
      </c>
      <c r="P85" s="10" t="str">
        <f t="shared" si="26"/>
        <v/>
      </c>
      <c r="Q85" s="14" t="str">
        <f t="shared" si="27"/>
        <v/>
      </c>
    </row>
    <row r="86" spans="1:17" x14ac:dyDescent="0.25">
      <c r="A86" s="4">
        <v>47150</v>
      </c>
      <c r="B86" s="5" t="str">
        <f>IF('Catalogo de Variaveis'!Q91="","",SUM('Catalogo de Variaveis'!Q88:Q91))</f>
        <v/>
      </c>
      <c r="C86" s="15" t="str">
        <f>IFERROR(IF($B86="","",AVERAGE('Catalogo de Variaveis'!Q91-'Catalogo de Variaveis'!Q90,'Catalogo de Variaveis'!Q90-'Catalogo de Variaveis'!Q89,'Catalogo de Variaveis'!Q89-'Catalogo de Variaveis'!Q88,'Catalogo de Variaveis'!Q88-'Catalogo de Variaveis'!Q87)),0)</f>
        <v/>
      </c>
      <c r="D86" s="13" t="str">
        <f t="shared" si="18"/>
        <v/>
      </c>
      <c r="E86" s="10" t="str">
        <f t="shared" si="14"/>
        <v/>
      </c>
      <c r="F86" s="10" t="str">
        <f t="shared" si="15"/>
        <v/>
      </c>
      <c r="G86" s="10" t="str">
        <f t="shared" si="19"/>
        <v/>
      </c>
      <c r="H86" s="10" t="str">
        <f t="shared" si="16"/>
        <v/>
      </c>
      <c r="I86" s="10" t="str">
        <f t="shared" si="20"/>
        <v/>
      </c>
      <c r="J86" s="14" t="str">
        <f t="shared" si="17"/>
        <v/>
      </c>
      <c r="K86" s="13" t="str">
        <f t="shared" si="21"/>
        <v/>
      </c>
      <c r="L86" s="10" t="str">
        <f t="shared" si="22"/>
        <v/>
      </c>
      <c r="M86" s="10" t="str">
        <f t="shared" si="23"/>
        <v/>
      </c>
      <c r="N86" s="10" t="str">
        <f t="shared" si="24"/>
        <v/>
      </c>
      <c r="O86" s="10" t="str">
        <f t="shared" si="25"/>
        <v/>
      </c>
      <c r="P86" s="10" t="str">
        <f t="shared" si="26"/>
        <v/>
      </c>
      <c r="Q86" s="14" t="str">
        <f t="shared" si="27"/>
        <v/>
      </c>
    </row>
    <row r="87" spans="1:17" x14ac:dyDescent="0.25">
      <c r="A87" s="4">
        <v>47178</v>
      </c>
      <c r="B87" s="5" t="str">
        <f>IF('Catalogo de Variaveis'!Q92="","",SUM('Catalogo de Variaveis'!Q89:Q92))</f>
        <v/>
      </c>
      <c r="C87" s="15" t="str">
        <f>IFERROR(IF($B87="","",AVERAGE('Catalogo de Variaveis'!Q92-'Catalogo de Variaveis'!Q91,'Catalogo de Variaveis'!Q91-'Catalogo de Variaveis'!Q90,'Catalogo de Variaveis'!Q90-'Catalogo de Variaveis'!Q89,'Catalogo de Variaveis'!Q89-'Catalogo de Variaveis'!Q88)),0)</f>
        <v/>
      </c>
      <c r="D87" s="13" t="str">
        <f t="shared" si="18"/>
        <v/>
      </c>
      <c r="E87" s="10" t="str">
        <f t="shared" si="14"/>
        <v/>
      </c>
      <c r="F87" s="10" t="str">
        <f t="shared" si="15"/>
        <v/>
      </c>
      <c r="G87" s="10" t="str">
        <f t="shared" si="19"/>
        <v/>
      </c>
      <c r="H87" s="10" t="str">
        <f t="shared" si="16"/>
        <v/>
      </c>
      <c r="I87" s="10" t="str">
        <f t="shared" si="20"/>
        <v/>
      </c>
      <c r="J87" s="14" t="str">
        <f t="shared" si="17"/>
        <v/>
      </c>
      <c r="K87" s="13" t="str">
        <f t="shared" si="21"/>
        <v/>
      </c>
      <c r="L87" s="10" t="str">
        <f t="shared" si="22"/>
        <v/>
      </c>
      <c r="M87" s="10" t="str">
        <f t="shared" si="23"/>
        <v/>
      </c>
      <c r="N87" s="10" t="str">
        <f t="shared" si="24"/>
        <v/>
      </c>
      <c r="O87" s="10" t="str">
        <f t="shared" si="25"/>
        <v/>
      </c>
      <c r="P87" s="10" t="str">
        <f t="shared" si="26"/>
        <v/>
      </c>
      <c r="Q87" s="14" t="str">
        <f t="shared" si="27"/>
        <v/>
      </c>
    </row>
    <row r="88" spans="1:17" x14ac:dyDescent="0.25">
      <c r="A88" s="4">
        <v>47209</v>
      </c>
      <c r="B88" s="5" t="str">
        <f>IF('Catalogo de Variaveis'!Q93="","",SUM('Catalogo de Variaveis'!Q90:Q93))</f>
        <v/>
      </c>
      <c r="C88" s="15" t="str">
        <f>IFERROR(IF($B88="","",AVERAGE('Catalogo de Variaveis'!Q93-'Catalogo de Variaveis'!Q92,'Catalogo de Variaveis'!Q92-'Catalogo de Variaveis'!Q91,'Catalogo de Variaveis'!Q91-'Catalogo de Variaveis'!Q90,'Catalogo de Variaveis'!Q90-'Catalogo de Variaveis'!Q89)),0)</f>
        <v/>
      </c>
      <c r="D88" s="13" t="str">
        <f t="shared" si="18"/>
        <v/>
      </c>
      <c r="E88" s="10" t="str">
        <f t="shared" si="14"/>
        <v/>
      </c>
      <c r="F88" s="10" t="str">
        <f t="shared" si="15"/>
        <v/>
      </c>
      <c r="G88" s="10" t="str">
        <f t="shared" si="19"/>
        <v/>
      </c>
      <c r="H88" s="10" t="str">
        <f t="shared" si="16"/>
        <v/>
      </c>
      <c r="I88" s="10" t="str">
        <f t="shared" si="20"/>
        <v/>
      </c>
      <c r="J88" s="14" t="str">
        <f t="shared" si="17"/>
        <v/>
      </c>
      <c r="K88" s="13" t="str">
        <f t="shared" si="21"/>
        <v/>
      </c>
      <c r="L88" s="10" t="str">
        <f t="shared" si="22"/>
        <v/>
      </c>
      <c r="M88" s="10" t="str">
        <f t="shared" si="23"/>
        <v/>
      </c>
      <c r="N88" s="10" t="str">
        <f t="shared" si="24"/>
        <v/>
      </c>
      <c r="O88" s="10" t="str">
        <f t="shared" si="25"/>
        <v/>
      </c>
      <c r="P88" s="10" t="str">
        <f t="shared" si="26"/>
        <v/>
      </c>
      <c r="Q88" s="14" t="str">
        <f t="shared" si="27"/>
        <v/>
      </c>
    </row>
    <row r="89" spans="1:17" x14ac:dyDescent="0.25">
      <c r="A89" s="4">
        <v>47239</v>
      </c>
      <c r="B89" s="5" t="str">
        <f>IF('Catalogo de Variaveis'!Q94="","",SUM('Catalogo de Variaveis'!Q91:Q94))</f>
        <v/>
      </c>
      <c r="C89" s="15" t="str">
        <f>IFERROR(IF($B89="","",AVERAGE('Catalogo de Variaveis'!Q94-'Catalogo de Variaveis'!Q93,'Catalogo de Variaveis'!Q93-'Catalogo de Variaveis'!Q92,'Catalogo de Variaveis'!Q92-'Catalogo de Variaveis'!Q91,'Catalogo de Variaveis'!Q91-'Catalogo de Variaveis'!Q90)),0)</f>
        <v/>
      </c>
      <c r="D89" s="13" t="str">
        <f t="shared" si="18"/>
        <v/>
      </c>
      <c r="E89" s="10" t="str">
        <f t="shared" si="14"/>
        <v/>
      </c>
      <c r="F89" s="10" t="str">
        <f t="shared" si="15"/>
        <v/>
      </c>
      <c r="G89" s="10" t="str">
        <f t="shared" si="19"/>
        <v/>
      </c>
      <c r="H89" s="10" t="str">
        <f t="shared" si="16"/>
        <v/>
      </c>
      <c r="I89" s="10" t="str">
        <f t="shared" si="20"/>
        <v/>
      </c>
      <c r="J89" s="14" t="str">
        <f t="shared" si="17"/>
        <v/>
      </c>
      <c r="K89" s="13" t="str">
        <f t="shared" si="21"/>
        <v/>
      </c>
      <c r="L89" s="10" t="str">
        <f t="shared" si="22"/>
        <v/>
      </c>
      <c r="M89" s="10" t="str">
        <f t="shared" si="23"/>
        <v/>
      </c>
      <c r="N89" s="10" t="str">
        <f t="shared" si="24"/>
        <v/>
      </c>
      <c r="O89" s="10" t="str">
        <f t="shared" si="25"/>
        <v/>
      </c>
      <c r="P89" s="10" t="str">
        <f t="shared" si="26"/>
        <v/>
      </c>
      <c r="Q89" s="14" t="str">
        <f t="shared" si="27"/>
        <v/>
      </c>
    </row>
    <row r="90" spans="1:17" x14ac:dyDescent="0.25">
      <c r="A90" s="4">
        <v>47270</v>
      </c>
      <c r="B90" s="5" t="str">
        <f>IF('Catalogo de Variaveis'!Q95="","",SUM('Catalogo de Variaveis'!Q92:Q95))</f>
        <v/>
      </c>
      <c r="C90" s="15" t="str">
        <f>IFERROR(IF($B90="","",AVERAGE('Catalogo de Variaveis'!Q95-'Catalogo de Variaveis'!Q94,'Catalogo de Variaveis'!Q94-'Catalogo de Variaveis'!Q93,'Catalogo de Variaveis'!Q93-'Catalogo de Variaveis'!Q92,'Catalogo de Variaveis'!Q92-'Catalogo de Variaveis'!Q91)),0)</f>
        <v/>
      </c>
      <c r="D90" s="13" t="str">
        <f t="shared" si="18"/>
        <v/>
      </c>
      <c r="E90" s="10" t="str">
        <f t="shared" si="14"/>
        <v/>
      </c>
      <c r="F90" s="10" t="str">
        <f t="shared" si="15"/>
        <v/>
      </c>
      <c r="G90" s="10" t="str">
        <f t="shared" si="19"/>
        <v/>
      </c>
      <c r="H90" s="10" t="str">
        <f t="shared" si="16"/>
        <v/>
      </c>
      <c r="I90" s="10" t="str">
        <f t="shared" si="20"/>
        <v/>
      </c>
      <c r="J90" s="14" t="str">
        <f t="shared" si="17"/>
        <v/>
      </c>
      <c r="K90" s="13" t="str">
        <f t="shared" si="21"/>
        <v/>
      </c>
      <c r="L90" s="10" t="str">
        <f t="shared" si="22"/>
        <v/>
      </c>
      <c r="M90" s="10" t="str">
        <f t="shared" si="23"/>
        <v/>
      </c>
      <c r="N90" s="10" t="str">
        <f t="shared" si="24"/>
        <v/>
      </c>
      <c r="O90" s="10" t="str">
        <f t="shared" si="25"/>
        <v/>
      </c>
      <c r="P90" s="10" t="str">
        <f t="shared" si="26"/>
        <v/>
      </c>
      <c r="Q90" s="14" t="str">
        <f t="shared" si="27"/>
        <v/>
      </c>
    </row>
    <row r="91" spans="1:17" x14ac:dyDescent="0.25">
      <c r="A91" s="4">
        <v>47300</v>
      </c>
      <c r="B91" s="5" t="str">
        <f>IF('Catalogo de Variaveis'!Q96="","",SUM('Catalogo de Variaveis'!Q93:Q96))</f>
        <v/>
      </c>
      <c r="C91" s="15" t="str">
        <f>IFERROR(IF($B91="","",AVERAGE('Catalogo de Variaveis'!Q96-'Catalogo de Variaveis'!Q95,'Catalogo de Variaveis'!Q95-'Catalogo de Variaveis'!Q94,'Catalogo de Variaveis'!Q94-'Catalogo de Variaveis'!Q93,'Catalogo de Variaveis'!Q93-'Catalogo de Variaveis'!Q92)),0)</f>
        <v/>
      </c>
      <c r="D91" s="13" t="str">
        <f t="shared" si="18"/>
        <v/>
      </c>
      <c r="E91" s="10" t="str">
        <f t="shared" si="14"/>
        <v/>
      </c>
      <c r="F91" s="10" t="str">
        <f t="shared" si="15"/>
        <v/>
      </c>
      <c r="G91" s="10" t="str">
        <f t="shared" si="19"/>
        <v/>
      </c>
      <c r="H91" s="10" t="str">
        <f t="shared" si="16"/>
        <v/>
      </c>
      <c r="I91" s="10" t="str">
        <f t="shared" si="20"/>
        <v/>
      </c>
      <c r="J91" s="14" t="str">
        <f t="shared" si="17"/>
        <v/>
      </c>
      <c r="K91" s="13" t="str">
        <f t="shared" si="21"/>
        <v/>
      </c>
      <c r="L91" s="10" t="str">
        <f t="shared" si="22"/>
        <v/>
      </c>
      <c r="M91" s="10" t="str">
        <f t="shared" si="23"/>
        <v/>
      </c>
      <c r="N91" s="10" t="str">
        <f t="shared" si="24"/>
        <v/>
      </c>
      <c r="O91" s="10" t="str">
        <f t="shared" si="25"/>
        <v/>
      </c>
      <c r="P91" s="10" t="str">
        <f t="shared" si="26"/>
        <v/>
      </c>
      <c r="Q91" s="14" t="str">
        <f t="shared" si="27"/>
        <v/>
      </c>
    </row>
    <row r="92" spans="1:17" x14ac:dyDescent="0.25">
      <c r="A92" s="4">
        <v>47331</v>
      </c>
      <c r="B92" s="5" t="str">
        <f>IF('Catalogo de Variaveis'!Q97="","",SUM('Catalogo de Variaveis'!Q94:Q97))</f>
        <v/>
      </c>
      <c r="C92" s="15" t="str">
        <f>IFERROR(IF($B92="","",AVERAGE('Catalogo de Variaveis'!Q97-'Catalogo de Variaveis'!Q96,'Catalogo de Variaveis'!Q96-'Catalogo de Variaveis'!Q95,'Catalogo de Variaveis'!Q95-'Catalogo de Variaveis'!Q94,'Catalogo de Variaveis'!Q94-'Catalogo de Variaveis'!Q93)),0)</f>
        <v/>
      </c>
      <c r="D92" s="13" t="str">
        <f t="shared" si="18"/>
        <v/>
      </c>
      <c r="E92" s="10" t="str">
        <f t="shared" si="14"/>
        <v/>
      </c>
      <c r="F92" s="10" t="str">
        <f t="shared" si="15"/>
        <v/>
      </c>
      <c r="G92" s="10" t="str">
        <f t="shared" si="19"/>
        <v/>
      </c>
      <c r="H92" s="10" t="str">
        <f t="shared" si="16"/>
        <v/>
      </c>
      <c r="I92" s="10" t="str">
        <f t="shared" si="20"/>
        <v/>
      </c>
      <c r="J92" s="14" t="str">
        <f t="shared" si="17"/>
        <v/>
      </c>
      <c r="K92" s="13" t="str">
        <f t="shared" si="21"/>
        <v/>
      </c>
      <c r="L92" s="10" t="str">
        <f t="shared" si="22"/>
        <v/>
      </c>
      <c r="M92" s="10" t="str">
        <f t="shared" si="23"/>
        <v/>
      </c>
      <c r="N92" s="10" t="str">
        <f t="shared" si="24"/>
        <v/>
      </c>
      <c r="O92" s="10" t="str">
        <f t="shared" si="25"/>
        <v/>
      </c>
      <c r="P92" s="10" t="str">
        <f t="shared" si="26"/>
        <v/>
      </c>
      <c r="Q92" s="14" t="str">
        <f t="shared" si="27"/>
        <v/>
      </c>
    </row>
    <row r="93" spans="1:17" x14ac:dyDescent="0.25">
      <c r="A93" s="4">
        <v>47362</v>
      </c>
      <c r="B93" s="5" t="str">
        <f>IF('Catalogo de Variaveis'!Q98="","",SUM('Catalogo de Variaveis'!Q95:Q98))</f>
        <v/>
      </c>
      <c r="C93" s="15" t="str">
        <f>IFERROR(IF($B93="","",AVERAGE('Catalogo de Variaveis'!Q98-'Catalogo de Variaveis'!Q97,'Catalogo de Variaveis'!Q97-'Catalogo de Variaveis'!Q96,'Catalogo de Variaveis'!Q96-'Catalogo de Variaveis'!Q95,'Catalogo de Variaveis'!Q95-'Catalogo de Variaveis'!Q94)),0)</f>
        <v/>
      </c>
      <c r="D93" s="13" t="str">
        <f t="shared" si="18"/>
        <v/>
      </c>
      <c r="E93" s="10" t="str">
        <f t="shared" si="14"/>
        <v/>
      </c>
      <c r="F93" s="10" t="str">
        <f t="shared" si="15"/>
        <v/>
      </c>
      <c r="G93" s="10" t="str">
        <f t="shared" si="19"/>
        <v/>
      </c>
      <c r="H93" s="10" t="str">
        <f t="shared" si="16"/>
        <v/>
      </c>
      <c r="I93" s="10" t="str">
        <f t="shared" si="20"/>
        <v/>
      </c>
      <c r="J93" s="14" t="str">
        <f t="shared" si="17"/>
        <v/>
      </c>
      <c r="K93" s="13" t="str">
        <f t="shared" si="21"/>
        <v/>
      </c>
      <c r="L93" s="10" t="str">
        <f t="shared" si="22"/>
        <v/>
      </c>
      <c r="M93" s="10" t="str">
        <f t="shared" si="23"/>
        <v/>
      </c>
      <c r="N93" s="10" t="str">
        <f t="shared" si="24"/>
        <v/>
      </c>
      <c r="O93" s="10" t="str">
        <f t="shared" si="25"/>
        <v/>
      </c>
      <c r="P93" s="10" t="str">
        <f t="shared" si="26"/>
        <v/>
      </c>
      <c r="Q93" s="14" t="str">
        <f t="shared" si="27"/>
        <v/>
      </c>
    </row>
    <row r="94" spans="1:17" x14ac:dyDescent="0.25">
      <c r="A94" s="4">
        <v>47392</v>
      </c>
      <c r="B94" s="5" t="str">
        <f>IF('Catalogo de Variaveis'!Q99="","",SUM('Catalogo de Variaveis'!Q96:Q99))</f>
        <v/>
      </c>
      <c r="C94" s="15" t="str">
        <f>IFERROR(IF($B94="","",AVERAGE('Catalogo de Variaveis'!Q99-'Catalogo de Variaveis'!Q98,'Catalogo de Variaveis'!Q98-'Catalogo de Variaveis'!Q97,'Catalogo de Variaveis'!Q97-'Catalogo de Variaveis'!Q96,'Catalogo de Variaveis'!Q96-'Catalogo de Variaveis'!Q95)),0)</f>
        <v/>
      </c>
      <c r="D94" s="13" t="str">
        <f t="shared" si="18"/>
        <v/>
      </c>
      <c r="E94" s="10" t="str">
        <f t="shared" si="14"/>
        <v/>
      </c>
      <c r="F94" s="10" t="str">
        <f t="shared" si="15"/>
        <v/>
      </c>
      <c r="G94" s="10" t="str">
        <f t="shared" si="19"/>
        <v/>
      </c>
      <c r="H94" s="10" t="str">
        <f t="shared" si="16"/>
        <v/>
      </c>
      <c r="I94" s="10" t="str">
        <f t="shared" si="20"/>
        <v/>
      </c>
      <c r="J94" s="14" t="str">
        <f t="shared" si="17"/>
        <v/>
      </c>
      <c r="K94" s="13" t="str">
        <f t="shared" si="21"/>
        <v/>
      </c>
      <c r="L94" s="10" t="str">
        <f t="shared" si="22"/>
        <v/>
      </c>
      <c r="M94" s="10" t="str">
        <f t="shared" si="23"/>
        <v/>
      </c>
      <c r="N94" s="10" t="str">
        <f t="shared" si="24"/>
        <v/>
      </c>
      <c r="O94" s="10" t="str">
        <f t="shared" si="25"/>
        <v/>
      </c>
      <c r="P94" s="10" t="str">
        <f t="shared" si="26"/>
        <v/>
      </c>
      <c r="Q94" s="14" t="str">
        <f t="shared" si="27"/>
        <v/>
      </c>
    </row>
    <row r="95" spans="1:17" x14ac:dyDescent="0.25">
      <c r="A95" s="4">
        <v>47423</v>
      </c>
      <c r="B95" s="5" t="str">
        <f>IF('Catalogo de Variaveis'!Q100="","",SUM('Catalogo de Variaveis'!Q97:Q100))</f>
        <v/>
      </c>
      <c r="C95" s="15" t="str">
        <f>IFERROR(IF($B95="","",AVERAGE('Catalogo de Variaveis'!Q100-'Catalogo de Variaveis'!Q99,'Catalogo de Variaveis'!Q99-'Catalogo de Variaveis'!Q98,'Catalogo de Variaveis'!Q98-'Catalogo de Variaveis'!Q97,'Catalogo de Variaveis'!Q97-'Catalogo de Variaveis'!Q96)),0)</f>
        <v/>
      </c>
      <c r="D95" s="13" t="str">
        <f t="shared" si="18"/>
        <v/>
      </c>
      <c r="E95" s="10" t="str">
        <f t="shared" ref="E95:E96" si="28">IF($B95="","",IF(OR($J$1="",$J$2=""),$B$1-2*$B$2,$J$1-2*$J$2))</f>
        <v/>
      </c>
      <c r="F95" s="10" t="str">
        <f t="shared" ref="F95:F96" si="29">IF($B95="","",IF(OR($J$1="",$J$2=""),$B$1-$B$2,$J$1-$J$2))</f>
        <v/>
      </c>
      <c r="G95" s="10" t="str">
        <f t="shared" si="19"/>
        <v/>
      </c>
      <c r="H95" s="10" t="str">
        <f t="shared" ref="H95:H96" si="30">IF($B95="","",IF(OR($J$1="",$J$2=""),$B$1+$B$2,$J$1+$J$2))</f>
        <v/>
      </c>
      <c r="I95" s="10" t="str">
        <f t="shared" si="20"/>
        <v/>
      </c>
      <c r="J95" s="14" t="str">
        <f t="shared" ref="J95:J96" si="31">IF($B95="","",IF(OR($J$1="",$J$2=""),$B$1+3*$B$2,$J$1+3*$J$2))</f>
        <v/>
      </c>
      <c r="K95" s="13" t="str">
        <f t="shared" si="21"/>
        <v/>
      </c>
      <c r="L95" s="10" t="str">
        <f t="shared" si="22"/>
        <v/>
      </c>
      <c r="M95" s="10" t="str">
        <f t="shared" si="23"/>
        <v/>
      </c>
      <c r="N95" s="10" t="str">
        <f t="shared" si="24"/>
        <v/>
      </c>
      <c r="O95" s="10" t="str">
        <f t="shared" si="25"/>
        <v/>
      </c>
      <c r="P95" s="10" t="str">
        <f t="shared" si="26"/>
        <v/>
      </c>
      <c r="Q95" s="14" t="str">
        <f t="shared" si="27"/>
        <v/>
      </c>
    </row>
    <row r="96" spans="1:17" x14ac:dyDescent="0.25">
      <c r="A96" s="4">
        <v>47453</v>
      </c>
      <c r="B96" s="5" t="str">
        <f>IF('Catalogo de Variaveis'!Q101="","",SUM('Catalogo de Variaveis'!Q98:Q101))</f>
        <v/>
      </c>
      <c r="C96" s="15" t="str">
        <f>IFERROR(IF($B96="","",AVERAGE('Catalogo de Variaveis'!Q101-'Catalogo de Variaveis'!Q100,'Catalogo de Variaveis'!Q100-'Catalogo de Variaveis'!Q99,'Catalogo de Variaveis'!Q99-'Catalogo de Variaveis'!Q98,'Catalogo de Variaveis'!Q98-'Catalogo de Variaveis'!Q97)),0)</f>
        <v/>
      </c>
      <c r="D96" s="13" t="str">
        <f t="shared" si="18"/>
        <v/>
      </c>
      <c r="E96" s="10" t="str">
        <f t="shared" si="28"/>
        <v/>
      </c>
      <c r="F96" s="10" t="str">
        <f t="shared" si="29"/>
        <v/>
      </c>
      <c r="G96" s="10" t="str">
        <f t="shared" si="19"/>
        <v/>
      </c>
      <c r="H96" s="10" t="str">
        <f t="shared" si="30"/>
        <v/>
      </c>
      <c r="I96" s="10" t="str">
        <f t="shared" si="20"/>
        <v/>
      </c>
      <c r="J96" s="14" t="str">
        <f t="shared" si="31"/>
        <v/>
      </c>
      <c r="K96" s="13" t="str">
        <f t="shared" si="21"/>
        <v/>
      </c>
      <c r="L96" s="10" t="str">
        <f t="shared" si="22"/>
        <v/>
      </c>
      <c r="M96" s="10" t="str">
        <f t="shared" si="23"/>
        <v/>
      </c>
      <c r="N96" s="10" t="str">
        <f t="shared" si="24"/>
        <v/>
      </c>
      <c r="O96" s="10" t="str">
        <f t="shared" si="25"/>
        <v/>
      </c>
      <c r="P96" s="10" t="str">
        <f t="shared" si="26"/>
        <v/>
      </c>
      <c r="Q96" s="14" t="str">
        <f t="shared" si="27"/>
        <v/>
      </c>
    </row>
  </sheetData>
  <mergeCells count="4">
    <mergeCell ref="A5:Q6"/>
    <mergeCell ref="A7:C7"/>
    <mergeCell ref="D7:J7"/>
    <mergeCell ref="K7:Q7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A38F-2494-4AE5-9319-FC5EFEBCA248}">
  <dimension ref="A1:Q96"/>
  <sheetViews>
    <sheetView topLeftCell="A5" zoomScale="161" zoomScaleNormal="161" workbookViewId="0">
      <selection activeCell="H13" sqref="H13"/>
    </sheetView>
  </sheetViews>
  <sheetFormatPr defaultColWidth="0" defaultRowHeight="15" x14ac:dyDescent="0.25"/>
  <cols>
    <col min="1" max="1" width="13.85546875" style="2" bestFit="1" customWidth="1"/>
    <col min="2" max="3" width="10.7109375" customWidth="1"/>
    <col min="4" max="17" width="9.140625" customWidth="1"/>
    <col min="18" max="16384" width="9.140625" hidden="1"/>
  </cols>
  <sheetData>
    <row r="1" spans="1:17" hidden="1" x14ac:dyDescent="0.25">
      <c r="A1" s="7" t="s">
        <v>0</v>
      </c>
      <c r="B1" s="9">
        <f>AVERAGE(B9:B1048576)</f>
        <v>0.31578947368421051</v>
      </c>
      <c r="C1" s="9">
        <f>AVERAGE(C9:C1048576)</f>
        <v>0</v>
      </c>
      <c r="I1" s="7" t="s">
        <v>25</v>
      </c>
      <c r="J1" s="16" t="str">
        <f>IF(LME="","",LME)</f>
        <v/>
      </c>
    </row>
    <row r="2" spans="1:17" hidden="1" x14ac:dyDescent="0.25">
      <c r="A2" s="7" t="s">
        <v>1</v>
      </c>
      <c r="B2" s="9">
        <f>_xlfn.STDEV.S(B9:B1048576)</f>
        <v>0.47106912087607561</v>
      </c>
      <c r="C2" s="9">
        <f>_xlfn.STDEV.S(C9:C1048576)</f>
        <v>0.10067340828210365</v>
      </c>
      <c r="I2" s="7" t="s">
        <v>26</v>
      </c>
      <c r="J2" s="16" t="str">
        <f>IF(VME="","",VME/3)</f>
        <v/>
      </c>
    </row>
    <row r="3" spans="1:17" hidden="1" x14ac:dyDescent="0.25">
      <c r="A3" s="7" t="s">
        <v>2</v>
      </c>
      <c r="B3" s="9">
        <f>MAX(B9:B1048576)</f>
        <v>1</v>
      </c>
      <c r="C3" s="9">
        <f>MAX(C9:C1048576)</f>
        <v>0.25</v>
      </c>
    </row>
    <row r="4" spans="1:17" hidden="1" x14ac:dyDescent="0.25">
      <c r="A4" s="7" t="s">
        <v>3</v>
      </c>
      <c r="B4" s="9">
        <f>MIN(B9:B1048576)</f>
        <v>0</v>
      </c>
      <c r="C4" s="9">
        <f>MIN(C9:C1048576)</f>
        <v>-0.25</v>
      </c>
    </row>
    <row r="5" spans="1:17" x14ac:dyDescent="0.25">
      <c r="A5" s="22" t="s">
        <v>56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>
        <v>44805</v>
      </c>
      <c r="B9" s="5">
        <f>IF('Catalogo de Variaveis'!R14="","",SUM('Catalogo de Variaveis'!R11:R14))</f>
        <v>0</v>
      </c>
      <c r="C9" s="15">
        <f>IFERROR(IF($B9="","",AVERAGE('Catalogo de Variaveis'!R14-'Catalogo de Variaveis'!R13,'Catalogo de Variaveis'!R13-'Catalogo de Variaveis'!R12,'Catalogo de Variaveis'!R12-'Catalogo de Variaveis'!R11,'Catalogo de Variaveis'!R11-'Catalogo de Variaveis'!R10)),0)</f>
        <v>0</v>
      </c>
      <c r="D9" s="13">
        <f t="shared" ref="D9:D59" si="0">IF($B9="","",IF(OR($J$1="",$J$2=""),$B$1-3*$B$2,$J$1-3*$J$2))</f>
        <v>-1.0974178889440163</v>
      </c>
      <c r="E9" s="10">
        <f t="shared" ref="E9:E29" si="1">IF($B9="","",IF(OR($J$1="",$J$2=""),$B$1-2*$B$2,$J$1-2*$J$2))</f>
        <v>-0.62634876806794071</v>
      </c>
      <c r="F9" s="10">
        <f t="shared" ref="F9:F29" si="2">IF($B9="","",IF(OR($J$1="",$J$2=""),$B$1-$B$2,$J$1-$J$2))</f>
        <v>-0.1552796471918651</v>
      </c>
      <c r="G9" s="10">
        <f t="shared" ref="G9:G59" si="3">IF($B9="","",IF(OR($J$1="",$J$2=""),$B$1,$J$1))</f>
        <v>0.31578947368421051</v>
      </c>
      <c r="H9" s="10">
        <f t="shared" ref="H9:H29" si="4">IF($B9="","",IF(OR($J$1="",$J$2=""),$B$1+$B$2,$J$1+$J$2))</f>
        <v>0.78685859456028617</v>
      </c>
      <c r="I9" s="10">
        <f t="shared" ref="I9:I59" si="5">IF($B9="","",IF(OR($J$1="",$J$2=""),$B$1+2*$B$2,$J$1+2*$J$2))</f>
        <v>1.2579277154363617</v>
      </c>
      <c r="J9" s="14">
        <f t="shared" ref="J9:J29" si="6">IF($B9="","",IF(OR($J$1="",$J$2=""),$B$1+3*$B$2,$J$1+3*$J$2))</f>
        <v>1.7289968363124375</v>
      </c>
      <c r="K9" s="13">
        <f t="shared" ref="K9:K72" si="7">IF($B9="","",$C$1-3*$C$2)</f>
        <v>-0.30202022484631097</v>
      </c>
      <c r="L9" s="10">
        <f t="shared" ref="L9:L72" si="8">IF($B9="","",$C$1-2*$C$2)</f>
        <v>-0.2013468165642073</v>
      </c>
      <c r="M9" s="10">
        <f t="shared" ref="M9:M72" si="9">IF($B9="","",$C$1-$C$2)</f>
        <v>-0.10067340828210365</v>
      </c>
      <c r="N9" s="10">
        <f t="shared" ref="N9:N72" si="10">IF($B9="","",$C$1)</f>
        <v>0</v>
      </c>
      <c r="O9" s="10">
        <f t="shared" ref="O9:O72" si="11">IF($B9="","",$C$1+1*$C$2)</f>
        <v>0.10067340828210365</v>
      </c>
      <c r="P9" s="10">
        <f t="shared" ref="P9:P72" si="12">IF($B9="","",$C$1+2*$C$2)</f>
        <v>0.2013468165642073</v>
      </c>
      <c r="Q9" s="14">
        <f t="shared" ref="Q9:Q72" si="13">IF($B9="","",$C$1+3*$C$2)</f>
        <v>0.30202022484631097</v>
      </c>
    </row>
    <row r="10" spans="1:17" x14ac:dyDescent="0.25">
      <c r="A10" s="4">
        <v>44835</v>
      </c>
      <c r="B10" s="5">
        <f>IF('Catalogo de Variaveis'!R15="","",SUM('Catalogo de Variaveis'!R12:R15))</f>
        <v>0</v>
      </c>
      <c r="C10" s="15">
        <f>IFERROR(IF($B10="","",AVERAGE('Catalogo de Variaveis'!R15-'Catalogo de Variaveis'!R14,'Catalogo de Variaveis'!R14-'Catalogo de Variaveis'!R13,'Catalogo de Variaveis'!R13-'Catalogo de Variaveis'!R12,'Catalogo de Variaveis'!R12-'Catalogo de Variaveis'!R11)),0)</f>
        <v>0</v>
      </c>
      <c r="D10" s="13">
        <f t="shared" si="0"/>
        <v>-1.0974178889440163</v>
      </c>
      <c r="E10" s="10">
        <f t="shared" si="1"/>
        <v>-0.62634876806794071</v>
      </c>
      <c r="F10" s="10">
        <f t="shared" si="2"/>
        <v>-0.1552796471918651</v>
      </c>
      <c r="G10" s="10">
        <f t="shared" si="3"/>
        <v>0.31578947368421051</v>
      </c>
      <c r="H10" s="10">
        <f t="shared" si="4"/>
        <v>0.78685859456028617</v>
      </c>
      <c r="I10" s="10">
        <f t="shared" si="5"/>
        <v>1.2579277154363617</v>
      </c>
      <c r="J10" s="14">
        <f t="shared" si="6"/>
        <v>1.7289968363124375</v>
      </c>
      <c r="K10" s="13">
        <f t="shared" si="7"/>
        <v>-0.30202022484631097</v>
      </c>
      <c r="L10" s="10">
        <f t="shared" si="8"/>
        <v>-0.2013468165642073</v>
      </c>
      <c r="M10" s="10">
        <f t="shared" si="9"/>
        <v>-0.10067340828210365</v>
      </c>
      <c r="N10" s="10">
        <f t="shared" si="10"/>
        <v>0</v>
      </c>
      <c r="O10" s="10">
        <f t="shared" si="11"/>
        <v>0.10067340828210365</v>
      </c>
      <c r="P10" s="10">
        <f t="shared" si="12"/>
        <v>0.2013468165642073</v>
      </c>
      <c r="Q10" s="14">
        <f t="shared" si="13"/>
        <v>0.30202022484631097</v>
      </c>
    </row>
    <row r="11" spans="1:17" x14ac:dyDescent="0.25">
      <c r="A11" s="4">
        <v>44866</v>
      </c>
      <c r="B11" s="5">
        <f>IF('Catalogo de Variaveis'!R16="","",SUM('Catalogo de Variaveis'!R13:R16))</f>
        <v>0</v>
      </c>
      <c r="C11" s="15">
        <f>IFERROR(IF($B11="","",AVERAGE('Catalogo de Variaveis'!R16-'Catalogo de Variaveis'!R15,'Catalogo de Variaveis'!R15-'Catalogo de Variaveis'!R14,'Catalogo de Variaveis'!R14-'Catalogo de Variaveis'!R13,'Catalogo de Variaveis'!R13-'Catalogo de Variaveis'!R12)),0)</f>
        <v>0</v>
      </c>
      <c r="D11" s="13">
        <f t="shared" si="0"/>
        <v>-1.0974178889440163</v>
      </c>
      <c r="E11" s="10">
        <f t="shared" si="1"/>
        <v>-0.62634876806794071</v>
      </c>
      <c r="F11" s="10">
        <f t="shared" si="2"/>
        <v>-0.1552796471918651</v>
      </c>
      <c r="G11" s="10">
        <f t="shared" si="3"/>
        <v>0.31578947368421051</v>
      </c>
      <c r="H11" s="10">
        <f t="shared" si="4"/>
        <v>0.78685859456028617</v>
      </c>
      <c r="I11" s="10">
        <f t="shared" si="5"/>
        <v>1.2579277154363617</v>
      </c>
      <c r="J11" s="14">
        <f t="shared" si="6"/>
        <v>1.7289968363124375</v>
      </c>
      <c r="K11" s="13">
        <f t="shared" si="7"/>
        <v>-0.30202022484631097</v>
      </c>
      <c r="L11" s="10">
        <f t="shared" si="8"/>
        <v>-0.2013468165642073</v>
      </c>
      <c r="M11" s="10">
        <f t="shared" si="9"/>
        <v>-0.10067340828210365</v>
      </c>
      <c r="N11" s="10">
        <f t="shared" si="10"/>
        <v>0</v>
      </c>
      <c r="O11" s="10">
        <f t="shared" si="11"/>
        <v>0.10067340828210365</v>
      </c>
      <c r="P11" s="10">
        <f t="shared" si="12"/>
        <v>0.2013468165642073</v>
      </c>
      <c r="Q11" s="14">
        <f t="shared" si="13"/>
        <v>0.30202022484631097</v>
      </c>
    </row>
    <row r="12" spans="1:17" x14ac:dyDescent="0.25">
      <c r="A12" s="4">
        <v>44896</v>
      </c>
      <c r="B12" s="5">
        <f>IF('Catalogo de Variaveis'!R17="","",SUM('Catalogo de Variaveis'!R14:R17))</f>
        <v>1</v>
      </c>
      <c r="C12" s="15">
        <f>IFERROR(IF($B12="","",AVERAGE('Catalogo de Variaveis'!R17-'Catalogo de Variaveis'!R16,'Catalogo de Variaveis'!R16-'Catalogo de Variaveis'!R15,'Catalogo de Variaveis'!R15-'Catalogo de Variaveis'!R14,'Catalogo de Variaveis'!R14-'Catalogo de Variaveis'!R13)),0)</f>
        <v>0.25</v>
      </c>
      <c r="D12" s="13">
        <f t="shared" si="0"/>
        <v>-1.0974178889440163</v>
      </c>
      <c r="E12" s="10">
        <f t="shared" si="1"/>
        <v>-0.62634876806794071</v>
      </c>
      <c r="F12" s="10">
        <f t="shared" si="2"/>
        <v>-0.1552796471918651</v>
      </c>
      <c r="G12" s="10">
        <f t="shared" si="3"/>
        <v>0.31578947368421051</v>
      </c>
      <c r="H12" s="10">
        <f t="shared" si="4"/>
        <v>0.78685859456028617</v>
      </c>
      <c r="I12" s="10">
        <f t="shared" si="5"/>
        <v>1.2579277154363617</v>
      </c>
      <c r="J12" s="14">
        <f t="shared" si="6"/>
        <v>1.7289968363124375</v>
      </c>
      <c r="K12" s="13">
        <f t="shared" si="7"/>
        <v>-0.30202022484631097</v>
      </c>
      <c r="L12" s="10">
        <f t="shared" si="8"/>
        <v>-0.2013468165642073</v>
      </c>
      <c r="M12" s="10">
        <f t="shared" si="9"/>
        <v>-0.10067340828210365</v>
      </c>
      <c r="N12" s="10">
        <f t="shared" si="10"/>
        <v>0</v>
      </c>
      <c r="O12" s="10">
        <f t="shared" si="11"/>
        <v>0.10067340828210365</v>
      </c>
      <c r="P12" s="10">
        <f t="shared" si="12"/>
        <v>0.2013468165642073</v>
      </c>
      <c r="Q12" s="14">
        <f t="shared" si="13"/>
        <v>0.30202022484631097</v>
      </c>
    </row>
    <row r="13" spans="1:17" x14ac:dyDescent="0.25">
      <c r="A13" s="4">
        <v>44927</v>
      </c>
      <c r="B13" s="5">
        <f>IF('Catalogo de Variaveis'!R18="","",SUM('Catalogo de Variaveis'!R15:R18))</f>
        <v>1</v>
      </c>
      <c r="C13" s="15">
        <f>IFERROR(IF($B13="","",AVERAGE('Catalogo de Variaveis'!R18-'Catalogo de Variaveis'!R17,'Catalogo de Variaveis'!R17-'Catalogo de Variaveis'!R16,'Catalogo de Variaveis'!R16-'Catalogo de Variaveis'!R15,'Catalogo de Variaveis'!R15-'Catalogo de Variaveis'!R14)),0)</f>
        <v>0</v>
      </c>
      <c r="D13" s="13">
        <f t="shared" si="0"/>
        <v>-1.0974178889440163</v>
      </c>
      <c r="E13" s="10">
        <f t="shared" si="1"/>
        <v>-0.62634876806794071</v>
      </c>
      <c r="F13" s="10">
        <f t="shared" si="2"/>
        <v>-0.1552796471918651</v>
      </c>
      <c r="G13" s="10">
        <f t="shared" si="3"/>
        <v>0.31578947368421051</v>
      </c>
      <c r="H13" s="10">
        <f t="shared" si="4"/>
        <v>0.78685859456028617</v>
      </c>
      <c r="I13" s="10">
        <f t="shared" si="5"/>
        <v>1.2579277154363617</v>
      </c>
      <c r="J13" s="14">
        <f t="shared" si="6"/>
        <v>1.7289968363124375</v>
      </c>
      <c r="K13" s="13">
        <f t="shared" si="7"/>
        <v>-0.30202022484631097</v>
      </c>
      <c r="L13" s="10">
        <f t="shared" si="8"/>
        <v>-0.2013468165642073</v>
      </c>
      <c r="M13" s="10">
        <f t="shared" si="9"/>
        <v>-0.10067340828210365</v>
      </c>
      <c r="N13" s="10">
        <f t="shared" si="10"/>
        <v>0</v>
      </c>
      <c r="O13" s="10">
        <f t="shared" si="11"/>
        <v>0.10067340828210365</v>
      </c>
      <c r="P13" s="10">
        <f t="shared" si="12"/>
        <v>0.2013468165642073</v>
      </c>
      <c r="Q13" s="14">
        <f t="shared" si="13"/>
        <v>0.30202022484631097</v>
      </c>
    </row>
    <row r="14" spans="1:17" x14ac:dyDescent="0.25">
      <c r="A14" s="4">
        <v>44958</v>
      </c>
      <c r="B14" s="5">
        <f>IF('Catalogo de Variaveis'!R19="","",SUM('Catalogo de Variaveis'!R16:R19))</f>
        <v>1</v>
      </c>
      <c r="C14" s="15">
        <f>IFERROR(IF($B14="","",AVERAGE('Catalogo de Variaveis'!R19-'Catalogo de Variaveis'!R18,'Catalogo de Variaveis'!R18-'Catalogo de Variaveis'!R17,'Catalogo de Variaveis'!R17-'Catalogo de Variaveis'!R16,'Catalogo de Variaveis'!R16-'Catalogo de Variaveis'!R15)),0)</f>
        <v>0</v>
      </c>
      <c r="D14" s="13">
        <f t="shared" si="0"/>
        <v>-1.0974178889440163</v>
      </c>
      <c r="E14" s="10">
        <f t="shared" si="1"/>
        <v>-0.62634876806794071</v>
      </c>
      <c r="F14" s="10">
        <f t="shared" si="2"/>
        <v>-0.1552796471918651</v>
      </c>
      <c r="G14" s="10">
        <f t="shared" si="3"/>
        <v>0.31578947368421051</v>
      </c>
      <c r="H14" s="10">
        <f t="shared" si="4"/>
        <v>0.78685859456028617</v>
      </c>
      <c r="I14" s="10">
        <f t="shared" si="5"/>
        <v>1.2579277154363617</v>
      </c>
      <c r="J14" s="14">
        <f t="shared" si="6"/>
        <v>1.7289968363124375</v>
      </c>
      <c r="K14" s="13">
        <f t="shared" si="7"/>
        <v>-0.30202022484631097</v>
      </c>
      <c r="L14" s="10">
        <f t="shared" si="8"/>
        <v>-0.2013468165642073</v>
      </c>
      <c r="M14" s="10">
        <f t="shared" si="9"/>
        <v>-0.10067340828210365</v>
      </c>
      <c r="N14" s="10">
        <f t="shared" si="10"/>
        <v>0</v>
      </c>
      <c r="O14" s="10">
        <f t="shared" si="11"/>
        <v>0.10067340828210365</v>
      </c>
      <c r="P14" s="10">
        <f t="shared" si="12"/>
        <v>0.2013468165642073</v>
      </c>
      <c r="Q14" s="14">
        <f t="shared" si="13"/>
        <v>0.30202022484631097</v>
      </c>
    </row>
    <row r="15" spans="1:17" x14ac:dyDescent="0.25">
      <c r="A15" s="4">
        <v>44986</v>
      </c>
      <c r="B15" s="5">
        <f>IF('Catalogo de Variaveis'!R20="","",SUM('Catalogo de Variaveis'!R17:R20))</f>
        <v>1</v>
      </c>
      <c r="C15" s="15">
        <f>IFERROR(IF($B15="","",AVERAGE('Catalogo de Variaveis'!R20-'Catalogo de Variaveis'!R19,'Catalogo de Variaveis'!R19-'Catalogo de Variaveis'!R18,'Catalogo de Variaveis'!R18-'Catalogo de Variaveis'!R17,'Catalogo de Variaveis'!R17-'Catalogo de Variaveis'!R16)),0)</f>
        <v>0</v>
      </c>
      <c r="D15" s="13">
        <f t="shared" si="0"/>
        <v>-1.0974178889440163</v>
      </c>
      <c r="E15" s="10">
        <f t="shared" si="1"/>
        <v>-0.62634876806794071</v>
      </c>
      <c r="F15" s="10">
        <f t="shared" si="2"/>
        <v>-0.1552796471918651</v>
      </c>
      <c r="G15" s="10">
        <f t="shared" si="3"/>
        <v>0.31578947368421051</v>
      </c>
      <c r="H15" s="10">
        <f t="shared" si="4"/>
        <v>0.78685859456028617</v>
      </c>
      <c r="I15" s="10">
        <f t="shared" si="5"/>
        <v>1.2579277154363617</v>
      </c>
      <c r="J15" s="14">
        <f t="shared" si="6"/>
        <v>1.7289968363124375</v>
      </c>
      <c r="K15" s="13">
        <f t="shared" si="7"/>
        <v>-0.30202022484631097</v>
      </c>
      <c r="L15" s="10">
        <f t="shared" si="8"/>
        <v>-0.2013468165642073</v>
      </c>
      <c r="M15" s="10">
        <f t="shared" si="9"/>
        <v>-0.10067340828210365</v>
      </c>
      <c r="N15" s="10">
        <f t="shared" si="10"/>
        <v>0</v>
      </c>
      <c r="O15" s="10">
        <f t="shared" si="11"/>
        <v>0.10067340828210365</v>
      </c>
      <c r="P15" s="10">
        <f t="shared" si="12"/>
        <v>0.2013468165642073</v>
      </c>
      <c r="Q15" s="14">
        <f t="shared" si="13"/>
        <v>0.30202022484631097</v>
      </c>
    </row>
    <row r="16" spans="1:17" x14ac:dyDescent="0.25">
      <c r="A16" s="4">
        <v>45017</v>
      </c>
      <c r="B16" s="5">
        <f>IF('Catalogo de Variaveis'!R21="","",SUM('Catalogo de Variaveis'!R18:R21))</f>
        <v>0</v>
      </c>
      <c r="C16" s="15">
        <f>IFERROR(IF($B16="","",AVERAGE('Catalogo de Variaveis'!R21-'Catalogo de Variaveis'!R20,'Catalogo de Variaveis'!R20-'Catalogo de Variaveis'!R19,'Catalogo de Variaveis'!R19-'Catalogo de Variaveis'!R18,'Catalogo de Variaveis'!R18-'Catalogo de Variaveis'!R17)),0)</f>
        <v>-0.25</v>
      </c>
      <c r="D16" s="13">
        <f t="shared" si="0"/>
        <v>-1.0974178889440163</v>
      </c>
      <c r="E16" s="10">
        <f t="shared" si="1"/>
        <v>-0.62634876806794071</v>
      </c>
      <c r="F16" s="10">
        <f t="shared" si="2"/>
        <v>-0.1552796471918651</v>
      </c>
      <c r="G16" s="10">
        <f t="shared" si="3"/>
        <v>0.31578947368421051</v>
      </c>
      <c r="H16" s="10">
        <f t="shared" si="4"/>
        <v>0.78685859456028617</v>
      </c>
      <c r="I16" s="10">
        <f t="shared" si="5"/>
        <v>1.2579277154363617</v>
      </c>
      <c r="J16" s="14">
        <f t="shared" si="6"/>
        <v>1.7289968363124375</v>
      </c>
      <c r="K16" s="13">
        <f t="shared" si="7"/>
        <v>-0.30202022484631097</v>
      </c>
      <c r="L16" s="10">
        <f t="shared" si="8"/>
        <v>-0.2013468165642073</v>
      </c>
      <c r="M16" s="10">
        <f t="shared" si="9"/>
        <v>-0.10067340828210365</v>
      </c>
      <c r="N16" s="10">
        <f t="shared" si="10"/>
        <v>0</v>
      </c>
      <c r="O16" s="10">
        <f t="shared" si="11"/>
        <v>0.10067340828210365</v>
      </c>
      <c r="P16" s="10">
        <f t="shared" si="12"/>
        <v>0.2013468165642073</v>
      </c>
      <c r="Q16" s="14">
        <f t="shared" si="13"/>
        <v>0.30202022484631097</v>
      </c>
    </row>
    <row r="17" spans="1:17" x14ac:dyDescent="0.25">
      <c r="A17" s="4">
        <v>45047</v>
      </c>
      <c r="B17" s="5">
        <f>IF('Catalogo de Variaveis'!R22="","",SUM('Catalogo de Variaveis'!R19:R22))</f>
        <v>0</v>
      </c>
      <c r="C17" s="15">
        <f>IFERROR(IF($B17="","",AVERAGE('Catalogo de Variaveis'!R22-'Catalogo de Variaveis'!R21,'Catalogo de Variaveis'!R21-'Catalogo de Variaveis'!R20,'Catalogo de Variaveis'!R20-'Catalogo de Variaveis'!R19,'Catalogo de Variaveis'!R19-'Catalogo de Variaveis'!R18)),0)</f>
        <v>0</v>
      </c>
      <c r="D17" s="13">
        <f t="shared" si="0"/>
        <v>-1.0974178889440163</v>
      </c>
      <c r="E17" s="10">
        <f t="shared" si="1"/>
        <v>-0.62634876806794071</v>
      </c>
      <c r="F17" s="10">
        <f t="shared" si="2"/>
        <v>-0.1552796471918651</v>
      </c>
      <c r="G17" s="10">
        <f t="shared" si="3"/>
        <v>0.31578947368421051</v>
      </c>
      <c r="H17" s="10">
        <f t="shared" si="4"/>
        <v>0.78685859456028617</v>
      </c>
      <c r="I17" s="10">
        <f t="shared" si="5"/>
        <v>1.2579277154363617</v>
      </c>
      <c r="J17" s="14">
        <f t="shared" si="6"/>
        <v>1.7289968363124375</v>
      </c>
      <c r="K17" s="13">
        <f t="shared" si="7"/>
        <v>-0.30202022484631097</v>
      </c>
      <c r="L17" s="10">
        <f t="shared" si="8"/>
        <v>-0.2013468165642073</v>
      </c>
      <c r="M17" s="10">
        <f t="shared" si="9"/>
        <v>-0.10067340828210365</v>
      </c>
      <c r="N17" s="10">
        <f t="shared" si="10"/>
        <v>0</v>
      </c>
      <c r="O17" s="10">
        <f t="shared" si="11"/>
        <v>0.10067340828210365</v>
      </c>
      <c r="P17" s="10">
        <f t="shared" si="12"/>
        <v>0.2013468165642073</v>
      </c>
      <c r="Q17" s="14">
        <f t="shared" si="13"/>
        <v>0.30202022484631097</v>
      </c>
    </row>
    <row r="18" spans="1:17" x14ac:dyDescent="0.25">
      <c r="A18" s="4">
        <v>45078</v>
      </c>
      <c r="B18" s="5">
        <f>IF('Catalogo de Variaveis'!R23="","",SUM('Catalogo de Variaveis'!R20:R23))</f>
        <v>0</v>
      </c>
      <c r="C18" s="15">
        <f>IFERROR(IF($B18="","",AVERAGE('Catalogo de Variaveis'!R23-'Catalogo de Variaveis'!R22,'Catalogo de Variaveis'!R22-'Catalogo de Variaveis'!R21,'Catalogo de Variaveis'!R21-'Catalogo de Variaveis'!R20,'Catalogo de Variaveis'!R20-'Catalogo de Variaveis'!R19)),0)</f>
        <v>0</v>
      </c>
      <c r="D18" s="13">
        <f t="shared" si="0"/>
        <v>-1.0974178889440163</v>
      </c>
      <c r="E18" s="10">
        <f t="shared" si="1"/>
        <v>-0.62634876806794071</v>
      </c>
      <c r="F18" s="10">
        <f t="shared" si="2"/>
        <v>-0.1552796471918651</v>
      </c>
      <c r="G18" s="10">
        <f t="shared" si="3"/>
        <v>0.31578947368421051</v>
      </c>
      <c r="H18" s="10">
        <f t="shared" si="4"/>
        <v>0.78685859456028617</v>
      </c>
      <c r="I18" s="10">
        <f t="shared" si="5"/>
        <v>1.2579277154363617</v>
      </c>
      <c r="J18" s="14">
        <f t="shared" si="6"/>
        <v>1.7289968363124375</v>
      </c>
      <c r="K18" s="13">
        <f t="shared" si="7"/>
        <v>-0.30202022484631097</v>
      </c>
      <c r="L18" s="10">
        <f t="shared" si="8"/>
        <v>-0.2013468165642073</v>
      </c>
      <c r="M18" s="10">
        <f t="shared" si="9"/>
        <v>-0.10067340828210365</v>
      </c>
      <c r="N18" s="10">
        <f t="shared" si="10"/>
        <v>0</v>
      </c>
      <c r="O18" s="10">
        <f t="shared" si="11"/>
        <v>0.10067340828210365</v>
      </c>
      <c r="P18" s="10">
        <f t="shared" si="12"/>
        <v>0.2013468165642073</v>
      </c>
      <c r="Q18" s="14">
        <f t="shared" si="13"/>
        <v>0.30202022484631097</v>
      </c>
    </row>
    <row r="19" spans="1:17" x14ac:dyDescent="0.25">
      <c r="A19" s="4">
        <v>45108</v>
      </c>
      <c r="B19" s="5">
        <f>IF('Catalogo de Variaveis'!R24="","",SUM('Catalogo de Variaveis'!R21:R24))</f>
        <v>0</v>
      </c>
      <c r="C19" s="15">
        <f>IFERROR(IF($B19="","",AVERAGE('Catalogo de Variaveis'!R24-'Catalogo de Variaveis'!R23,'Catalogo de Variaveis'!R23-'Catalogo de Variaveis'!R22,'Catalogo de Variaveis'!R22-'Catalogo de Variaveis'!R21,'Catalogo de Variaveis'!R21-'Catalogo de Variaveis'!R20)),0)</f>
        <v>0</v>
      </c>
      <c r="D19" s="13">
        <f t="shared" si="0"/>
        <v>-1.0974178889440163</v>
      </c>
      <c r="E19" s="10">
        <f t="shared" si="1"/>
        <v>-0.62634876806794071</v>
      </c>
      <c r="F19" s="10">
        <f t="shared" si="2"/>
        <v>-0.1552796471918651</v>
      </c>
      <c r="G19" s="10">
        <f t="shared" si="3"/>
        <v>0.31578947368421051</v>
      </c>
      <c r="H19" s="10">
        <f t="shared" si="4"/>
        <v>0.78685859456028617</v>
      </c>
      <c r="I19" s="10">
        <f t="shared" si="5"/>
        <v>1.2579277154363617</v>
      </c>
      <c r="J19" s="14">
        <f t="shared" si="6"/>
        <v>1.7289968363124375</v>
      </c>
      <c r="K19" s="13">
        <f t="shared" si="7"/>
        <v>-0.30202022484631097</v>
      </c>
      <c r="L19" s="10">
        <f t="shared" si="8"/>
        <v>-0.2013468165642073</v>
      </c>
      <c r="M19" s="10">
        <f t="shared" si="9"/>
        <v>-0.10067340828210365</v>
      </c>
      <c r="N19" s="10">
        <f t="shared" si="10"/>
        <v>0</v>
      </c>
      <c r="O19" s="10">
        <f t="shared" si="11"/>
        <v>0.10067340828210365</v>
      </c>
      <c r="P19" s="10">
        <f t="shared" si="12"/>
        <v>0.2013468165642073</v>
      </c>
      <c r="Q19" s="14">
        <f t="shared" si="13"/>
        <v>0.30202022484631097</v>
      </c>
    </row>
    <row r="20" spans="1:17" x14ac:dyDescent="0.25">
      <c r="A20" s="4">
        <v>45139</v>
      </c>
      <c r="B20" s="5">
        <f>IF('Catalogo de Variaveis'!R25="","",SUM('Catalogo de Variaveis'!R22:R25))</f>
        <v>0</v>
      </c>
      <c r="C20" s="15">
        <f>IFERROR(IF($B20="","",AVERAGE('Catalogo de Variaveis'!R25-'Catalogo de Variaveis'!R24,'Catalogo de Variaveis'!R24-'Catalogo de Variaveis'!R23,'Catalogo de Variaveis'!R23-'Catalogo de Variaveis'!R22,'Catalogo de Variaveis'!R22-'Catalogo de Variaveis'!R21)),0)</f>
        <v>0</v>
      </c>
      <c r="D20" s="13">
        <f t="shared" si="0"/>
        <v>-1.0974178889440163</v>
      </c>
      <c r="E20" s="10">
        <f t="shared" si="1"/>
        <v>-0.62634876806794071</v>
      </c>
      <c r="F20" s="10">
        <f t="shared" si="2"/>
        <v>-0.1552796471918651</v>
      </c>
      <c r="G20" s="10">
        <f t="shared" si="3"/>
        <v>0.31578947368421051</v>
      </c>
      <c r="H20" s="10">
        <f t="shared" si="4"/>
        <v>0.78685859456028617</v>
      </c>
      <c r="I20" s="10">
        <f t="shared" si="5"/>
        <v>1.2579277154363617</v>
      </c>
      <c r="J20" s="14">
        <f t="shared" si="6"/>
        <v>1.7289968363124375</v>
      </c>
      <c r="K20" s="13">
        <f t="shared" si="7"/>
        <v>-0.30202022484631097</v>
      </c>
      <c r="L20" s="10">
        <f t="shared" si="8"/>
        <v>-0.2013468165642073</v>
      </c>
      <c r="M20" s="10">
        <f t="shared" si="9"/>
        <v>-0.10067340828210365</v>
      </c>
      <c r="N20" s="10">
        <f t="shared" si="10"/>
        <v>0</v>
      </c>
      <c r="O20" s="10">
        <f t="shared" si="11"/>
        <v>0.10067340828210365</v>
      </c>
      <c r="P20" s="10">
        <f t="shared" si="12"/>
        <v>0.2013468165642073</v>
      </c>
      <c r="Q20" s="14">
        <f t="shared" si="13"/>
        <v>0.30202022484631097</v>
      </c>
    </row>
    <row r="21" spans="1:17" x14ac:dyDescent="0.25">
      <c r="A21" s="4">
        <v>45170</v>
      </c>
      <c r="B21" s="5">
        <f>IF('Catalogo de Variaveis'!R26="","",SUM('Catalogo de Variaveis'!R23:R26))</f>
        <v>0</v>
      </c>
      <c r="C21" s="15">
        <f>IFERROR(IF($B21="","",AVERAGE('Catalogo de Variaveis'!R26-'Catalogo de Variaveis'!R25,'Catalogo de Variaveis'!R25-'Catalogo de Variaveis'!R24,'Catalogo de Variaveis'!R24-'Catalogo de Variaveis'!R23,'Catalogo de Variaveis'!R23-'Catalogo de Variaveis'!R22)),0)</f>
        <v>0</v>
      </c>
      <c r="D21" s="13">
        <f t="shared" si="0"/>
        <v>-1.0974178889440163</v>
      </c>
      <c r="E21" s="10">
        <f t="shared" si="1"/>
        <v>-0.62634876806794071</v>
      </c>
      <c r="F21" s="10">
        <f t="shared" si="2"/>
        <v>-0.1552796471918651</v>
      </c>
      <c r="G21" s="10">
        <f t="shared" si="3"/>
        <v>0.31578947368421051</v>
      </c>
      <c r="H21" s="10">
        <f t="shared" si="4"/>
        <v>0.78685859456028617</v>
      </c>
      <c r="I21" s="10">
        <f t="shared" si="5"/>
        <v>1.2579277154363617</v>
      </c>
      <c r="J21" s="14">
        <f t="shared" si="6"/>
        <v>1.7289968363124375</v>
      </c>
      <c r="K21" s="13">
        <f t="shared" si="7"/>
        <v>-0.30202022484631097</v>
      </c>
      <c r="L21" s="10">
        <f t="shared" si="8"/>
        <v>-0.2013468165642073</v>
      </c>
      <c r="M21" s="10">
        <f t="shared" si="9"/>
        <v>-0.10067340828210365</v>
      </c>
      <c r="N21" s="10">
        <f t="shared" si="10"/>
        <v>0</v>
      </c>
      <c r="O21" s="10">
        <f t="shared" si="11"/>
        <v>0.10067340828210365</v>
      </c>
      <c r="P21" s="10">
        <f t="shared" si="12"/>
        <v>0.2013468165642073</v>
      </c>
      <c r="Q21" s="14">
        <f t="shared" si="13"/>
        <v>0.30202022484631097</v>
      </c>
    </row>
    <row r="22" spans="1:17" x14ac:dyDescent="0.25">
      <c r="A22" s="4">
        <v>45200</v>
      </c>
      <c r="B22" s="5">
        <f>IF('Catalogo de Variaveis'!R27="","",SUM('Catalogo de Variaveis'!R24:R27))</f>
        <v>0</v>
      </c>
      <c r="C22" s="15">
        <f>IFERROR(IF($B22="","",AVERAGE('Catalogo de Variaveis'!R27-'Catalogo de Variaveis'!R26,'Catalogo de Variaveis'!R26-'Catalogo de Variaveis'!R25,'Catalogo de Variaveis'!R25-'Catalogo de Variaveis'!R24,'Catalogo de Variaveis'!R24-'Catalogo de Variaveis'!R23)),0)</f>
        <v>0</v>
      </c>
      <c r="D22" s="13">
        <f t="shared" si="0"/>
        <v>-1.0974178889440163</v>
      </c>
      <c r="E22" s="10">
        <f t="shared" si="1"/>
        <v>-0.62634876806794071</v>
      </c>
      <c r="F22" s="10">
        <f t="shared" si="2"/>
        <v>-0.1552796471918651</v>
      </c>
      <c r="G22" s="10">
        <f t="shared" si="3"/>
        <v>0.31578947368421051</v>
      </c>
      <c r="H22" s="10">
        <f t="shared" si="4"/>
        <v>0.78685859456028617</v>
      </c>
      <c r="I22" s="10">
        <f t="shared" si="5"/>
        <v>1.2579277154363617</v>
      </c>
      <c r="J22" s="14">
        <f t="shared" si="6"/>
        <v>1.7289968363124375</v>
      </c>
      <c r="K22" s="13">
        <f t="shared" si="7"/>
        <v>-0.30202022484631097</v>
      </c>
      <c r="L22" s="10">
        <f t="shared" si="8"/>
        <v>-0.2013468165642073</v>
      </c>
      <c r="M22" s="10">
        <f t="shared" si="9"/>
        <v>-0.10067340828210365</v>
      </c>
      <c r="N22" s="10">
        <f t="shared" si="10"/>
        <v>0</v>
      </c>
      <c r="O22" s="10">
        <f t="shared" si="11"/>
        <v>0.10067340828210365</v>
      </c>
      <c r="P22" s="10">
        <f t="shared" si="12"/>
        <v>0.2013468165642073</v>
      </c>
      <c r="Q22" s="14">
        <f t="shared" si="13"/>
        <v>0.30202022484631097</v>
      </c>
    </row>
    <row r="23" spans="1:17" x14ac:dyDescent="0.25">
      <c r="A23" s="4">
        <v>45231</v>
      </c>
      <c r="B23" s="5">
        <f>IF('Catalogo de Variaveis'!R28="","",SUM('Catalogo de Variaveis'!R25:R28))</f>
        <v>0</v>
      </c>
      <c r="C23" s="15">
        <f>IFERROR(IF($B23="","",AVERAGE('Catalogo de Variaveis'!R28-'Catalogo de Variaveis'!R27,'Catalogo de Variaveis'!R27-'Catalogo de Variaveis'!R26,'Catalogo de Variaveis'!R26-'Catalogo de Variaveis'!R25,'Catalogo de Variaveis'!R25-'Catalogo de Variaveis'!R24)),0)</f>
        <v>0</v>
      </c>
      <c r="D23" s="13">
        <f t="shared" si="0"/>
        <v>-1.0974178889440163</v>
      </c>
      <c r="E23" s="10">
        <f t="shared" si="1"/>
        <v>-0.62634876806794071</v>
      </c>
      <c r="F23" s="10">
        <f t="shared" si="2"/>
        <v>-0.1552796471918651</v>
      </c>
      <c r="G23" s="10">
        <f t="shared" si="3"/>
        <v>0.31578947368421051</v>
      </c>
      <c r="H23" s="10">
        <f t="shared" si="4"/>
        <v>0.78685859456028617</v>
      </c>
      <c r="I23" s="10">
        <f t="shared" si="5"/>
        <v>1.2579277154363617</v>
      </c>
      <c r="J23" s="14">
        <f t="shared" si="6"/>
        <v>1.7289968363124375</v>
      </c>
      <c r="K23" s="13">
        <f t="shared" si="7"/>
        <v>-0.30202022484631097</v>
      </c>
      <c r="L23" s="10">
        <f t="shared" si="8"/>
        <v>-0.2013468165642073</v>
      </c>
      <c r="M23" s="10">
        <f t="shared" si="9"/>
        <v>-0.10067340828210365</v>
      </c>
      <c r="N23" s="10">
        <f t="shared" si="10"/>
        <v>0</v>
      </c>
      <c r="O23" s="10">
        <f t="shared" si="11"/>
        <v>0.10067340828210365</v>
      </c>
      <c r="P23" s="10">
        <f t="shared" si="12"/>
        <v>0.2013468165642073</v>
      </c>
      <c r="Q23" s="14">
        <f t="shared" si="13"/>
        <v>0.30202022484631097</v>
      </c>
    </row>
    <row r="24" spans="1:17" x14ac:dyDescent="0.25">
      <c r="A24" s="4">
        <v>45261</v>
      </c>
      <c r="B24" s="5">
        <f>IF('Catalogo de Variaveis'!R29="","",SUM('Catalogo de Variaveis'!R26:R29))</f>
        <v>0</v>
      </c>
      <c r="C24" s="15">
        <f>IFERROR(IF($B24="","",AVERAGE('Catalogo de Variaveis'!R29-'Catalogo de Variaveis'!R28,'Catalogo de Variaveis'!R28-'Catalogo de Variaveis'!R27,'Catalogo de Variaveis'!R27-'Catalogo de Variaveis'!R26,'Catalogo de Variaveis'!R26-'Catalogo de Variaveis'!R25)),0)</f>
        <v>0</v>
      </c>
      <c r="D24" s="13">
        <f t="shared" si="0"/>
        <v>-1.0974178889440163</v>
      </c>
      <c r="E24" s="10">
        <f t="shared" si="1"/>
        <v>-0.62634876806794071</v>
      </c>
      <c r="F24" s="10">
        <f t="shared" si="2"/>
        <v>-0.1552796471918651</v>
      </c>
      <c r="G24" s="10">
        <f t="shared" si="3"/>
        <v>0.31578947368421051</v>
      </c>
      <c r="H24" s="10">
        <f t="shared" si="4"/>
        <v>0.78685859456028617</v>
      </c>
      <c r="I24" s="10">
        <f t="shared" si="5"/>
        <v>1.2579277154363617</v>
      </c>
      <c r="J24" s="14">
        <f t="shared" si="6"/>
        <v>1.7289968363124375</v>
      </c>
      <c r="K24" s="13">
        <f t="shared" si="7"/>
        <v>-0.30202022484631097</v>
      </c>
      <c r="L24" s="10">
        <f t="shared" si="8"/>
        <v>-0.2013468165642073</v>
      </c>
      <c r="M24" s="10">
        <f t="shared" si="9"/>
        <v>-0.10067340828210365</v>
      </c>
      <c r="N24" s="10">
        <f t="shared" si="10"/>
        <v>0</v>
      </c>
      <c r="O24" s="10">
        <f t="shared" si="11"/>
        <v>0.10067340828210365</v>
      </c>
      <c r="P24" s="10">
        <f t="shared" si="12"/>
        <v>0.2013468165642073</v>
      </c>
      <c r="Q24" s="14">
        <f t="shared" si="13"/>
        <v>0.30202022484631097</v>
      </c>
    </row>
    <row r="25" spans="1:17" x14ac:dyDescent="0.25">
      <c r="A25" s="4">
        <v>45292</v>
      </c>
      <c r="B25" s="5">
        <f>IF('Catalogo de Variaveis'!R30="","",SUM('Catalogo de Variaveis'!R27:R30))</f>
        <v>0</v>
      </c>
      <c r="C25" s="15">
        <f>IFERROR(IF($B25="","",AVERAGE('Catalogo de Variaveis'!R30-'Catalogo de Variaveis'!R29,'Catalogo de Variaveis'!R29-'Catalogo de Variaveis'!R28,'Catalogo de Variaveis'!R28-'Catalogo de Variaveis'!R27,'Catalogo de Variaveis'!R27-'Catalogo de Variaveis'!R26)),0)</f>
        <v>0</v>
      </c>
      <c r="D25" s="13">
        <f t="shared" si="0"/>
        <v>-1.0974178889440163</v>
      </c>
      <c r="E25" s="10">
        <f t="shared" si="1"/>
        <v>-0.62634876806794071</v>
      </c>
      <c r="F25" s="10">
        <f t="shared" si="2"/>
        <v>-0.1552796471918651</v>
      </c>
      <c r="G25" s="10">
        <f t="shared" si="3"/>
        <v>0.31578947368421051</v>
      </c>
      <c r="H25" s="10">
        <f t="shared" si="4"/>
        <v>0.78685859456028617</v>
      </c>
      <c r="I25" s="10">
        <f t="shared" si="5"/>
        <v>1.2579277154363617</v>
      </c>
      <c r="J25" s="14">
        <f t="shared" si="6"/>
        <v>1.7289968363124375</v>
      </c>
      <c r="K25" s="13">
        <f t="shared" si="7"/>
        <v>-0.30202022484631097</v>
      </c>
      <c r="L25" s="10">
        <f t="shared" si="8"/>
        <v>-0.2013468165642073</v>
      </c>
      <c r="M25" s="10">
        <f t="shared" si="9"/>
        <v>-0.10067340828210365</v>
      </c>
      <c r="N25" s="10">
        <f t="shared" si="10"/>
        <v>0</v>
      </c>
      <c r="O25" s="10">
        <f t="shared" si="11"/>
        <v>0.10067340828210365</v>
      </c>
      <c r="P25" s="10">
        <f t="shared" si="12"/>
        <v>0.2013468165642073</v>
      </c>
      <c r="Q25" s="14">
        <f t="shared" si="13"/>
        <v>0.30202022484631097</v>
      </c>
    </row>
    <row r="26" spans="1:17" x14ac:dyDescent="0.25">
      <c r="A26" s="4">
        <v>45323</v>
      </c>
      <c r="B26" s="5">
        <f>IF('Catalogo de Variaveis'!R31="","",SUM('Catalogo de Variaveis'!R28:R31))</f>
        <v>0</v>
      </c>
      <c r="C26" s="15">
        <f>IFERROR(IF($B26="","",AVERAGE('Catalogo de Variaveis'!R31-'Catalogo de Variaveis'!R30,'Catalogo de Variaveis'!R30-'Catalogo de Variaveis'!R29,'Catalogo de Variaveis'!R29-'Catalogo de Variaveis'!R28,'Catalogo de Variaveis'!R28-'Catalogo de Variaveis'!R27)),0)</f>
        <v>0</v>
      </c>
      <c r="D26" s="13">
        <f t="shared" si="0"/>
        <v>-1.0974178889440163</v>
      </c>
      <c r="E26" s="10">
        <f t="shared" si="1"/>
        <v>-0.62634876806794071</v>
      </c>
      <c r="F26" s="10">
        <f t="shared" si="2"/>
        <v>-0.1552796471918651</v>
      </c>
      <c r="G26" s="10">
        <f t="shared" si="3"/>
        <v>0.31578947368421051</v>
      </c>
      <c r="H26" s="10">
        <f t="shared" si="4"/>
        <v>0.78685859456028617</v>
      </c>
      <c r="I26" s="10">
        <f t="shared" si="5"/>
        <v>1.2579277154363617</v>
      </c>
      <c r="J26" s="14">
        <f t="shared" si="6"/>
        <v>1.7289968363124375</v>
      </c>
      <c r="K26" s="13">
        <f t="shared" si="7"/>
        <v>-0.30202022484631097</v>
      </c>
      <c r="L26" s="10">
        <f t="shared" si="8"/>
        <v>-0.2013468165642073</v>
      </c>
      <c r="M26" s="10">
        <f t="shared" si="9"/>
        <v>-0.10067340828210365</v>
      </c>
      <c r="N26" s="10">
        <f t="shared" si="10"/>
        <v>0</v>
      </c>
      <c r="O26" s="10">
        <f t="shared" si="11"/>
        <v>0.10067340828210365</v>
      </c>
      <c r="P26" s="10">
        <f t="shared" si="12"/>
        <v>0.2013468165642073</v>
      </c>
      <c r="Q26" s="14">
        <f t="shared" si="13"/>
        <v>0.30202022484631097</v>
      </c>
    </row>
    <row r="27" spans="1:17" x14ac:dyDescent="0.25">
      <c r="A27" s="4">
        <v>45352</v>
      </c>
      <c r="B27" s="5">
        <f>IF('Catalogo de Variaveis'!R32="","",SUM('Catalogo de Variaveis'!R29:R32))</f>
        <v>0</v>
      </c>
      <c r="C27" s="15">
        <f>IFERROR(IF($B27="","",AVERAGE('Catalogo de Variaveis'!R32-'Catalogo de Variaveis'!R31,'Catalogo de Variaveis'!R31-'Catalogo de Variaveis'!R30,'Catalogo de Variaveis'!R30-'Catalogo de Variaveis'!R29,'Catalogo de Variaveis'!R29-'Catalogo de Variaveis'!R28)),0)</f>
        <v>0</v>
      </c>
      <c r="D27" s="13">
        <f t="shared" si="0"/>
        <v>-1.0974178889440163</v>
      </c>
      <c r="E27" s="10">
        <f t="shared" si="1"/>
        <v>-0.62634876806794071</v>
      </c>
      <c r="F27" s="10">
        <f t="shared" si="2"/>
        <v>-0.1552796471918651</v>
      </c>
      <c r="G27" s="10">
        <f t="shared" si="3"/>
        <v>0.31578947368421051</v>
      </c>
      <c r="H27" s="10">
        <f t="shared" si="4"/>
        <v>0.78685859456028617</v>
      </c>
      <c r="I27" s="10">
        <f t="shared" si="5"/>
        <v>1.2579277154363617</v>
      </c>
      <c r="J27" s="14">
        <f t="shared" si="6"/>
        <v>1.7289968363124375</v>
      </c>
      <c r="K27" s="13">
        <f t="shared" si="7"/>
        <v>-0.30202022484631097</v>
      </c>
      <c r="L27" s="10">
        <f t="shared" si="8"/>
        <v>-0.2013468165642073</v>
      </c>
      <c r="M27" s="10">
        <f t="shared" si="9"/>
        <v>-0.10067340828210365</v>
      </c>
      <c r="N27" s="10">
        <f t="shared" si="10"/>
        <v>0</v>
      </c>
      <c r="O27" s="10">
        <f t="shared" si="11"/>
        <v>0.10067340828210365</v>
      </c>
      <c r="P27" s="10">
        <f t="shared" si="12"/>
        <v>0.2013468165642073</v>
      </c>
      <c r="Q27" s="14">
        <f t="shared" si="13"/>
        <v>0.30202022484631097</v>
      </c>
    </row>
    <row r="28" spans="1:17" x14ac:dyDescent="0.25">
      <c r="A28" s="4">
        <v>45383</v>
      </c>
      <c r="B28" s="5">
        <f>IF('Catalogo de Variaveis'!R33="","",SUM('Catalogo de Variaveis'!R30:R33))</f>
        <v>0</v>
      </c>
      <c r="C28" s="15">
        <f>IFERROR(IF($B28="","",AVERAGE('Catalogo de Variaveis'!R33-'Catalogo de Variaveis'!R32,'Catalogo de Variaveis'!R32-'Catalogo de Variaveis'!R31,'Catalogo de Variaveis'!R31-'Catalogo de Variaveis'!R30,'Catalogo de Variaveis'!R30-'Catalogo de Variaveis'!R29)),0)</f>
        <v>0</v>
      </c>
      <c r="D28" s="13">
        <f t="shared" si="0"/>
        <v>-1.0974178889440163</v>
      </c>
      <c r="E28" s="10">
        <f t="shared" si="1"/>
        <v>-0.62634876806794071</v>
      </c>
      <c r="F28" s="10">
        <f t="shared" si="2"/>
        <v>-0.1552796471918651</v>
      </c>
      <c r="G28" s="10">
        <f t="shared" si="3"/>
        <v>0.31578947368421051</v>
      </c>
      <c r="H28" s="10">
        <f t="shared" si="4"/>
        <v>0.78685859456028617</v>
      </c>
      <c r="I28" s="10">
        <f t="shared" si="5"/>
        <v>1.2579277154363617</v>
      </c>
      <c r="J28" s="14">
        <f t="shared" si="6"/>
        <v>1.7289968363124375</v>
      </c>
      <c r="K28" s="13">
        <f t="shared" si="7"/>
        <v>-0.30202022484631097</v>
      </c>
      <c r="L28" s="10">
        <f t="shared" si="8"/>
        <v>-0.2013468165642073</v>
      </c>
      <c r="M28" s="10">
        <f t="shared" si="9"/>
        <v>-0.10067340828210365</v>
      </c>
      <c r="N28" s="10">
        <f t="shared" si="10"/>
        <v>0</v>
      </c>
      <c r="O28" s="10">
        <f t="shared" si="11"/>
        <v>0.10067340828210365</v>
      </c>
      <c r="P28" s="10">
        <f t="shared" si="12"/>
        <v>0.2013468165642073</v>
      </c>
      <c r="Q28" s="14">
        <f t="shared" si="13"/>
        <v>0.30202022484631097</v>
      </c>
    </row>
    <row r="29" spans="1:17" x14ac:dyDescent="0.25">
      <c r="A29" s="4">
        <v>45413</v>
      </c>
      <c r="B29" s="5">
        <f>IF('Catalogo de Variaveis'!R34="","",SUM('Catalogo de Variaveis'!R31:R34))</f>
        <v>0</v>
      </c>
      <c r="C29" s="15">
        <f>IFERROR(IF($B29="","",AVERAGE('Catalogo de Variaveis'!R34-'Catalogo de Variaveis'!R33,'Catalogo de Variaveis'!R33-'Catalogo de Variaveis'!R32,'Catalogo de Variaveis'!R32-'Catalogo de Variaveis'!R31,'Catalogo de Variaveis'!R31-'Catalogo de Variaveis'!R30)),0)</f>
        <v>0</v>
      </c>
      <c r="D29" s="13">
        <f t="shared" si="0"/>
        <v>-1.0974178889440163</v>
      </c>
      <c r="E29" s="10">
        <f t="shared" si="1"/>
        <v>-0.62634876806794071</v>
      </c>
      <c r="F29" s="10">
        <f t="shared" si="2"/>
        <v>-0.1552796471918651</v>
      </c>
      <c r="G29" s="10">
        <f t="shared" si="3"/>
        <v>0.31578947368421051</v>
      </c>
      <c r="H29" s="10">
        <f t="shared" si="4"/>
        <v>0.78685859456028617</v>
      </c>
      <c r="I29" s="10">
        <f t="shared" si="5"/>
        <v>1.2579277154363617</v>
      </c>
      <c r="J29" s="14">
        <f t="shared" si="6"/>
        <v>1.7289968363124375</v>
      </c>
      <c r="K29" s="13">
        <f t="shared" si="7"/>
        <v>-0.30202022484631097</v>
      </c>
      <c r="L29" s="10">
        <f t="shared" si="8"/>
        <v>-0.2013468165642073</v>
      </c>
      <c r="M29" s="10">
        <f t="shared" si="9"/>
        <v>-0.10067340828210365</v>
      </c>
      <c r="N29" s="10">
        <f t="shared" si="10"/>
        <v>0</v>
      </c>
      <c r="O29" s="10">
        <f t="shared" si="11"/>
        <v>0.10067340828210365</v>
      </c>
      <c r="P29" s="10">
        <f t="shared" si="12"/>
        <v>0.2013468165642073</v>
      </c>
      <c r="Q29" s="14">
        <f t="shared" si="13"/>
        <v>0.30202022484631097</v>
      </c>
    </row>
    <row r="30" spans="1:17" x14ac:dyDescent="0.25">
      <c r="A30" s="4">
        <v>45444</v>
      </c>
      <c r="B30" s="5">
        <f>IF('Catalogo de Variaveis'!R35="","",SUM('Catalogo de Variaveis'!R32:R35))</f>
        <v>0</v>
      </c>
      <c r="C30" s="15">
        <f>IFERROR(IF($B30="","",AVERAGE('Catalogo de Variaveis'!R35-'Catalogo de Variaveis'!R34,'Catalogo de Variaveis'!R34-'Catalogo de Variaveis'!R33,'Catalogo de Variaveis'!R33-'Catalogo de Variaveis'!R32,'Catalogo de Variaveis'!R32-'Catalogo de Variaveis'!R31)),0)</f>
        <v>0</v>
      </c>
      <c r="D30" s="13">
        <f>IF($B30="","",IF(OR($J$1="",$J$2=""),$B$1-3*$B$2,$J$1-3*$J$2))</f>
        <v>-1.0974178889440163</v>
      </c>
      <c r="E30" s="10">
        <f>IF($B30="","",IF(OR($J$1="",$J$2=""),$B$1-2*$B$2,$J$1-2*$J$2))</f>
        <v>-0.62634876806794071</v>
      </c>
      <c r="F30" s="10">
        <f>IF($B30="","",IF(OR($J$1="",$J$2=""),$B$1-$B$2,$J$1-$J$2))</f>
        <v>-0.1552796471918651</v>
      </c>
      <c r="G30" s="10">
        <f>IF($B30="","",IF(OR($J$1="",$J$2=""),$B$1,$J$1))</f>
        <v>0.31578947368421051</v>
      </c>
      <c r="H30" s="10">
        <f>IF($B30="","",IF(OR($J$1="",$J$2=""),$B$1+$B$2,$J$1+$J$2))</f>
        <v>0.78685859456028617</v>
      </c>
      <c r="I30" s="10">
        <f>IF($B30="","",IF(OR($J$1="",$J$2=""),$B$1+2*$B$2,$J$1+2*$J$2))</f>
        <v>1.2579277154363617</v>
      </c>
      <c r="J30" s="14">
        <f>IF($B30="","",IF(OR($J$1="",$J$2=""),$B$1+3*$B$2,$J$1+3*$J$2))</f>
        <v>1.7289968363124375</v>
      </c>
      <c r="K30" s="13">
        <f t="shared" si="7"/>
        <v>-0.30202022484631097</v>
      </c>
      <c r="L30" s="10">
        <f t="shared" si="8"/>
        <v>-0.2013468165642073</v>
      </c>
      <c r="M30" s="10">
        <f t="shared" si="9"/>
        <v>-0.10067340828210365</v>
      </c>
      <c r="N30" s="10">
        <f t="shared" si="10"/>
        <v>0</v>
      </c>
      <c r="O30" s="10">
        <f t="shared" si="11"/>
        <v>0.10067340828210365</v>
      </c>
      <c r="P30" s="10">
        <f t="shared" si="12"/>
        <v>0.2013468165642073</v>
      </c>
      <c r="Q30" s="14">
        <f t="shared" si="13"/>
        <v>0.30202022484631097</v>
      </c>
    </row>
    <row r="31" spans="1:17" x14ac:dyDescent="0.25">
      <c r="A31" s="4">
        <v>45474</v>
      </c>
      <c r="B31" s="5">
        <f>IF('Catalogo de Variaveis'!R36="","",SUM('Catalogo de Variaveis'!R33:R36))</f>
        <v>0</v>
      </c>
      <c r="C31" s="15">
        <f>IFERROR(IF($B31="","",AVERAGE('Catalogo de Variaveis'!R36-'Catalogo de Variaveis'!R35,'Catalogo de Variaveis'!R35-'Catalogo de Variaveis'!R34,'Catalogo de Variaveis'!R34-'Catalogo de Variaveis'!R33,'Catalogo de Variaveis'!R33-'Catalogo de Variaveis'!R32)),0)</f>
        <v>0</v>
      </c>
      <c r="D31" s="13">
        <f t="shared" si="0"/>
        <v>-1.0974178889440163</v>
      </c>
      <c r="E31" s="10">
        <f t="shared" ref="E31:E94" si="14">IF($B31="","",IF(OR($J$1="",$J$2=""),$B$1-2*$B$2,$J$1-2*$J$2))</f>
        <v>-0.62634876806794071</v>
      </c>
      <c r="F31" s="10">
        <f t="shared" ref="F31:F94" si="15">IF($B31="","",IF(OR($J$1="",$J$2=""),$B$1-$B$2,$J$1-$J$2))</f>
        <v>-0.1552796471918651</v>
      </c>
      <c r="G31" s="10">
        <f t="shared" si="3"/>
        <v>0.31578947368421051</v>
      </c>
      <c r="H31" s="10">
        <f t="shared" ref="H31:H94" si="16">IF($B31="","",IF(OR($J$1="",$J$2=""),$B$1+$B$2,$J$1+$J$2))</f>
        <v>0.78685859456028617</v>
      </c>
      <c r="I31" s="10">
        <f t="shared" si="5"/>
        <v>1.2579277154363617</v>
      </c>
      <c r="J31" s="14">
        <f t="shared" ref="J31:J94" si="17">IF($B31="","",IF(OR($J$1="",$J$2=""),$B$1+3*$B$2,$J$1+3*$J$2))</f>
        <v>1.7289968363124375</v>
      </c>
      <c r="K31" s="13">
        <f t="shared" si="7"/>
        <v>-0.30202022484631097</v>
      </c>
      <c r="L31" s="10">
        <f t="shared" si="8"/>
        <v>-0.2013468165642073</v>
      </c>
      <c r="M31" s="10">
        <f t="shared" si="9"/>
        <v>-0.10067340828210365</v>
      </c>
      <c r="N31" s="10">
        <f t="shared" si="10"/>
        <v>0</v>
      </c>
      <c r="O31" s="10">
        <f t="shared" si="11"/>
        <v>0.10067340828210365</v>
      </c>
      <c r="P31" s="10">
        <f t="shared" si="12"/>
        <v>0.2013468165642073</v>
      </c>
      <c r="Q31" s="14">
        <f t="shared" si="13"/>
        <v>0.30202022484631097</v>
      </c>
    </row>
    <row r="32" spans="1:17" x14ac:dyDescent="0.25">
      <c r="A32" s="4">
        <v>45505</v>
      </c>
      <c r="B32" s="5">
        <f>IF('Catalogo de Variaveis'!R37="","",SUM('Catalogo de Variaveis'!R34:R37))</f>
        <v>0</v>
      </c>
      <c r="C32" s="15">
        <f>IFERROR(IF($B32="","",AVERAGE('Catalogo de Variaveis'!R37-'Catalogo de Variaveis'!R36,'Catalogo de Variaveis'!R36-'Catalogo de Variaveis'!R35,'Catalogo de Variaveis'!R35-'Catalogo de Variaveis'!R34,'Catalogo de Variaveis'!R34-'Catalogo de Variaveis'!R33)),0)</f>
        <v>0</v>
      </c>
      <c r="D32" s="13">
        <f t="shared" si="0"/>
        <v>-1.0974178889440163</v>
      </c>
      <c r="E32" s="10">
        <f t="shared" si="14"/>
        <v>-0.62634876806794071</v>
      </c>
      <c r="F32" s="10">
        <f t="shared" si="15"/>
        <v>-0.1552796471918651</v>
      </c>
      <c r="G32" s="10">
        <f t="shared" si="3"/>
        <v>0.31578947368421051</v>
      </c>
      <c r="H32" s="10">
        <f t="shared" si="16"/>
        <v>0.78685859456028617</v>
      </c>
      <c r="I32" s="10">
        <f t="shared" si="5"/>
        <v>1.2579277154363617</v>
      </c>
      <c r="J32" s="14">
        <f t="shared" si="17"/>
        <v>1.7289968363124375</v>
      </c>
      <c r="K32" s="13">
        <f t="shared" si="7"/>
        <v>-0.30202022484631097</v>
      </c>
      <c r="L32" s="10">
        <f t="shared" si="8"/>
        <v>-0.2013468165642073</v>
      </c>
      <c r="M32" s="10">
        <f t="shared" si="9"/>
        <v>-0.10067340828210365</v>
      </c>
      <c r="N32" s="10">
        <f t="shared" si="10"/>
        <v>0</v>
      </c>
      <c r="O32" s="10">
        <f t="shared" si="11"/>
        <v>0.10067340828210365</v>
      </c>
      <c r="P32" s="10">
        <f t="shared" si="12"/>
        <v>0.2013468165642073</v>
      </c>
      <c r="Q32" s="14">
        <f t="shared" si="13"/>
        <v>0.30202022484631097</v>
      </c>
    </row>
    <row r="33" spans="1:17" x14ac:dyDescent="0.25">
      <c r="A33" s="4">
        <v>45536</v>
      </c>
      <c r="B33" s="5">
        <f>IF('Catalogo de Variaveis'!R38="","",SUM('Catalogo de Variaveis'!R35:R38))</f>
        <v>0</v>
      </c>
      <c r="C33" s="15">
        <f>IFERROR(IF($B33="","",AVERAGE('Catalogo de Variaveis'!R38-'Catalogo de Variaveis'!R37,'Catalogo de Variaveis'!R37-'Catalogo de Variaveis'!R36,'Catalogo de Variaveis'!R36-'Catalogo de Variaveis'!R35,'Catalogo de Variaveis'!R35-'Catalogo de Variaveis'!R34)),0)</f>
        <v>0</v>
      </c>
      <c r="D33" s="13">
        <f t="shared" si="0"/>
        <v>-1.0974178889440163</v>
      </c>
      <c r="E33" s="10">
        <f t="shared" si="14"/>
        <v>-0.62634876806794071</v>
      </c>
      <c r="F33" s="10">
        <f t="shared" si="15"/>
        <v>-0.1552796471918651</v>
      </c>
      <c r="G33" s="10">
        <f t="shared" si="3"/>
        <v>0.31578947368421051</v>
      </c>
      <c r="H33" s="10">
        <f t="shared" si="16"/>
        <v>0.78685859456028617</v>
      </c>
      <c r="I33" s="10">
        <f t="shared" si="5"/>
        <v>1.2579277154363617</v>
      </c>
      <c r="J33" s="14">
        <f t="shared" si="17"/>
        <v>1.7289968363124375</v>
      </c>
      <c r="K33" s="13">
        <f t="shared" si="7"/>
        <v>-0.30202022484631097</v>
      </c>
      <c r="L33" s="10">
        <f t="shared" si="8"/>
        <v>-0.2013468165642073</v>
      </c>
      <c r="M33" s="10">
        <f t="shared" si="9"/>
        <v>-0.10067340828210365</v>
      </c>
      <c r="N33" s="10">
        <f t="shared" si="10"/>
        <v>0</v>
      </c>
      <c r="O33" s="10">
        <f t="shared" si="11"/>
        <v>0.10067340828210365</v>
      </c>
      <c r="P33" s="10">
        <f t="shared" si="12"/>
        <v>0.2013468165642073</v>
      </c>
      <c r="Q33" s="14">
        <f t="shared" si="13"/>
        <v>0.30202022484631097</v>
      </c>
    </row>
    <row r="34" spans="1:17" x14ac:dyDescent="0.25">
      <c r="A34" s="4">
        <v>45566</v>
      </c>
      <c r="B34" s="5">
        <f>IF('Catalogo de Variaveis'!R39="","",SUM('Catalogo de Variaveis'!R36:R39))</f>
        <v>0</v>
      </c>
      <c r="C34" s="15">
        <f>IFERROR(IF($B34="","",AVERAGE('Catalogo de Variaveis'!R39-'Catalogo de Variaveis'!R38,'Catalogo de Variaveis'!R38-'Catalogo de Variaveis'!R37,'Catalogo de Variaveis'!R37-'Catalogo de Variaveis'!R36,'Catalogo de Variaveis'!R36-'Catalogo de Variaveis'!R35)),0)</f>
        <v>0</v>
      </c>
      <c r="D34" s="13">
        <f t="shared" si="0"/>
        <v>-1.0974178889440163</v>
      </c>
      <c r="E34" s="10">
        <f t="shared" si="14"/>
        <v>-0.62634876806794071</v>
      </c>
      <c r="F34" s="10">
        <f t="shared" si="15"/>
        <v>-0.1552796471918651</v>
      </c>
      <c r="G34" s="10">
        <f t="shared" si="3"/>
        <v>0.31578947368421051</v>
      </c>
      <c r="H34" s="10">
        <f t="shared" si="16"/>
        <v>0.78685859456028617</v>
      </c>
      <c r="I34" s="10">
        <f t="shared" si="5"/>
        <v>1.2579277154363617</v>
      </c>
      <c r="J34" s="14">
        <f t="shared" si="17"/>
        <v>1.7289968363124375</v>
      </c>
      <c r="K34" s="13">
        <f t="shared" si="7"/>
        <v>-0.30202022484631097</v>
      </c>
      <c r="L34" s="10">
        <f t="shared" si="8"/>
        <v>-0.2013468165642073</v>
      </c>
      <c r="M34" s="10">
        <f t="shared" si="9"/>
        <v>-0.10067340828210365</v>
      </c>
      <c r="N34" s="10">
        <f t="shared" si="10"/>
        <v>0</v>
      </c>
      <c r="O34" s="10">
        <f t="shared" si="11"/>
        <v>0.10067340828210365</v>
      </c>
      <c r="P34" s="10">
        <f t="shared" si="12"/>
        <v>0.2013468165642073</v>
      </c>
      <c r="Q34" s="14">
        <f t="shared" si="13"/>
        <v>0.30202022484631097</v>
      </c>
    </row>
    <row r="35" spans="1:17" x14ac:dyDescent="0.25">
      <c r="A35" s="4">
        <v>45597</v>
      </c>
      <c r="B35" s="5">
        <f>IF('Catalogo de Variaveis'!R40="","",SUM('Catalogo de Variaveis'!R37:R40))</f>
        <v>1</v>
      </c>
      <c r="C35" s="15">
        <f>IFERROR(IF($B35="","",AVERAGE('Catalogo de Variaveis'!R40-'Catalogo de Variaveis'!R39,'Catalogo de Variaveis'!R39-'Catalogo de Variaveis'!R38,'Catalogo de Variaveis'!R38-'Catalogo de Variaveis'!R37,'Catalogo de Variaveis'!R37-'Catalogo de Variaveis'!R36)),0)</f>
        <v>0.25</v>
      </c>
      <c r="D35" s="13">
        <f t="shared" si="0"/>
        <v>-1.0974178889440163</v>
      </c>
      <c r="E35" s="10">
        <f t="shared" si="14"/>
        <v>-0.62634876806794071</v>
      </c>
      <c r="F35" s="10">
        <f t="shared" si="15"/>
        <v>-0.1552796471918651</v>
      </c>
      <c r="G35" s="10">
        <f t="shared" si="3"/>
        <v>0.31578947368421051</v>
      </c>
      <c r="H35" s="10">
        <f t="shared" si="16"/>
        <v>0.78685859456028617</v>
      </c>
      <c r="I35" s="10">
        <f t="shared" si="5"/>
        <v>1.2579277154363617</v>
      </c>
      <c r="J35" s="14">
        <f t="shared" si="17"/>
        <v>1.7289968363124375</v>
      </c>
      <c r="K35" s="13">
        <f t="shared" si="7"/>
        <v>-0.30202022484631097</v>
      </c>
      <c r="L35" s="10">
        <f t="shared" si="8"/>
        <v>-0.2013468165642073</v>
      </c>
      <c r="M35" s="10">
        <f t="shared" si="9"/>
        <v>-0.10067340828210365</v>
      </c>
      <c r="N35" s="10">
        <f t="shared" si="10"/>
        <v>0</v>
      </c>
      <c r="O35" s="10">
        <f t="shared" si="11"/>
        <v>0.10067340828210365</v>
      </c>
      <c r="P35" s="10">
        <f t="shared" si="12"/>
        <v>0.2013468165642073</v>
      </c>
      <c r="Q35" s="14">
        <f t="shared" si="13"/>
        <v>0.30202022484631097</v>
      </c>
    </row>
    <row r="36" spans="1:17" x14ac:dyDescent="0.25">
      <c r="A36" s="4">
        <v>45627</v>
      </c>
      <c r="B36" s="5">
        <f>IF('Catalogo de Variaveis'!R41="","",SUM('Catalogo de Variaveis'!R38:R41))</f>
        <v>1</v>
      </c>
      <c r="C36" s="15">
        <f>IFERROR(IF($B36="","",AVERAGE('Catalogo de Variaveis'!R41-'Catalogo de Variaveis'!R40,'Catalogo de Variaveis'!R40-'Catalogo de Variaveis'!R39,'Catalogo de Variaveis'!R39-'Catalogo de Variaveis'!R38,'Catalogo de Variaveis'!R38-'Catalogo de Variaveis'!R37)),0)</f>
        <v>0</v>
      </c>
      <c r="D36" s="13">
        <f t="shared" si="0"/>
        <v>-1.0974178889440163</v>
      </c>
      <c r="E36" s="10">
        <f t="shared" si="14"/>
        <v>-0.62634876806794071</v>
      </c>
      <c r="F36" s="10">
        <f t="shared" si="15"/>
        <v>-0.1552796471918651</v>
      </c>
      <c r="G36" s="10">
        <f t="shared" si="3"/>
        <v>0.31578947368421051</v>
      </c>
      <c r="H36" s="10">
        <f t="shared" si="16"/>
        <v>0.78685859456028617</v>
      </c>
      <c r="I36" s="10">
        <f t="shared" si="5"/>
        <v>1.2579277154363617</v>
      </c>
      <c r="J36" s="14">
        <f t="shared" si="17"/>
        <v>1.7289968363124375</v>
      </c>
      <c r="K36" s="13">
        <f t="shared" si="7"/>
        <v>-0.30202022484631097</v>
      </c>
      <c r="L36" s="10">
        <f t="shared" si="8"/>
        <v>-0.2013468165642073</v>
      </c>
      <c r="M36" s="10">
        <f t="shared" si="9"/>
        <v>-0.10067340828210365</v>
      </c>
      <c r="N36" s="10">
        <f t="shared" si="10"/>
        <v>0</v>
      </c>
      <c r="O36" s="10">
        <f t="shared" si="11"/>
        <v>0.10067340828210365</v>
      </c>
      <c r="P36" s="10">
        <f t="shared" si="12"/>
        <v>0.2013468165642073</v>
      </c>
      <c r="Q36" s="14">
        <f t="shared" si="13"/>
        <v>0.30202022484631097</v>
      </c>
    </row>
    <row r="37" spans="1:17" x14ac:dyDescent="0.25">
      <c r="A37" s="4">
        <v>45658</v>
      </c>
      <c r="B37" s="5">
        <f>IF('Catalogo de Variaveis'!R42="","",SUM('Catalogo de Variaveis'!R39:R42))</f>
        <v>1</v>
      </c>
      <c r="C37" s="15">
        <f>IFERROR(IF($B37="","",AVERAGE('Catalogo de Variaveis'!R42-'Catalogo de Variaveis'!R41,'Catalogo de Variaveis'!R41-'Catalogo de Variaveis'!R40,'Catalogo de Variaveis'!R40-'Catalogo de Variaveis'!R39,'Catalogo de Variaveis'!R39-'Catalogo de Variaveis'!R38)),0)</f>
        <v>0</v>
      </c>
      <c r="D37" s="13">
        <f t="shared" si="0"/>
        <v>-1.0974178889440163</v>
      </c>
      <c r="E37" s="10">
        <f t="shared" si="14"/>
        <v>-0.62634876806794071</v>
      </c>
      <c r="F37" s="10">
        <f t="shared" si="15"/>
        <v>-0.1552796471918651</v>
      </c>
      <c r="G37" s="10">
        <f t="shared" si="3"/>
        <v>0.31578947368421051</v>
      </c>
      <c r="H37" s="10">
        <f t="shared" si="16"/>
        <v>0.78685859456028617</v>
      </c>
      <c r="I37" s="10">
        <f t="shared" si="5"/>
        <v>1.2579277154363617</v>
      </c>
      <c r="J37" s="14">
        <f t="shared" si="17"/>
        <v>1.7289968363124375</v>
      </c>
      <c r="K37" s="13">
        <f t="shared" si="7"/>
        <v>-0.30202022484631097</v>
      </c>
      <c r="L37" s="10">
        <f t="shared" si="8"/>
        <v>-0.2013468165642073</v>
      </c>
      <c r="M37" s="10">
        <f t="shared" si="9"/>
        <v>-0.10067340828210365</v>
      </c>
      <c r="N37" s="10">
        <f t="shared" si="10"/>
        <v>0</v>
      </c>
      <c r="O37" s="10">
        <f t="shared" si="11"/>
        <v>0.10067340828210365</v>
      </c>
      <c r="P37" s="10">
        <f t="shared" si="12"/>
        <v>0.2013468165642073</v>
      </c>
      <c r="Q37" s="14">
        <f t="shared" si="13"/>
        <v>0.30202022484631097</v>
      </c>
    </row>
    <row r="38" spans="1:17" x14ac:dyDescent="0.25">
      <c r="A38" s="4">
        <v>45689</v>
      </c>
      <c r="B38" s="5">
        <f>IF('Catalogo de Variaveis'!R43="","",SUM('Catalogo de Variaveis'!R40:R43))</f>
        <v>1</v>
      </c>
      <c r="C38" s="15">
        <f>IFERROR(IF($B38="","",AVERAGE('Catalogo de Variaveis'!R43-'Catalogo de Variaveis'!R42,'Catalogo de Variaveis'!R42-'Catalogo de Variaveis'!R41,'Catalogo de Variaveis'!R41-'Catalogo de Variaveis'!R40,'Catalogo de Variaveis'!R40-'Catalogo de Variaveis'!R39)),0)</f>
        <v>0</v>
      </c>
      <c r="D38" s="13">
        <f t="shared" si="0"/>
        <v>-1.0974178889440163</v>
      </c>
      <c r="E38" s="10">
        <f t="shared" si="14"/>
        <v>-0.62634876806794071</v>
      </c>
      <c r="F38" s="10">
        <f t="shared" si="15"/>
        <v>-0.1552796471918651</v>
      </c>
      <c r="G38" s="10">
        <f t="shared" si="3"/>
        <v>0.31578947368421051</v>
      </c>
      <c r="H38" s="10">
        <f t="shared" si="16"/>
        <v>0.78685859456028617</v>
      </c>
      <c r="I38" s="10">
        <f t="shared" si="5"/>
        <v>1.2579277154363617</v>
      </c>
      <c r="J38" s="14">
        <f t="shared" si="17"/>
        <v>1.7289968363124375</v>
      </c>
      <c r="K38" s="13">
        <f t="shared" si="7"/>
        <v>-0.30202022484631097</v>
      </c>
      <c r="L38" s="10">
        <f t="shared" si="8"/>
        <v>-0.2013468165642073</v>
      </c>
      <c r="M38" s="10">
        <f t="shared" si="9"/>
        <v>-0.10067340828210365</v>
      </c>
      <c r="N38" s="10">
        <f t="shared" si="10"/>
        <v>0</v>
      </c>
      <c r="O38" s="10">
        <f t="shared" si="11"/>
        <v>0.10067340828210365</v>
      </c>
      <c r="P38" s="10">
        <f t="shared" si="12"/>
        <v>0.2013468165642073</v>
      </c>
      <c r="Q38" s="14">
        <f t="shared" si="13"/>
        <v>0.30202022484631097</v>
      </c>
    </row>
    <row r="39" spans="1:17" x14ac:dyDescent="0.25">
      <c r="A39" s="4">
        <v>45717</v>
      </c>
      <c r="B39" s="5">
        <f>IF('Catalogo de Variaveis'!R44="","",SUM('Catalogo de Variaveis'!R41:R44))</f>
        <v>0</v>
      </c>
      <c r="C39" s="15">
        <f>IFERROR(IF($B39="","",AVERAGE('Catalogo de Variaveis'!R44-'Catalogo de Variaveis'!R43,'Catalogo de Variaveis'!R43-'Catalogo de Variaveis'!R42,'Catalogo de Variaveis'!R42-'Catalogo de Variaveis'!R41,'Catalogo de Variaveis'!R41-'Catalogo de Variaveis'!R40)),0)</f>
        <v>-0.25</v>
      </c>
      <c r="D39" s="13">
        <f t="shared" si="0"/>
        <v>-1.0974178889440163</v>
      </c>
      <c r="E39" s="10">
        <f t="shared" si="14"/>
        <v>-0.62634876806794071</v>
      </c>
      <c r="F39" s="10">
        <f t="shared" si="15"/>
        <v>-0.1552796471918651</v>
      </c>
      <c r="G39" s="10">
        <f t="shared" si="3"/>
        <v>0.31578947368421051</v>
      </c>
      <c r="H39" s="10">
        <f t="shared" si="16"/>
        <v>0.78685859456028617</v>
      </c>
      <c r="I39" s="10">
        <f t="shared" si="5"/>
        <v>1.2579277154363617</v>
      </c>
      <c r="J39" s="14">
        <f t="shared" si="17"/>
        <v>1.7289968363124375</v>
      </c>
      <c r="K39" s="13">
        <f t="shared" si="7"/>
        <v>-0.30202022484631097</v>
      </c>
      <c r="L39" s="10">
        <f t="shared" si="8"/>
        <v>-0.2013468165642073</v>
      </c>
      <c r="M39" s="10">
        <f t="shared" si="9"/>
        <v>-0.10067340828210365</v>
      </c>
      <c r="N39" s="10">
        <f t="shared" si="10"/>
        <v>0</v>
      </c>
      <c r="O39" s="10">
        <f t="shared" si="11"/>
        <v>0.10067340828210365</v>
      </c>
      <c r="P39" s="10">
        <f t="shared" si="12"/>
        <v>0.2013468165642073</v>
      </c>
      <c r="Q39" s="14">
        <f t="shared" si="13"/>
        <v>0.30202022484631097</v>
      </c>
    </row>
    <row r="40" spans="1:17" x14ac:dyDescent="0.25">
      <c r="A40" s="4">
        <v>45748</v>
      </c>
      <c r="B40" s="5">
        <f>IF('Catalogo de Variaveis'!R45="","",SUM('Catalogo de Variaveis'!R42:R45))</f>
        <v>0</v>
      </c>
      <c r="C40" s="15">
        <f>IFERROR(IF($B40="","",AVERAGE('Catalogo de Variaveis'!R45-'Catalogo de Variaveis'!R44,'Catalogo de Variaveis'!R44-'Catalogo de Variaveis'!R43,'Catalogo de Variaveis'!R43-'Catalogo de Variaveis'!R42,'Catalogo de Variaveis'!R42-'Catalogo de Variaveis'!R41)),0)</f>
        <v>0</v>
      </c>
      <c r="D40" s="13">
        <f t="shared" si="0"/>
        <v>-1.0974178889440163</v>
      </c>
      <c r="E40" s="10">
        <f t="shared" si="14"/>
        <v>-0.62634876806794071</v>
      </c>
      <c r="F40" s="10">
        <f t="shared" si="15"/>
        <v>-0.1552796471918651</v>
      </c>
      <c r="G40" s="10">
        <f t="shared" si="3"/>
        <v>0.31578947368421051</v>
      </c>
      <c r="H40" s="10">
        <f t="shared" si="16"/>
        <v>0.78685859456028617</v>
      </c>
      <c r="I40" s="10">
        <f t="shared" si="5"/>
        <v>1.2579277154363617</v>
      </c>
      <c r="J40" s="14">
        <f t="shared" si="17"/>
        <v>1.7289968363124375</v>
      </c>
      <c r="K40" s="13">
        <f t="shared" si="7"/>
        <v>-0.30202022484631097</v>
      </c>
      <c r="L40" s="10">
        <f t="shared" si="8"/>
        <v>-0.2013468165642073</v>
      </c>
      <c r="M40" s="10">
        <f t="shared" si="9"/>
        <v>-0.10067340828210365</v>
      </c>
      <c r="N40" s="10">
        <f t="shared" si="10"/>
        <v>0</v>
      </c>
      <c r="O40" s="10">
        <f t="shared" si="11"/>
        <v>0.10067340828210365</v>
      </c>
      <c r="P40" s="10">
        <f t="shared" si="12"/>
        <v>0.2013468165642073</v>
      </c>
      <c r="Q40" s="14">
        <f t="shared" si="13"/>
        <v>0.30202022484631097</v>
      </c>
    </row>
    <row r="41" spans="1:17" x14ac:dyDescent="0.25">
      <c r="A41" s="4">
        <v>45778</v>
      </c>
      <c r="B41" s="5">
        <f>IF('Catalogo de Variaveis'!R46="","",SUM('Catalogo de Variaveis'!R43:R46))</f>
        <v>0</v>
      </c>
      <c r="C41" s="15">
        <f>IFERROR(IF($B41="","",AVERAGE('Catalogo de Variaveis'!R46-'Catalogo de Variaveis'!R45,'Catalogo de Variaveis'!R45-'Catalogo de Variaveis'!R44,'Catalogo de Variaveis'!R44-'Catalogo de Variaveis'!R43,'Catalogo de Variaveis'!R43-'Catalogo de Variaveis'!R42)),0)</f>
        <v>0</v>
      </c>
      <c r="D41" s="13">
        <f t="shared" si="0"/>
        <v>-1.0974178889440163</v>
      </c>
      <c r="E41" s="10">
        <f t="shared" si="14"/>
        <v>-0.62634876806794071</v>
      </c>
      <c r="F41" s="10">
        <f t="shared" si="15"/>
        <v>-0.1552796471918651</v>
      </c>
      <c r="G41" s="10">
        <f t="shared" si="3"/>
        <v>0.31578947368421051</v>
      </c>
      <c r="H41" s="10">
        <f t="shared" si="16"/>
        <v>0.78685859456028617</v>
      </c>
      <c r="I41" s="10">
        <f t="shared" si="5"/>
        <v>1.2579277154363617</v>
      </c>
      <c r="J41" s="14">
        <f t="shared" si="17"/>
        <v>1.7289968363124375</v>
      </c>
      <c r="K41" s="13">
        <f t="shared" si="7"/>
        <v>-0.30202022484631097</v>
      </c>
      <c r="L41" s="10">
        <f t="shared" si="8"/>
        <v>-0.2013468165642073</v>
      </c>
      <c r="M41" s="10">
        <f t="shared" si="9"/>
        <v>-0.10067340828210365</v>
      </c>
      <c r="N41" s="10">
        <f t="shared" si="10"/>
        <v>0</v>
      </c>
      <c r="O41" s="10">
        <f t="shared" si="11"/>
        <v>0.10067340828210365</v>
      </c>
      <c r="P41" s="10">
        <f t="shared" si="12"/>
        <v>0.2013468165642073</v>
      </c>
      <c r="Q41" s="14">
        <f t="shared" si="13"/>
        <v>0.30202022484631097</v>
      </c>
    </row>
    <row r="42" spans="1:17" x14ac:dyDescent="0.25">
      <c r="A42" s="4">
        <v>45809</v>
      </c>
      <c r="B42" s="5">
        <f>IF('Catalogo de Variaveis'!R47="","",SUM('Catalogo de Variaveis'!R44:R47))</f>
        <v>1</v>
      </c>
      <c r="C42" s="15">
        <f>IFERROR(IF($B42="","",AVERAGE('Catalogo de Variaveis'!R47-'Catalogo de Variaveis'!R46,'Catalogo de Variaveis'!R46-'Catalogo de Variaveis'!R45,'Catalogo de Variaveis'!R45-'Catalogo de Variaveis'!R44,'Catalogo de Variaveis'!R44-'Catalogo de Variaveis'!R43)),0)</f>
        <v>0.25</v>
      </c>
      <c r="D42" s="13">
        <f t="shared" si="0"/>
        <v>-1.0974178889440163</v>
      </c>
      <c r="E42" s="10">
        <f t="shared" si="14"/>
        <v>-0.62634876806794071</v>
      </c>
      <c r="F42" s="10">
        <f t="shared" si="15"/>
        <v>-0.1552796471918651</v>
      </c>
      <c r="G42" s="10">
        <f t="shared" si="3"/>
        <v>0.31578947368421051</v>
      </c>
      <c r="H42" s="10">
        <f t="shared" si="16"/>
        <v>0.78685859456028617</v>
      </c>
      <c r="I42" s="10">
        <f t="shared" si="5"/>
        <v>1.2579277154363617</v>
      </c>
      <c r="J42" s="14">
        <f t="shared" si="17"/>
        <v>1.7289968363124375</v>
      </c>
      <c r="K42" s="13">
        <f t="shared" si="7"/>
        <v>-0.30202022484631097</v>
      </c>
      <c r="L42" s="10">
        <f t="shared" si="8"/>
        <v>-0.2013468165642073</v>
      </c>
      <c r="M42" s="10">
        <f t="shared" si="9"/>
        <v>-0.10067340828210365</v>
      </c>
      <c r="N42" s="10">
        <f t="shared" si="10"/>
        <v>0</v>
      </c>
      <c r="O42" s="10">
        <f t="shared" si="11"/>
        <v>0.10067340828210365</v>
      </c>
      <c r="P42" s="10">
        <f t="shared" si="12"/>
        <v>0.2013468165642073</v>
      </c>
      <c r="Q42" s="14">
        <f t="shared" si="13"/>
        <v>0.30202022484631097</v>
      </c>
    </row>
    <row r="43" spans="1:17" x14ac:dyDescent="0.25">
      <c r="A43" s="4">
        <v>45839</v>
      </c>
      <c r="B43" s="5">
        <f>IF('Catalogo de Variaveis'!R48="","",SUM('Catalogo de Variaveis'!R45:R48))</f>
        <v>1</v>
      </c>
      <c r="C43" s="15">
        <f>IFERROR(IF($B43="","",AVERAGE('Catalogo de Variaveis'!R48-'Catalogo de Variaveis'!R47,'Catalogo de Variaveis'!R47-'Catalogo de Variaveis'!R46,'Catalogo de Variaveis'!R46-'Catalogo de Variaveis'!R45,'Catalogo de Variaveis'!R45-'Catalogo de Variaveis'!R44)),0)</f>
        <v>0</v>
      </c>
      <c r="D43" s="13">
        <f t="shared" si="0"/>
        <v>-1.0974178889440163</v>
      </c>
      <c r="E43" s="10">
        <f t="shared" si="14"/>
        <v>-0.62634876806794071</v>
      </c>
      <c r="F43" s="10">
        <f t="shared" si="15"/>
        <v>-0.1552796471918651</v>
      </c>
      <c r="G43" s="10">
        <f t="shared" si="3"/>
        <v>0.31578947368421051</v>
      </c>
      <c r="H43" s="10">
        <f t="shared" si="16"/>
        <v>0.78685859456028617</v>
      </c>
      <c r="I43" s="10">
        <f t="shared" si="5"/>
        <v>1.2579277154363617</v>
      </c>
      <c r="J43" s="14">
        <f t="shared" si="17"/>
        <v>1.7289968363124375</v>
      </c>
      <c r="K43" s="13">
        <f t="shared" si="7"/>
        <v>-0.30202022484631097</v>
      </c>
      <c r="L43" s="10">
        <f t="shared" si="8"/>
        <v>-0.2013468165642073</v>
      </c>
      <c r="M43" s="10">
        <f t="shared" si="9"/>
        <v>-0.10067340828210365</v>
      </c>
      <c r="N43" s="10">
        <f t="shared" si="10"/>
        <v>0</v>
      </c>
      <c r="O43" s="10">
        <f t="shared" si="11"/>
        <v>0.10067340828210365</v>
      </c>
      <c r="P43" s="10">
        <f t="shared" si="12"/>
        <v>0.2013468165642073</v>
      </c>
      <c r="Q43" s="14">
        <f t="shared" si="13"/>
        <v>0.30202022484631097</v>
      </c>
    </row>
    <row r="44" spans="1:17" x14ac:dyDescent="0.25">
      <c r="A44" s="4">
        <v>45870</v>
      </c>
      <c r="B44" s="5">
        <f>IF('Catalogo de Variaveis'!R49="","",SUM('Catalogo de Variaveis'!R46:R49))</f>
        <v>1</v>
      </c>
      <c r="C44" s="15">
        <f>IFERROR(IF($B44="","",AVERAGE('Catalogo de Variaveis'!R49-'Catalogo de Variaveis'!R48,'Catalogo de Variaveis'!R48-'Catalogo de Variaveis'!R47,'Catalogo de Variaveis'!R47-'Catalogo de Variaveis'!R46,'Catalogo de Variaveis'!R46-'Catalogo de Variaveis'!R45)),0)</f>
        <v>0</v>
      </c>
      <c r="D44" s="13">
        <f t="shared" si="0"/>
        <v>-1.0974178889440163</v>
      </c>
      <c r="E44" s="10">
        <f t="shared" si="14"/>
        <v>-0.62634876806794071</v>
      </c>
      <c r="F44" s="10">
        <f t="shared" si="15"/>
        <v>-0.1552796471918651</v>
      </c>
      <c r="G44" s="10">
        <f t="shared" si="3"/>
        <v>0.31578947368421051</v>
      </c>
      <c r="H44" s="10">
        <f t="shared" si="16"/>
        <v>0.78685859456028617</v>
      </c>
      <c r="I44" s="10">
        <f t="shared" si="5"/>
        <v>1.2579277154363617</v>
      </c>
      <c r="J44" s="14">
        <f t="shared" si="17"/>
        <v>1.7289968363124375</v>
      </c>
      <c r="K44" s="13">
        <f t="shared" si="7"/>
        <v>-0.30202022484631097</v>
      </c>
      <c r="L44" s="10">
        <f t="shared" si="8"/>
        <v>-0.2013468165642073</v>
      </c>
      <c r="M44" s="10">
        <f t="shared" si="9"/>
        <v>-0.10067340828210365</v>
      </c>
      <c r="N44" s="10">
        <f t="shared" si="10"/>
        <v>0</v>
      </c>
      <c r="O44" s="10">
        <f t="shared" si="11"/>
        <v>0.10067340828210365</v>
      </c>
      <c r="P44" s="10">
        <f t="shared" si="12"/>
        <v>0.2013468165642073</v>
      </c>
      <c r="Q44" s="14">
        <f t="shared" si="13"/>
        <v>0.30202022484631097</v>
      </c>
    </row>
    <row r="45" spans="1:17" x14ac:dyDescent="0.25">
      <c r="A45" s="4">
        <v>45901</v>
      </c>
      <c r="B45" s="5">
        <f>IF('Catalogo de Variaveis'!R50="","",SUM('Catalogo de Variaveis'!R47:R50))</f>
        <v>1</v>
      </c>
      <c r="C45" s="15">
        <f>IFERROR(IF($B45="","",AVERAGE('Catalogo de Variaveis'!R50-'Catalogo de Variaveis'!R49,'Catalogo de Variaveis'!R49-'Catalogo de Variaveis'!R48,'Catalogo de Variaveis'!R48-'Catalogo de Variaveis'!R47,'Catalogo de Variaveis'!R47-'Catalogo de Variaveis'!R46)),0)</f>
        <v>0</v>
      </c>
      <c r="D45" s="13">
        <f t="shared" si="0"/>
        <v>-1.0974178889440163</v>
      </c>
      <c r="E45" s="10">
        <f t="shared" si="14"/>
        <v>-0.62634876806794071</v>
      </c>
      <c r="F45" s="10">
        <f t="shared" si="15"/>
        <v>-0.1552796471918651</v>
      </c>
      <c r="G45" s="10">
        <f t="shared" si="3"/>
        <v>0.31578947368421051</v>
      </c>
      <c r="H45" s="10">
        <f t="shared" si="16"/>
        <v>0.78685859456028617</v>
      </c>
      <c r="I45" s="10">
        <f t="shared" si="5"/>
        <v>1.2579277154363617</v>
      </c>
      <c r="J45" s="14">
        <f t="shared" si="17"/>
        <v>1.7289968363124375</v>
      </c>
      <c r="K45" s="13">
        <f t="shared" si="7"/>
        <v>-0.30202022484631097</v>
      </c>
      <c r="L45" s="10">
        <f t="shared" si="8"/>
        <v>-0.2013468165642073</v>
      </c>
      <c r="M45" s="10">
        <f t="shared" si="9"/>
        <v>-0.10067340828210365</v>
      </c>
      <c r="N45" s="10">
        <f t="shared" si="10"/>
        <v>0</v>
      </c>
      <c r="O45" s="10">
        <f t="shared" si="11"/>
        <v>0.10067340828210365</v>
      </c>
      <c r="P45" s="10">
        <f t="shared" si="12"/>
        <v>0.2013468165642073</v>
      </c>
      <c r="Q45" s="14">
        <f t="shared" si="13"/>
        <v>0.30202022484631097</v>
      </c>
    </row>
    <row r="46" spans="1:17" x14ac:dyDescent="0.25">
      <c r="A46" s="4">
        <v>45931</v>
      </c>
      <c r="B46" s="5">
        <f>IF('Catalogo de Variaveis'!R51="","",SUM('Catalogo de Variaveis'!R48:R51))</f>
        <v>0</v>
      </c>
      <c r="C46" s="15">
        <f>IFERROR(IF($B46="","",AVERAGE('Catalogo de Variaveis'!R51-'Catalogo de Variaveis'!R50,'Catalogo de Variaveis'!R50-'Catalogo de Variaveis'!R49,'Catalogo de Variaveis'!R49-'Catalogo de Variaveis'!R48,'Catalogo de Variaveis'!R48-'Catalogo de Variaveis'!R47)),0)</f>
        <v>-0.25</v>
      </c>
      <c r="D46" s="13">
        <f t="shared" si="0"/>
        <v>-1.0974178889440163</v>
      </c>
      <c r="E46" s="10">
        <f t="shared" si="14"/>
        <v>-0.62634876806794071</v>
      </c>
      <c r="F46" s="10">
        <f t="shared" si="15"/>
        <v>-0.1552796471918651</v>
      </c>
      <c r="G46" s="10">
        <f t="shared" si="3"/>
        <v>0.31578947368421051</v>
      </c>
      <c r="H46" s="10">
        <f t="shared" si="16"/>
        <v>0.78685859456028617</v>
      </c>
      <c r="I46" s="10">
        <f t="shared" si="5"/>
        <v>1.2579277154363617</v>
      </c>
      <c r="J46" s="14">
        <f t="shared" si="17"/>
        <v>1.7289968363124375</v>
      </c>
      <c r="K46" s="13">
        <f t="shared" si="7"/>
        <v>-0.30202022484631097</v>
      </c>
      <c r="L46" s="10">
        <f t="shared" si="8"/>
        <v>-0.2013468165642073</v>
      </c>
      <c r="M46" s="10">
        <f t="shared" si="9"/>
        <v>-0.10067340828210365</v>
      </c>
      <c r="N46" s="10">
        <f t="shared" si="10"/>
        <v>0</v>
      </c>
      <c r="O46" s="10">
        <f t="shared" si="11"/>
        <v>0.10067340828210365</v>
      </c>
      <c r="P46" s="10">
        <f t="shared" si="12"/>
        <v>0.2013468165642073</v>
      </c>
      <c r="Q46" s="14">
        <f t="shared" si="13"/>
        <v>0.30202022484631097</v>
      </c>
    </row>
    <row r="47" spans="1:17" x14ac:dyDescent="0.25">
      <c r="A47" s="4">
        <v>45962</v>
      </c>
      <c r="B47" s="5" t="str">
        <f>IF('Catalogo de Variaveis'!R52="","",SUM('Catalogo de Variaveis'!R49:R52))</f>
        <v/>
      </c>
      <c r="C47" s="15" t="str">
        <f>IFERROR(IF($B47="","",AVERAGE('Catalogo de Variaveis'!R52-'Catalogo de Variaveis'!R51,'Catalogo de Variaveis'!R51-'Catalogo de Variaveis'!R50,'Catalogo de Variaveis'!R50-'Catalogo de Variaveis'!R49,'Catalogo de Variaveis'!R49-'Catalogo de Variaveis'!R48)),0)</f>
        <v/>
      </c>
      <c r="D47" s="13" t="str">
        <f t="shared" si="0"/>
        <v/>
      </c>
      <c r="E47" s="10" t="str">
        <f t="shared" si="14"/>
        <v/>
      </c>
      <c r="F47" s="10" t="str">
        <f t="shared" si="15"/>
        <v/>
      </c>
      <c r="G47" s="10" t="str">
        <f t="shared" si="3"/>
        <v/>
      </c>
      <c r="H47" s="10" t="str">
        <f t="shared" si="16"/>
        <v/>
      </c>
      <c r="I47" s="10" t="str">
        <f t="shared" si="5"/>
        <v/>
      </c>
      <c r="J47" s="14" t="str">
        <f t="shared" si="17"/>
        <v/>
      </c>
      <c r="K47" s="13" t="str">
        <f t="shared" si="7"/>
        <v/>
      </c>
      <c r="L47" s="10" t="str">
        <f t="shared" si="8"/>
        <v/>
      </c>
      <c r="M47" s="10" t="str">
        <f t="shared" si="9"/>
        <v/>
      </c>
      <c r="N47" s="10" t="str">
        <f t="shared" si="10"/>
        <v/>
      </c>
      <c r="O47" s="10" t="str">
        <f t="shared" si="11"/>
        <v/>
      </c>
      <c r="P47" s="10" t="str">
        <f t="shared" si="12"/>
        <v/>
      </c>
      <c r="Q47" s="14" t="str">
        <f t="shared" si="13"/>
        <v/>
      </c>
    </row>
    <row r="48" spans="1:17" x14ac:dyDescent="0.25">
      <c r="A48" s="4">
        <v>45992</v>
      </c>
      <c r="B48" s="5" t="str">
        <f>IF('Catalogo de Variaveis'!R53="","",SUM('Catalogo de Variaveis'!R50:R53))</f>
        <v/>
      </c>
      <c r="C48" s="15" t="str">
        <f>IFERROR(IF($B48="","",AVERAGE('Catalogo de Variaveis'!R53-'Catalogo de Variaveis'!R52,'Catalogo de Variaveis'!R52-'Catalogo de Variaveis'!R51,'Catalogo de Variaveis'!R51-'Catalogo de Variaveis'!R50,'Catalogo de Variaveis'!R50-'Catalogo de Variaveis'!R49)),0)</f>
        <v/>
      </c>
      <c r="D48" s="13" t="str">
        <f t="shared" si="0"/>
        <v/>
      </c>
      <c r="E48" s="10" t="str">
        <f t="shared" si="14"/>
        <v/>
      </c>
      <c r="F48" s="10" t="str">
        <f t="shared" si="15"/>
        <v/>
      </c>
      <c r="G48" s="10" t="str">
        <f t="shared" si="3"/>
        <v/>
      </c>
      <c r="H48" s="10" t="str">
        <f t="shared" si="16"/>
        <v/>
      </c>
      <c r="I48" s="10" t="str">
        <f t="shared" si="5"/>
        <v/>
      </c>
      <c r="J48" s="14" t="str">
        <f t="shared" si="17"/>
        <v/>
      </c>
      <c r="K48" s="13" t="str">
        <f t="shared" si="7"/>
        <v/>
      </c>
      <c r="L48" s="10" t="str">
        <f t="shared" si="8"/>
        <v/>
      </c>
      <c r="M48" s="10" t="str">
        <f t="shared" si="9"/>
        <v/>
      </c>
      <c r="N48" s="10" t="str">
        <f t="shared" si="10"/>
        <v/>
      </c>
      <c r="O48" s="10" t="str">
        <f t="shared" si="11"/>
        <v/>
      </c>
      <c r="P48" s="10" t="str">
        <f t="shared" si="12"/>
        <v/>
      </c>
      <c r="Q48" s="14" t="str">
        <f t="shared" si="13"/>
        <v/>
      </c>
    </row>
    <row r="49" spans="1:17" x14ac:dyDescent="0.25">
      <c r="A49" s="4">
        <v>46023</v>
      </c>
      <c r="B49" s="5" t="str">
        <f>IF('Catalogo de Variaveis'!R54="","",SUM('Catalogo de Variaveis'!R51:R54))</f>
        <v/>
      </c>
      <c r="C49" s="15" t="str">
        <f>IFERROR(IF($B49="","",AVERAGE('Catalogo de Variaveis'!R54-'Catalogo de Variaveis'!R53,'Catalogo de Variaveis'!R53-'Catalogo de Variaveis'!R52,'Catalogo de Variaveis'!R52-'Catalogo de Variaveis'!R51,'Catalogo de Variaveis'!R51-'Catalogo de Variaveis'!R50)),0)</f>
        <v/>
      </c>
      <c r="D49" s="13" t="str">
        <f t="shared" si="0"/>
        <v/>
      </c>
      <c r="E49" s="10" t="str">
        <f t="shared" si="14"/>
        <v/>
      </c>
      <c r="F49" s="10" t="str">
        <f t="shared" si="15"/>
        <v/>
      </c>
      <c r="G49" s="10" t="str">
        <f t="shared" si="3"/>
        <v/>
      </c>
      <c r="H49" s="10" t="str">
        <f t="shared" si="16"/>
        <v/>
      </c>
      <c r="I49" s="10" t="str">
        <f t="shared" si="5"/>
        <v/>
      </c>
      <c r="J49" s="14" t="str">
        <f t="shared" si="17"/>
        <v/>
      </c>
      <c r="K49" s="13" t="str">
        <f t="shared" si="7"/>
        <v/>
      </c>
      <c r="L49" s="10" t="str">
        <f t="shared" si="8"/>
        <v/>
      </c>
      <c r="M49" s="10" t="str">
        <f t="shared" si="9"/>
        <v/>
      </c>
      <c r="N49" s="10" t="str">
        <f t="shared" si="10"/>
        <v/>
      </c>
      <c r="O49" s="10" t="str">
        <f t="shared" si="11"/>
        <v/>
      </c>
      <c r="P49" s="10" t="str">
        <f t="shared" si="12"/>
        <v/>
      </c>
      <c r="Q49" s="14" t="str">
        <f t="shared" si="13"/>
        <v/>
      </c>
    </row>
    <row r="50" spans="1:17" x14ac:dyDescent="0.25">
      <c r="A50" s="4">
        <v>46054</v>
      </c>
      <c r="B50" s="5" t="str">
        <f>IF('Catalogo de Variaveis'!R55="","",SUM('Catalogo de Variaveis'!R52:R55))</f>
        <v/>
      </c>
      <c r="C50" s="15" t="str">
        <f>IFERROR(IF($B50="","",AVERAGE('Catalogo de Variaveis'!R55-'Catalogo de Variaveis'!R54,'Catalogo de Variaveis'!R54-'Catalogo de Variaveis'!R53,'Catalogo de Variaveis'!R53-'Catalogo de Variaveis'!R52,'Catalogo de Variaveis'!R52-'Catalogo de Variaveis'!R51)),0)</f>
        <v/>
      </c>
      <c r="D50" s="13" t="str">
        <f t="shared" si="0"/>
        <v/>
      </c>
      <c r="E50" s="10" t="str">
        <f t="shared" si="14"/>
        <v/>
      </c>
      <c r="F50" s="10" t="str">
        <f t="shared" si="15"/>
        <v/>
      </c>
      <c r="G50" s="10" t="str">
        <f t="shared" si="3"/>
        <v/>
      </c>
      <c r="H50" s="10" t="str">
        <f t="shared" si="16"/>
        <v/>
      </c>
      <c r="I50" s="10" t="str">
        <f t="shared" si="5"/>
        <v/>
      </c>
      <c r="J50" s="14" t="str">
        <f t="shared" si="17"/>
        <v/>
      </c>
      <c r="K50" s="13" t="str">
        <f t="shared" si="7"/>
        <v/>
      </c>
      <c r="L50" s="10" t="str">
        <f t="shared" si="8"/>
        <v/>
      </c>
      <c r="M50" s="10" t="str">
        <f t="shared" si="9"/>
        <v/>
      </c>
      <c r="N50" s="10" t="str">
        <f t="shared" si="10"/>
        <v/>
      </c>
      <c r="O50" s="10" t="str">
        <f t="shared" si="11"/>
        <v/>
      </c>
      <c r="P50" s="10" t="str">
        <f t="shared" si="12"/>
        <v/>
      </c>
      <c r="Q50" s="14" t="str">
        <f t="shared" si="13"/>
        <v/>
      </c>
    </row>
    <row r="51" spans="1:17" x14ac:dyDescent="0.25">
      <c r="A51" s="4">
        <v>46082</v>
      </c>
      <c r="B51" s="5" t="str">
        <f>IF('Catalogo de Variaveis'!R56="","",SUM('Catalogo de Variaveis'!R53:R56))</f>
        <v/>
      </c>
      <c r="C51" s="15" t="str">
        <f>IFERROR(IF($B51="","",AVERAGE('Catalogo de Variaveis'!R56-'Catalogo de Variaveis'!R55,'Catalogo de Variaveis'!R55-'Catalogo de Variaveis'!R54,'Catalogo de Variaveis'!R54-'Catalogo de Variaveis'!R53,'Catalogo de Variaveis'!R53-'Catalogo de Variaveis'!R52)),0)</f>
        <v/>
      </c>
      <c r="D51" s="13" t="str">
        <f t="shared" si="0"/>
        <v/>
      </c>
      <c r="E51" s="10" t="str">
        <f t="shared" si="14"/>
        <v/>
      </c>
      <c r="F51" s="10" t="str">
        <f t="shared" si="15"/>
        <v/>
      </c>
      <c r="G51" s="10" t="str">
        <f t="shared" si="3"/>
        <v/>
      </c>
      <c r="H51" s="10" t="str">
        <f t="shared" si="16"/>
        <v/>
      </c>
      <c r="I51" s="10" t="str">
        <f t="shared" si="5"/>
        <v/>
      </c>
      <c r="J51" s="14" t="str">
        <f t="shared" si="17"/>
        <v/>
      </c>
      <c r="K51" s="13" t="str">
        <f t="shared" si="7"/>
        <v/>
      </c>
      <c r="L51" s="10" t="str">
        <f t="shared" si="8"/>
        <v/>
      </c>
      <c r="M51" s="10" t="str">
        <f t="shared" si="9"/>
        <v/>
      </c>
      <c r="N51" s="10" t="str">
        <f t="shared" si="10"/>
        <v/>
      </c>
      <c r="O51" s="10" t="str">
        <f t="shared" si="11"/>
        <v/>
      </c>
      <c r="P51" s="10" t="str">
        <f t="shared" si="12"/>
        <v/>
      </c>
      <c r="Q51" s="14" t="str">
        <f t="shared" si="13"/>
        <v/>
      </c>
    </row>
    <row r="52" spans="1:17" x14ac:dyDescent="0.25">
      <c r="A52" s="4">
        <v>46113</v>
      </c>
      <c r="B52" s="5" t="str">
        <f>IF('Catalogo de Variaveis'!R57="","",SUM('Catalogo de Variaveis'!R54:R57))</f>
        <v/>
      </c>
      <c r="C52" s="15" t="str">
        <f>IFERROR(IF($B52="","",AVERAGE('Catalogo de Variaveis'!R57-'Catalogo de Variaveis'!R56,'Catalogo de Variaveis'!R56-'Catalogo de Variaveis'!R55,'Catalogo de Variaveis'!R55-'Catalogo de Variaveis'!R54,'Catalogo de Variaveis'!R54-'Catalogo de Variaveis'!R53)),0)</f>
        <v/>
      </c>
      <c r="D52" s="13" t="str">
        <f t="shared" si="0"/>
        <v/>
      </c>
      <c r="E52" s="10" t="str">
        <f t="shared" si="14"/>
        <v/>
      </c>
      <c r="F52" s="10" t="str">
        <f t="shared" si="15"/>
        <v/>
      </c>
      <c r="G52" s="10" t="str">
        <f t="shared" si="3"/>
        <v/>
      </c>
      <c r="H52" s="10" t="str">
        <f t="shared" si="16"/>
        <v/>
      </c>
      <c r="I52" s="10" t="str">
        <f t="shared" si="5"/>
        <v/>
      </c>
      <c r="J52" s="14" t="str">
        <f t="shared" si="17"/>
        <v/>
      </c>
      <c r="K52" s="13" t="str">
        <f t="shared" si="7"/>
        <v/>
      </c>
      <c r="L52" s="10" t="str">
        <f t="shared" si="8"/>
        <v/>
      </c>
      <c r="M52" s="10" t="str">
        <f t="shared" si="9"/>
        <v/>
      </c>
      <c r="N52" s="10" t="str">
        <f t="shared" si="10"/>
        <v/>
      </c>
      <c r="O52" s="10" t="str">
        <f t="shared" si="11"/>
        <v/>
      </c>
      <c r="P52" s="10" t="str">
        <f t="shared" si="12"/>
        <v/>
      </c>
      <c r="Q52" s="14" t="str">
        <f t="shared" si="13"/>
        <v/>
      </c>
    </row>
    <row r="53" spans="1:17" x14ac:dyDescent="0.25">
      <c r="A53" s="4">
        <v>46143</v>
      </c>
      <c r="B53" s="5" t="str">
        <f>IF('Catalogo de Variaveis'!R58="","",SUM('Catalogo de Variaveis'!R55:R58))</f>
        <v/>
      </c>
      <c r="C53" s="15" t="str">
        <f>IFERROR(IF($B53="","",AVERAGE('Catalogo de Variaveis'!R58-'Catalogo de Variaveis'!R57,'Catalogo de Variaveis'!R57-'Catalogo de Variaveis'!R56,'Catalogo de Variaveis'!R56-'Catalogo de Variaveis'!R55,'Catalogo de Variaveis'!R55-'Catalogo de Variaveis'!R54)),0)</f>
        <v/>
      </c>
      <c r="D53" s="13" t="str">
        <f t="shared" si="0"/>
        <v/>
      </c>
      <c r="E53" s="10" t="str">
        <f t="shared" si="14"/>
        <v/>
      </c>
      <c r="F53" s="10" t="str">
        <f t="shared" si="15"/>
        <v/>
      </c>
      <c r="G53" s="10" t="str">
        <f t="shared" si="3"/>
        <v/>
      </c>
      <c r="H53" s="10" t="str">
        <f t="shared" si="16"/>
        <v/>
      </c>
      <c r="I53" s="10" t="str">
        <f t="shared" si="5"/>
        <v/>
      </c>
      <c r="J53" s="14" t="str">
        <f t="shared" si="17"/>
        <v/>
      </c>
      <c r="K53" s="13" t="str">
        <f t="shared" si="7"/>
        <v/>
      </c>
      <c r="L53" s="10" t="str">
        <f t="shared" si="8"/>
        <v/>
      </c>
      <c r="M53" s="10" t="str">
        <f t="shared" si="9"/>
        <v/>
      </c>
      <c r="N53" s="10" t="str">
        <f t="shared" si="10"/>
        <v/>
      </c>
      <c r="O53" s="10" t="str">
        <f t="shared" si="11"/>
        <v/>
      </c>
      <c r="P53" s="10" t="str">
        <f t="shared" si="12"/>
        <v/>
      </c>
      <c r="Q53" s="14" t="str">
        <f t="shared" si="13"/>
        <v/>
      </c>
    </row>
    <row r="54" spans="1:17" x14ac:dyDescent="0.25">
      <c r="A54" s="4">
        <v>46174</v>
      </c>
      <c r="B54" s="5" t="str">
        <f>IF('Catalogo de Variaveis'!R59="","",SUM('Catalogo de Variaveis'!R56:R59))</f>
        <v/>
      </c>
      <c r="C54" s="15" t="str">
        <f>IFERROR(IF($B54="","",AVERAGE('Catalogo de Variaveis'!R59-'Catalogo de Variaveis'!R58,'Catalogo de Variaveis'!R58-'Catalogo de Variaveis'!R57,'Catalogo de Variaveis'!R57-'Catalogo de Variaveis'!R56,'Catalogo de Variaveis'!R56-'Catalogo de Variaveis'!R55)),0)</f>
        <v/>
      </c>
      <c r="D54" s="13" t="str">
        <f t="shared" si="0"/>
        <v/>
      </c>
      <c r="E54" s="10" t="str">
        <f t="shared" si="14"/>
        <v/>
      </c>
      <c r="F54" s="10" t="str">
        <f t="shared" si="15"/>
        <v/>
      </c>
      <c r="G54" s="10" t="str">
        <f t="shared" si="3"/>
        <v/>
      </c>
      <c r="H54" s="10" t="str">
        <f t="shared" si="16"/>
        <v/>
      </c>
      <c r="I54" s="10" t="str">
        <f t="shared" si="5"/>
        <v/>
      </c>
      <c r="J54" s="14" t="str">
        <f t="shared" si="17"/>
        <v/>
      </c>
      <c r="K54" s="13" t="str">
        <f t="shared" si="7"/>
        <v/>
      </c>
      <c r="L54" s="10" t="str">
        <f t="shared" si="8"/>
        <v/>
      </c>
      <c r="M54" s="10" t="str">
        <f t="shared" si="9"/>
        <v/>
      </c>
      <c r="N54" s="10" t="str">
        <f t="shared" si="10"/>
        <v/>
      </c>
      <c r="O54" s="10" t="str">
        <f t="shared" si="11"/>
        <v/>
      </c>
      <c r="P54" s="10" t="str">
        <f t="shared" si="12"/>
        <v/>
      </c>
      <c r="Q54" s="14" t="str">
        <f t="shared" si="13"/>
        <v/>
      </c>
    </row>
    <row r="55" spans="1:17" x14ac:dyDescent="0.25">
      <c r="A55" s="4">
        <v>46204</v>
      </c>
      <c r="B55" s="5" t="str">
        <f>IF('Catalogo de Variaveis'!R60="","",SUM('Catalogo de Variaveis'!R57:R60))</f>
        <v/>
      </c>
      <c r="C55" s="15" t="str">
        <f>IFERROR(IF($B55="","",AVERAGE('Catalogo de Variaveis'!R60-'Catalogo de Variaveis'!R59,'Catalogo de Variaveis'!R59-'Catalogo de Variaveis'!R58,'Catalogo de Variaveis'!R58-'Catalogo de Variaveis'!R57,'Catalogo de Variaveis'!R57-'Catalogo de Variaveis'!R56)),0)</f>
        <v/>
      </c>
      <c r="D55" s="13" t="str">
        <f t="shared" si="0"/>
        <v/>
      </c>
      <c r="E55" s="10" t="str">
        <f t="shared" si="14"/>
        <v/>
      </c>
      <c r="F55" s="10" t="str">
        <f t="shared" si="15"/>
        <v/>
      </c>
      <c r="G55" s="10" t="str">
        <f t="shared" si="3"/>
        <v/>
      </c>
      <c r="H55" s="10" t="str">
        <f t="shared" si="16"/>
        <v/>
      </c>
      <c r="I55" s="10" t="str">
        <f t="shared" si="5"/>
        <v/>
      </c>
      <c r="J55" s="14" t="str">
        <f t="shared" si="17"/>
        <v/>
      </c>
      <c r="K55" s="13" t="str">
        <f t="shared" si="7"/>
        <v/>
      </c>
      <c r="L55" s="10" t="str">
        <f t="shared" si="8"/>
        <v/>
      </c>
      <c r="M55" s="10" t="str">
        <f t="shared" si="9"/>
        <v/>
      </c>
      <c r="N55" s="10" t="str">
        <f t="shared" si="10"/>
        <v/>
      </c>
      <c r="O55" s="10" t="str">
        <f t="shared" si="11"/>
        <v/>
      </c>
      <c r="P55" s="10" t="str">
        <f t="shared" si="12"/>
        <v/>
      </c>
      <c r="Q55" s="14" t="str">
        <f t="shared" si="13"/>
        <v/>
      </c>
    </row>
    <row r="56" spans="1:17" x14ac:dyDescent="0.25">
      <c r="A56" s="4">
        <v>46235</v>
      </c>
      <c r="B56" s="5" t="str">
        <f>IF('Catalogo de Variaveis'!R61="","",SUM('Catalogo de Variaveis'!R58:R61))</f>
        <v/>
      </c>
      <c r="C56" s="15" t="str">
        <f>IFERROR(IF($B56="","",AVERAGE('Catalogo de Variaveis'!R61-'Catalogo de Variaveis'!R60,'Catalogo de Variaveis'!R60-'Catalogo de Variaveis'!R59,'Catalogo de Variaveis'!R59-'Catalogo de Variaveis'!R58,'Catalogo de Variaveis'!R58-'Catalogo de Variaveis'!R57)),0)</f>
        <v/>
      </c>
      <c r="D56" s="13" t="str">
        <f t="shared" si="0"/>
        <v/>
      </c>
      <c r="E56" s="10" t="str">
        <f t="shared" si="14"/>
        <v/>
      </c>
      <c r="F56" s="10" t="str">
        <f t="shared" si="15"/>
        <v/>
      </c>
      <c r="G56" s="10" t="str">
        <f t="shared" si="3"/>
        <v/>
      </c>
      <c r="H56" s="10" t="str">
        <f t="shared" si="16"/>
        <v/>
      </c>
      <c r="I56" s="10" t="str">
        <f t="shared" si="5"/>
        <v/>
      </c>
      <c r="J56" s="14" t="str">
        <f t="shared" si="17"/>
        <v/>
      </c>
      <c r="K56" s="13" t="str">
        <f t="shared" si="7"/>
        <v/>
      </c>
      <c r="L56" s="10" t="str">
        <f t="shared" si="8"/>
        <v/>
      </c>
      <c r="M56" s="10" t="str">
        <f t="shared" si="9"/>
        <v/>
      </c>
      <c r="N56" s="10" t="str">
        <f t="shared" si="10"/>
        <v/>
      </c>
      <c r="O56" s="10" t="str">
        <f t="shared" si="11"/>
        <v/>
      </c>
      <c r="P56" s="10" t="str">
        <f t="shared" si="12"/>
        <v/>
      </c>
      <c r="Q56" s="14" t="str">
        <f t="shared" si="13"/>
        <v/>
      </c>
    </row>
    <row r="57" spans="1:17" x14ac:dyDescent="0.25">
      <c r="A57" s="4">
        <v>46266</v>
      </c>
      <c r="B57" s="5" t="str">
        <f>IF('Catalogo de Variaveis'!R62="","",SUM('Catalogo de Variaveis'!R59:R62))</f>
        <v/>
      </c>
      <c r="C57" s="15" t="str">
        <f>IFERROR(IF($B57="","",AVERAGE('Catalogo de Variaveis'!R62-'Catalogo de Variaveis'!R61,'Catalogo de Variaveis'!R61-'Catalogo de Variaveis'!R60,'Catalogo de Variaveis'!R60-'Catalogo de Variaveis'!R59,'Catalogo de Variaveis'!R59-'Catalogo de Variaveis'!R58)),0)</f>
        <v/>
      </c>
      <c r="D57" s="13" t="str">
        <f t="shared" si="0"/>
        <v/>
      </c>
      <c r="E57" s="10" t="str">
        <f t="shared" si="14"/>
        <v/>
      </c>
      <c r="F57" s="10" t="str">
        <f t="shared" si="15"/>
        <v/>
      </c>
      <c r="G57" s="10" t="str">
        <f t="shared" si="3"/>
        <v/>
      </c>
      <c r="H57" s="10" t="str">
        <f t="shared" si="16"/>
        <v/>
      </c>
      <c r="I57" s="10" t="str">
        <f t="shared" si="5"/>
        <v/>
      </c>
      <c r="J57" s="14" t="str">
        <f t="shared" si="17"/>
        <v/>
      </c>
      <c r="K57" s="13" t="str">
        <f t="shared" si="7"/>
        <v/>
      </c>
      <c r="L57" s="10" t="str">
        <f t="shared" si="8"/>
        <v/>
      </c>
      <c r="M57" s="10" t="str">
        <f t="shared" si="9"/>
        <v/>
      </c>
      <c r="N57" s="10" t="str">
        <f t="shared" si="10"/>
        <v/>
      </c>
      <c r="O57" s="10" t="str">
        <f t="shared" si="11"/>
        <v/>
      </c>
      <c r="P57" s="10" t="str">
        <f t="shared" si="12"/>
        <v/>
      </c>
      <c r="Q57" s="14" t="str">
        <f t="shared" si="13"/>
        <v/>
      </c>
    </row>
    <row r="58" spans="1:17" x14ac:dyDescent="0.25">
      <c r="A58" s="4">
        <v>46296</v>
      </c>
      <c r="B58" s="5" t="str">
        <f>IF('Catalogo de Variaveis'!R63="","",SUM('Catalogo de Variaveis'!R60:R63))</f>
        <v/>
      </c>
      <c r="C58" s="15" t="str">
        <f>IFERROR(IF($B58="","",AVERAGE('Catalogo de Variaveis'!R63-'Catalogo de Variaveis'!R62,'Catalogo de Variaveis'!R62-'Catalogo de Variaveis'!R61,'Catalogo de Variaveis'!R61-'Catalogo de Variaveis'!R60,'Catalogo de Variaveis'!R60-'Catalogo de Variaveis'!R59)),0)</f>
        <v/>
      </c>
      <c r="D58" s="13" t="str">
        <f t="shared" si="0"/>
        <v/>
      </c>
      <c r="E58" s="10" t="str">
        <f t="shared" si="14"/>
        <v/>
      </c>
      <c r="F58" s="10" t="str">
        <f t="shared" si="15"/>
        <v/>
      </c>
      <c r="G58" s="10" t="str">
        <f t="shared" si="3"/>
        <v/>
      </c>
      <c r="H58" s="10" t="str">
        <f t="shared" si="16"/>
        <v/>
      </c>
      <c r="I58" s="10" t="str">
        <f t="shared" si="5"/>
        <v/>
      </c>
      <c r="J58" s="14" t="str">
        <f t="shared" si="17"/>
        <v/>
      </c>
      <c r="K58" s="13" t="str">
        <f t="shared" si="7"/>
        <v/>
      </c>
      <c r="L58" s="10" t="str">
        <f t="shared" si="8"/>
        <v/>
      </c>
      <c r="M58" s="10" t="str">
        <f t="shared" si="9"/>
        <v/>
      </c>
      <c r="N58" s="10" t="str">
        <f t="shared" si="10"/>
        <v/>
      </c>
      <c r="O58" s="10" t="str">
        <f t="shared" si="11"/>
        <v/>
      </c>
      <c r="P58" s="10" t="str">
        <f t="shared" si="12"/>
        <v/>
      </c>
      <c r="Q58" s="14" t="str">
        <f t="shared" si="13"/>
        <v/>
      </c>
    </row>
    <row r="59" spans="1:17" x14ac:dyDescent="0.25">
      <c r="A59" s="4">
        <v>46327</v>
      </c>
      <c r="B59" s="5" t="str">
        <f>IF('Catalogo de Variaveis'!R64="","",SUM('Catalogo de Variaveis'!R61:R64))</f>
        <v/>
      </c>
      <c r="C59" s="15" t="str">
        <f>IFERROR(IF($B59="","",AVERAGE('Catalogo de Variaveis'!R64-'Catalogo de Variaveis'!R63,'Catalogo de Variaveis'!R63-'Catalogo de Variaveis'!R62,'Catalogo de Variaveis'!R62-'Catalogo de Variaveis'!R61,'Catalogo de Variaveis'!R61-'Catalogo de Variaveis'!R60)),0)</f>
        <v/>
      </c>
      <c r="D59" s="13" t="str">
        <f t="shared" si="0"/>
        <v/>
      </c>
      <c r="E59" s="10" t="str">
        <f t="shared" si="14"/>
        <v/>
      </c>
      <c r="F59" s="10" t="str">
        <f t="shared" si="15"/>
        <v/>
      </c>
      <c r="G59" s="10" t="str">
        <f t="shared" si="3"/>
        <v/>
      </c>
      <c r="H59" s="10" t="str">
        <f t="shared" si="16"/>
        <v/>
      </c>
      <c r="I59" s="10" t="str">
        <f t="shared" si="5"/>
        <v/>
      </c>
      <c r="J59" s="14" t="str">
        <f t="shared" si="17"/>
        <v/>
      </c>
      <c r="K59" s="13" t="str">
        <f t="shared" si="7"/>
        <v/>
      </c>
      <c r="L59" s="10" t="str">
        <f t="shared" si="8"/>
        <v/>
      </c>
      <c r="M59" s="10" t="str">
        <f t="shared" si="9"/>
        <v/>
      </c>
      <c r="N59" s="10" t="str">
        <f t="shared" si="10"/>
        <v/>
      </c>
      <c r="O59" s="10" t="str">
        <f t="shared" si="11"/>
        <v/>
      </c>
      <c r="P59" s="10" t="str">
        <f t="shared" si="12"/>
        <v/>
      </c>
      <c r="Q59" s="14" t="str">
        <f t="shared" si="13"/>
        <v/>
      </c>
    </row>
    <row r="60" spans="1:17" x14ac:dyDescent="0.25">
      <c r="A60" s="4">
        <v>46357</v>
      </c>
      <c r="B60" s="5" t="str">
        <f>IF('Catalogo de Variaveis'!R65="","",SUM('Catalogo de Variaveis'!R62:R65))</f>
        <v/>
      </c>
      <c r="C60" s="15" t="str">
        <f>IFERROR(IF($B60="","",AVERAGE('Catalogo de Variaveis'!R65-'Catalogo de Variaveis'!R64,'Catalogo de Variaveis'!R64-'Catalogo de Variaveis'!R63,'Catalogo de Variaveis'!R63-'Catalogo de Variaveis'!R62,'Catalogo de Variaveis'!R62-'Catalogo de Variaveis'!R61)),0)</f>
        <v/>
      </c>
      <c r="D60" s="13" t="str">
        <f>IF($B60="","",IF(OR($J$1="",$J$2=""),$B$1-3*$B$2,$J$1-3*$J$2))</f>
        <v/>
      </c>
      <c r="E60" s="10" t="str">
        <f t="shared" si="14"/>
        <v/>
      </c>
      <c r="F60" s="10" t="str">
        <f t="shared" si="15"/>
        <v/>
      </c>
      <c r="G60" s="10" t="str">
        <f>IF($B60="","",IF(OR($J$1="",$J$2=""),$B$1,$J$1))</f>
        <v/>
      </c>
      <c r="H60" s="10" t="str">
        <f t="shared" si="16"/>
        <v/>
      </c>
      <c r="I60" s="10" t="str">
        <f>IF($B60="","",IF(OR($J$1="",$J$2=""),$B$1+2*$B$2,$J$1+2*$J$2))</f>
        <v/>
      </c>
      <c r="J60" s="14" t="str">
        <f t="shared" si="17"/>
        <v/>
      </c>
      <c r="K60" s="13" t="str">
        <f t="shared" si="7"/>
        <v/>
      </c>
      <c r="L60" s="10" t="str">
        <f t="shared" si="8"/>
        <v/>
      </c>
      <c r="M60" s="10" t="str">
        <f t="shared" si="9"/>
        <v/>
      </c>
      <c r="N60" s="10" t="str">
        <f t="shared" si="10"/>
        <v/>
      </c>
      <c r="O60" s="10" t="str">
        <f t="shared" si="11"/>
        <v/>
      </c>
      <c r="P60" s="10" t="str">
        <f t="shared" si="12"/>
        <v/>
      </c>
      <c r="Q60" s="14" t="str">
        <f t="shared" si="13"/>
        <v/>
      </c>
    </row>
    <row r="61" spans="1:17" x14ac:dyDescent="0.25">
      <c r="A61" s="4">
        <v>46388</v>
      </c>
      <c r="B61" s="5" t="str">
        <f>IF('Catalogo de Variaveis'!R66="","",SUM('Catalogo de Variaveis'!R63:R66))</f>
        <v/>
      </c>
      <c r="C61" s="15" t="str">
        <f>IFERROR(IF($B61="","",AVERAGE('Catalogo de Variaveis'!R66-'Catalogo de Variaveis'!R65,'Catalogo de Variaveis'!R65-'Catalogo de Variaveis'!R64,'Catalogo de Variaveis'!R64-'Catalogo de Variaveis'!R63,'Catalogo de Variaveis'!R63-'Catalogo de Variaveis'!R62)),0)</f>
        <v/>
      </c>
      <c r="D61" s="13" t="str">
        <f t="shared" ref="D61:D96" si="18">IF($B61="","",IF(OR($J$1="",$J$2=""),$B$1-3*$B$2,$J$1-3*$J$2))</f>
        <v/>
      </c>
      <c r="E61" s="10" t="str">
        <f t="shared" si="14"/>
        <v/>
      </c>
      <c r="F61" s="10" t="str">
        <f t="shared" si="15"/>
        <v/>
      </c>
      <c r="G61" s="10" t="str">
        <f t="shared" ref="G61:G96" si="19">IF($B61="","",IF(OR($J$1="",$J$2=""),$B$1,$J$1))</f>
        <v/>
      </c>
      <c r="H61" s="10" t="str">
        <f t="shared" si="16"/>
        <v/>
      </c>
      <c r="I61" s="10" t="str">
        <f t="shared" ref="I61:I96" si="20">IF($B61="","",IF(OR($J$1="",$J$2=""),$B$1+2*$B$2,$J$1+2*$J$2))</f>
        <v/>
      </c>
      <c r="J61" s="14" t="str">
        <f t="shared" si="17"/>
        <v/>
      </c>
      <c r="K61" s="13" t="str">
        <f t="shared" si="7"/>
        <v/>
      </c>
      <c r="L61" s="10" t="str">
        <f t="shared" si="8"/>
        <v/>
      </c>
      <c r="M61" s="10" t="str">
        <f t="shared" si="9"/>
        <v/>
      </c>
      <c r="N61" s="10" t="str">
        <f t="shared" si="10"/>
        <v/>
      </c>
      <c r="O61" s="10" t="str">
        <f t="shared" si="11"/>
        <v/>
      </c>
      <c r="P61" s="10" t="str">
        <f t="shared" si="12"/>
        <v/>
      </c>
      <c r="Q61" s="14" t="str">
        <f t="shared" si="13"/>
        <v/>
      </c>
    </row>
    <row r="62" spans="1:17" x14ac:dyDescent="0.25">
      <c r="A62" s="4">
        <v>46419</v>
      </c>
      <c r="B62" s="5" t="str">
        <f>IF('Catalogo de Variaveis'!R67="","",SUM('Catalogo de Variaveis'!R64:R67))</f>
        <v/>
      </c>
      <c r="C62" s="15" t="str">
        <f>IFERROR(IF($B62="","",AVERAGE('Catalogo de Variaveis'!R67-'Catalogo de Variaveis'!R66,'Catalogo de Variaveis'!R66-'Catalogo de Variaveis'!R65,'Catalogo de Variaveis'!R65-'Catalogo de Variaveis'!R64,'Catalogo de Variaveis'!R64-'Catalogo de Variaveis'!R63)),0)</f>
        <v/>
      </c>
      <c r="D62" s="13" t="str">
        <f t="shared" si="18"/>
        <v/>
      </c>
      <c r="E62" s="10" t="str">
        <f t="shared" si="14"/>
        <v/>
      </c>
      <c r="F62" s="10" t="str">
        <f t="shared" si="15"/>
        <v/>
      </c>
      <c r="G62" s="10" t="str">
        <f t="shared" si="19"/>
        <v/>
      </c>
      <c r="H62" s="10" t="str">
        <f t="shared" si="16"/>
        <v/>
      </c>
      <c r="I62" s="10" t="str">
        <f t="shared" si="20"/>
        <v/>
      </c>
      <c r="J62" s="14" t="str">
        <f t="shared" si="17"/>
        <v/>
      </c>
      <c r="K62" s="13" t="str">
        <f t="shared" si="7"/>
        <v/>
      </c>
      <c r="L62" s="10" t="str">
        <f t="shared" si="8"/>
        <v/>
      </c>
      <c r="M62" s="10" t="str">
        <f t="shared" si="9"/>
        <v/>
      </c>
      <c r="N62" s="10" t="str">
        <f t="shared" si="10"/>
        <v/>
      </c>
      <c r="O62" s="10" t="str">
        <f t="shared" si="11"/>
        <v/>
      </c>
      <c r="P62" s="10" t="str">
        <f t="shared" si="12"/>
        <v/>
      </c>
      <c r="Q62" s="14" t="str">
        <f t="shared" si="13"/>
        <v/>
      </c>
    </row>
    <row r="63" spans="1:17" x14ac:dyDescent="0.25">
      <c r="A63" s="4">
        <v>46447</v>
      </c>
      <c r="B63" s="5" t="str">
        <f>IF('Catalogo de Variaveis'!R68="","",SUM('Catalogo de Variaveis'!R65:R68))</f>
        <v/>
      </c>
      <c r="C63" s="15" t="str">
        <f>IFERROR(IF($B63="","",AVERAGE('Catalogo de Variaveis'!R68-'Catalogo de Variaveis'!R67,'Catalogo de Variaveis'!R67-'Catalogo de Variaveis'!R66,'Catalogo de Variaveis'!R66-'Catalogo de Variaveis'!R65,'Catalogo de Variaveis'!R65-'Catalogo de Variaveis'!R64)),0)</f>
        <v/>
      </c>
      <c r="D63" s="13" t="str">
        <f t="shared" si="18"/>
        <v/>
      </c>
      <c r="E63" s="10" t="str">
        <f t="shared" si="14"/>
        <v/>
      </c>
      <c r="F63" s="10" t="str">
        <f t="shared" si="15"/>
        <v/>
      </c>
      <c r="G63" s="10" t="str">
        <f t="shared" si="19"/>
        <v/>
      </c>
      <c r="H63" s="10" t="str">
        <f t="shared" si="16"/>
        <v/>
      </c>
      <c r="I63" s="10" t="str">
        <f t="shared" si="20"/>
        <v/>
      </c>
      <c r="J63" s="14" t="str">
        <f t="shared" si="17"/>
        <v/>
      </c>
      <c r="K63" s="13" t="str">
        <f t="shared" si="7"/>
        <v/>
      </c>
      <c r="L63" s="10" t="str">
        <f t="shared" si="8"/>
        <v/>
      </c>
      <c r="M63" s="10" t="str">
        <f t="shared" si="9"/>
        <v/>
      </c>
      <c r="N63" s="10" t="str">
        <f t="shared" si="10"/>
        <v/>
      </c>
      <c r="O63" s="10" t="str">
        <f t="shared" si="11"/>
        <v/>
      </c>
      <c r="P63" s="10" t="str">
        <f t="shared" si="12"/>
        <v/>
      </c>
      <c r="Q63" s="14" t="str">
        <f t="shared" si="13"/>
        <v/>
      </c>
    </row>
    <row r="64" spans="1:17" x14ac:dyDescent="0.25">
      <c r="A64" s="4">
        <v>46478</v>
      </c>
      <c r="B64" s="5" t="str">
        <f>IF('Catalogo de Variaveis'!R69="","",SUM('Catalogo de Variaveis'!R66:R69))</f>
        <v/>
      </c>
      <c r="C64" s="15" t="str">
        <f>IFERROR(IF($B64="","",AVERAGE('Catalogo de Variaveis'!R69-'Catalogo de Variaveis'!R68,'Catalogo de Variaveis'!R68-'Catalogo de Variaveis'!R67,'Catalogo de Variaveis'!R67-'Catalogo de Variaveis'!R66,'Catalogo de Variaveis'!R66-'Catalogo de Variaveis'!R65)),0)</f>
        <v/>
      </c>
      <c r="D64" s="13" t="str">
        <f t="shared" si="18"/>
        <v/>
      </c>
      <c r="E64" s="10" t="str">
        <f t="shared" si="14"/>
        <v/>
      </c>
      <c r="F64" s="10" t="str">
        <f t="shared" si="15"/>
        <v/>
      </c>
      <c r="G64" s="10" t="str">
        <f t="shared" si="19"/>
        <v/>
      </c>
      <c r="H64" s="10" t="str">
        <f t="shared" si="16"/>
        <v/>
      </c>
      <c r="I64" s="10" t="str">
        <f t="shared" si="20"/>
        <v/>
      </c>
      <c r="J64" s="14" t="str">
        <f t="shared" si="17"/>
        <v/>
      </c>
      <c r="K64" s="13" t="str">
        <f t="shared" si="7"/>
        <v/>
      </c>
      <c r="L64" s="10" t="str">
        <f t="shared" si="8"/>
        <v/>
      </c>
      <c r="M64" s="10" t="str">
        <f t="shared" si="9"/>
        <v/>
      </c>
      <c r="N64" s="10" t="str">
        <f t="shared" si="10"/>
        <v/>
      </c>
      <c r="O64" s="10" t="str">
        <f t="shared" si="11"/>
        <v/>
      </c>
      <c r="P64" s="10" t="str">
        <f t="shared" si="12"/>
        <v/>
      </c>
      <c r="Q64" s="14" t="str">
        <f t="shared" si="13"/>
        <v/>
      </c>
    </row>
    <row r="65" spans="1:17" x14ac:dyDescent="0.25">
      <c r="A65" s="4">
        <v>46508</v>
      </c>
      <c r="B65" s="5" t="str">
        <f>IF('Catalogo de Variaveis'!R70="","",SUM('Catalogo de Variaveis'!R67:R70))</f>
        <v/>
      </c>
      <c r="C65" s="15" t="str">
        <f>IFERROR(IF($B65="","",AVERAGE('Catalogo de Variaveis'!R70-'Catalogo de Variaveis'!R69,'Catalogo de Variaveis'!R69-'Catalogo de Variaveis'!R68,'Catalogo de Variaveis'!R68-'Catalogo de Variaveis'!R67,'Catalogo de Variaveis'!R67-'Catalogo de Variaveis'!R66)),0)</f>
        <v/>
      </c>
      <c r="D65" s="13" t="str">
        <f t="shared" si="18"/>
        <v/>
      </c>
      <c r="E65" s="10" t="str">
        <f t="shared" si="14"/>
        <v/>
      </c>
      <c r="F65" s="10" t="str">
        <f t="shared" si="15"/>
        <v/>
      </c>
      <c r="G65" s="10" t="str">
        <f t="shared" si="19"/>
        <v/>
      </c>
      <c r="H65" s="10" t="str">
        <f t="shared" si="16"/>
        <v/>
      </c>
      <c r="I65" s="10" t="str">
        <f t="shared" si="20"/>
        <v/>
      </c>
      <c r="J65" s="14" t="str">
        <f t="shared" si="17"/>
        <v/>
      </c>
      <c r="K65" s="13" t="str">
        <f t="shared" si="7"/>
        <v/>
      </c>
      <c r="L65" s="10" t="str">
        <f t="shared" si="8"/>
        <v/>
      </c>
      <c r="M65" s="10" t="str">
        <f t="shared" si="9"/>
        <v/>
      </c>
      <c r="N65" s="10" t="str">
        <f t="shared" si="10"/>
        <v/>
      </c>
      <c r="O65" s="10" t="str">
        <f t="shared" si="11"/>
        <v/>
      </c>
      <c r="P65" s="10" t="str">
        <f t="shared" si="12"/>
        <v/>
      </c>
      <c r="Q65" s="14" t="str">
        <f t="shared" si="13"/>
        <v/>
      </c>
    </row>
    <row r="66" spans="1:17" x14ac:dyDescent="0.25">
      <c r="A66" s="4">
        <v>46539</v>
      </c>
      <c r="B66" s="5" t="str">
        <f>IF('Catalogo de Variaveis'!R71="","",SUM('Catalogo de Variaveis'!R68:R71))</f>
        <v/>
      </c>
      <c r="C66" s="15" t="str">
        <f>IFERROR(IF($B66="","",AVERAGE('Catalogo de Variaveis'!R71-'Catalogo de Variaveis'!R70,'Catalogo de Variaveis'!R70-'Catalogo de Variaveis'!R69,'Catalogo de Variaveis'!R69-'Catalogo de Variaveis'!R68,'Catalogo de Variaveis'!R68-'Catalogo de Variaveis'!R67)),0)</f>
        <v/>
      </c>
      <c r="D66" s="13" t="str">
        <f t="shared" si="18"/>
        <v/>
      </c>
      <c r="E66" s="10" t="str">
        <f t="shared" si="14"/>
        <v/>
      </c>
      <c r="F66" s="10" t="str">
        <f t="shared" si="15"/>
        <v/>
      </c>
      <c r="G66" s="10" t="str">
        <f t="shared" si="19"/>
        <v/>
      </c>
      <c r="H66" s="10" t="str">
        <f t="shared" si="16"/>
        <v/>
      </c>
      <c r="I66" s="10" t="str">
        <f t="shared" si="20"/>
        <v/>
      </c>
      <c r="J66" s="14" t="str">
        <f t="shared" si="17"/>
        <v/>
      </c>
      <c r="K66" s="13" t="str">
        <f t="shared" si="7"/>
        <v/>
      </c>
      <c r="L66" s="10" t="str">
        <f t="shared" si="8"/>
        <v/>
      </c>
      <c r="M66" s="10" t="str">
        <f t="shared" si="9"/>
        <v/>
      </c>
      <c r="N66" s="10" t="str">
        <f t="shared" si="10"/>
        <v/>
      </c>
      <c r="O66" s="10" t="str">
        <f t="shared" si="11"/>
        <v/>
      </c>
      <c r="P66" s="10" t="str">
        <f t="shared" si="12"/>
        <v/>
      </c>
      <c r="Q66" s="14" t="str">
        <f t="shared" si="13"/>
        <v/>
      </c>
    </row>
    <row r="67" spans="1:17" x14ac:dyDescent="0.25">
      <c r="A67" s="4">
        <v>46569</v>
      </c>
      <c r="B67" s="5" t="str">
        <f>IF('Catalogo de Variaveis'!R72="","",SUM('Catalogo de Variaveis'!R69:R72))</f>
        <v/>
      </c>
      <c r="C67" s="15" t="str">
        <f>IFERROR(IF($B67="","",AVERAGE('Catalogo de Variaveis'!R72-'Catalogo de Variaveis'!R71,'Catalogo de Variaveis'!R71-'Catalogo de Variaveis'!R70,'Catalogo de Variaveis'!R70-'Catalogo de Variaveis'!R69,'Catalogo de Variaveis'!R69-'Catalogo de Variaveis'!R68)),0)</f>
        <v/>
      </c>
      <c r="D67" s="13" t="str">
        <f t="shared" si="18"/>
        <v/>
      </c>
      <c r="E67" s="10" t="str">
        <f t="shared" si="14"/>
        <v/>
      </c>
      <c r="F67" s="10" t="str">
        <f t="shared" si="15"/>
        <v/>
      </c>
      <c r="G67" s="10" t="str">
        <f t="shared" si="19"/>
        <v/>
      </c>
      <c r="H67" s="10" t="str">
        <f t="shared" si="16"/>
        <v/>
      </c>
      <c r="I67" s="10" t="str">
        <f t="shared" si="20"/>
        <v/>
      </c>
      <c r="J67" s="14" t="str">
        <f t="shared" si="17"/>
        <v/>
      </c>
      <c r="K67" s="13" t="str">
        <f t="shared" si="7"/>
        <v/>
      </c>
      <c r="L67" s="10" t="str">
        <f t="shared" si="8"/>
        <v/>
      </c>
      <c r="M67" s="10" t="str">
        <f t="shared" si="9"/>
        <v/>
      </c>
      <c r="N67" s="10" t="str">
        <f t="shared" si="10"/>
        <v/>
      </c>
      <c r="O67" s="10" t="str">
        <f t="shared" si="11"/>
        <v/>
      </c>
      <c r="P67" s="10" t="str">
        <f t="shared" si="12"/>
        <v/>
      </c>
      <c r="Q67" s="14" t="str">
        <f t="shared" si="13"/>
        <v/>
      </c>
    </row>
    <row r="68" spans="1:17" x14ac:dyDescent="0.25">
      <c r="A68" s="4">
        <v>46600</v>
      </c>
      <c r="B68" s="5" t="str">
        <f>IF('Catalogo de Variaveis'!R73="","",SUM('Catalogo de Variaveis'!R70:R73))</f>
        <v/>
      </c>
      <c r="C68" s="15" t="str">
        <f>IFERROR(IF($B68="","",AVERAGE('Catalogo de Variaveis'!R73-'Catalogo de Variaveis'!R72,'Catalogo de Variaveis'!R72-'Catalogo de Variaveis'!R71,'Catalogo de Variaveis'!R71-'Catalogo de Variaveis'!R70,'Catalogo de Variaveis'!R70-'Catalogo de Variaveis'!R69)),0)</f>
        <v/>
      </c>
      <c r="D68" s="13" t="str">
        <f t="shared" si="18"/>
        <v/>
      </c>
      <c r="E68" s="10" t="str">
        <f t="shared" si="14"/>
        <v/>
      </c>
      <c r="F68" s="10" t="str">
        <f t="shared" si="15"/>
        <v/>
      </c>
      <c r="G68" s="10" t="str">
        <f t="shared" si="19"/>
        <v/>
      </c>
      <c r="H68" s="10" t="str">
        <f t="shared" si="16"/>
        <v/>
      </c>
      <c r="I68" s="10" t="str">
        <f t="shared" si="20"/>
        <v/>
      </c>
      <c r="J68" s="14" t="str">
        <f t="shared" si="17"/>
        <v/>
      </c>
      <c r="K68" s="13" t="str">
        <f t="shared" si="7"/>
        <v/>
      </c>
      <c r="L68" s="10" t="str">
        <f t="shared" si="8"/>
        <v/>
      </c>
      <c r="M68" s="10" t="str">
        <f t="shared" si="9"/>
        <v/>
      </c>
      <c r="N68" s="10" t="str">
        <f t="shared" si="10"/>
        <v/>
      </c>
      <c r="O68" s="10" t="str">
        <f t="shared" si="11"/>
        <v/>
      </c>
      <c r="P68" s="10" t="str">
        <f t="shared" si="12"/>
        <v/>
      </c>
      <c r="Q68" s="14" t="str">
        <f t="shared" si="13"/>
        <v/>
      </c>
    </row>
    <row r="69" spans="1:17" x14ac:dyDescent="0.25">
      <c r="A69" s="4">
        <v>46631</v>
      </c>
      <c r="B69" s="5" t="str">
        <f>IF('Catalogo de Variaveis'!R74="","",SUM('Catalogo de Variaveis'!R71:R74))</f>
        <v/>
      </c>
      <c r="C69" s="15" t="str">
        <f>IFERROR(IF($B69="","",AVERAGE('Catalogo de Variaveis'!R74-'Catalogo de Variaveis'!R73,'Catalogo de Variaveis'!R73-'Catalogo de Variaveis'!R72,'Catalogo de Variaveis'!R72-'Catalogo de Variaveis'!R71,'Catalogo de Variaveis'!R71-'Catalogo de Variaveis'!R70)),0)</f>
        <v/>
      </c>
      <c r="D69" s="13" t="str">
        <f t="shared" si="18"/>
        <v/>
      </c>
      <c r="E69" s="10" t="str">
        <f t="shared" si="14"/>
        <v/>
      </c>
      <c r="F69" s="10" t="str">
        <f t="shared" si="15"/>
        <v/>
      </c>
      <c r="G69" s="10" t="str">
        <f t="shared" si="19"/>
        <v/>
      </c>
      <c r="H69" s="10" t="str">
        <f t="shared" si="16"/>
        <v/>
      </c>
      <c r="I69" s="10" t="str">
        <f t="shared" si="20"/>
        <v/>
      </c>
      <c r="J69" s="14" t="str">
        <f t="shared" si="17"/>
        <v/>
      </c>
      <c r="K69" s="13" t="str">
        <f t="shared" si="7"/>
        <v/>
      </c>
      <c r="L69" s="10" t="str">
        <f t="shared" si="8"/>
        <v/>
      </c>
      <c r="M69" s="10" t="str">
        <f t="shared" si="9"/>
        <v/>
      </c>
      <c r="N69" s="10" t="str">
        <f t="shared" si="10"/>
        <v/>
      </c>
      <c r="O69" s="10" t="str">
        <f t="shared" si="11"/>
        <v/>
      </c>
      <c r="P69" s="10" t="str">
        <f t="shared" si="12"/>
        <v/>
      </c>
      <c r="Q69" s="14" t="str">
        <f t="shared" si="13"/>
        <v/>
      </c>
    </row>
    <row r="70" spans="1:17" x14ac:dyDescent="0.25">
      <c r="A70" s="4">
        <v>46661</v>
      </c>
      <c r="B70" s="5" t="str">
        <f>IF('Catalogo de Variaveis'!R75="","",SUM('Catalogo de Variaveis'!R72:R75))</f>
        <v/>
      </c>
      <c r="C70" s="15" t="str">
        <f>IFERROR(IF($B70="","",AVERAGE('Catalogo de Variaveis'!R75-'Catalogo de Variaveis'!R74,'Catalogo de Variaveis'!R74-'Catalogo de Variaveis'!R73,'Catalogo de Variaveis'!R73-'Catalogo de Variaveis'!R72,'Catalogo de Variaveis'!R72-'Catalogo de Variaveis'!R71)),0)</f>
        <v/>
      </c>
      <c r="D70" s="13" t="str">
        <f t="shared" si="18"/>
        <v/>
      </c>
      <c r="E70" s="10" t="str">
        <f t="shared" si="14"/>
        <v/>
      </c>
      <c r="F70" s="10" t="str">
        <f t="shared" si="15"/>
        <v/>
      </c>
      <c r="G70" s="10" t="str">
        <f t="shared" si="19"/>
        <v/>
      </c>
      <c r="H70" s="10" t="str">
        <f t="shared" si="16"/>
        <v/>
      </c>
      <c r="I70" s="10" t="str">
        <f t="shared" si="20"/>
        <v/>
      </c>
      <c r="J70" s="14" t="str">
        <f t="shared" si="17"/>
        <v/>
      </c>
      <c r="K70" s="13" t="str">
        <f t="shared" si="7"/>
        <v/>
      </c>
      <c r="L70" s="10" t="str">
        <f t="shared" si="8"/>
        <v/>
      </c>
      <c r="M70" s="10" t="str">
        <f t="shared" si="9"/>
        <v/>
      </c>
      <c r="N70" s="10" t="str">
        <f t="shared" si="10"/>
        <v/>
      </c>
      <c r="O70" s="10" t="str">
        <f t="shared" si="11"/>
        <v/>
      </c>
      <c r="P70" s="10" t="str">
        <f t="shared" si="12"/>
        <v/>
      </c>
      <c r="Q70" s="14" t="str">
        <f t="shared" si="13"/>
        <v/>
      </c>
    </row>
    <row r="71" spans="1:17" x14ac:dyDescent="0.25">
      <c r="A71" s="4">
        <v>46692</v>
      </c>
      <c r="B71" s="5" t="str">
        <f>IF('Catalogo de Variaveis'!R76="","",SUM('Catalogo de Variaveis'!R73:R76))</f>
        <v/>
      </c>
      <c r="C71" s="15" t="str">
        <f>IFERROR(IF($B71="","",AVERAGE('Catalogo de Variaveis'!R76-'Catalogo de Variaveis'!R75,'Catalogo de Variaveis'!R75-'Catalogo de Variaveis'!R74,'Catalogo de Variaveis'!R74-'Catalogo de Variaveis'!R73,'Catalogo de Variaveis'!R73-'Catalogo de Variaveis'!R72)),0)</f>
        <v/>
      </c>
      <c r="D71" s="13" t="str">
        <f t="shared" si="18"/>
        <v/>
      </c>
      <c r="E71" s="10" t="str">
        <f t="shared" si="14"/>
        <v/>
      </c>
      <c r="F71" s="10" t="str">
        <f t="shared" si="15"/>
        <v/>
      </c>
      <c r="G71" s="10" t="str">
        <f t="shared" si="19"/>
        <v/>
      </c>
      <c r="H71" s="10" t="str">
        <f t="shared" si="16"/>
        <v/>
      </c>
      <c r="I71" s="10" t="str">
        <f t="shared" si="20"/>
        <v/>
      </c>
      <c r="J71" s="14" t="str">
        <f t="shared" si="17"/>
        <v/>
      </c>
      <c r="K71" s="13" t="str">
        <f t="shared" si="7"/>
        <v/>
      </c>
      <c r="L71" s="10" t="str">
        <f t="shared" si="8"/>
        <v/>
      </c>
      <c r="M71" s="10" t="str">
        <f t="shared" si="9"/>
        <v/>
      </c>
      <c r="N71" s="10" t="str">
        <f t="shared" si="10"/>
        <v/>
      </c>
      <c r="O71" s="10" t="str">
        <f t="shared" si="11"/>
        <v/>
      </c>
      <c r="P71" s="10" t="str">
        <f t="shared" si="12"/>
        <v/>
      </c>
      <c r="Q71" s="14" t="str">
        <f t="shared" si="13"/>
        <v/>
      </c>
    </row>
    <row r="72" spans="1:17" x14ac:dyDescent="0.25">
      <c r="A72" s="4">
        <v>46722</v>
      </c>
      <c r="B72" s="5" t="str">
        <f>IF('Catalogo de Variaveis'!R77="","",SUM('Catalogo de Variaveis'!R74:R77))</f>
        <v/>
      </c>
      <c r="C72" s="15" t="str">
        <f>IFERROR(IF($B72="","",AVERAGE('Catalogo de Variaveis'!R77-'Catalogo de Variaveis'!R76,'Catalogo de Variaveis'!R76-'Catalogo de Variaveis'!R75,'Catalogo de Variaveis'!R75-'Catalogo de Variaveis'!R74,'Catalogo de Variaveis'!R74-'Catalogo de Variaveis'!R73)),0)</f>
        <v/>
      </c>
      <c r="D72" s="13" t="str">
        <f t="shared" si="18"/>
        <v/>
      </c>
      <c r="E72" s="10" t="str">
        <f t="shared" si="14"/>
        <v/>
      </c>
      <c r="F72" s="10" t="str">
        <f t="shared" si="15"/>
        <v/>
      </c>
      <c r="G72" s="10" t="str">
        <f t="shared" si="19"/>
        <v/>
      </c>
      <c r="H72" s="10" t="str">
        <f t="shared" si="16"/>
        <v/>
      </c>
      <c r="I72" s="10" t="str">
        <f t="shared" si="20"/>
        <v/>
      </c>
      <c r="J72" s="14" t="str">
        <f t="shared" si="17"/>
        <v/>
      </c>
      <c r="K72" s="13" t="str">
        <f t="shared" si="7"/>
        <v/>
      </c>
      <c r="L72" s="10" t="str">
        <f t="shared" si="8"/>
        <v/>
      </c>
      <c r="M72" s="10" t="str">
        <f t="shared" si="9"/>
        <v/>
      </c>
      <c r="N72" s="10" t="str">
        <f t="shared" si="10"/>
        <v/>
      </c>
      <c r="O72" s="10" t="str">
        <f t="shared" si="11"/>
        <v/>
      </c>
      <c r="P72" s="10" t="str">
        <f t="shared" si="12"/>
        <v/>
      </c>
      <c r="Q72" s="14" t="str">
        <f t="shared" si="13"/>
        <v/>
      </c>
    </row>
    <row r="73" spans="1:17" x14ac:dyDescent="0.25">
      <c r="A73" s="4">
        <v>46753</v>
      </c>
      <c r="B73" s="5" t="str">
        <f>IF('Catalogo de Variaveis'!R78="","",SUM('Catalogo de Variaveis'!R75:R78))</f>
        <v/>
      </c>
      <c r="C73" s="15" t="str">
        <f>IFERROR(IF($B73="","",AVERAGE('Catalogo de Variaveis'!R78-'Catalogo de Variaveis'!R77,'Catalogo de Variaveis'!R77-'Catalogo de Variaveis'!R76,'Catalogo de Variaveis'!R76-'Catalogo de Variaveis'!R75,'Catalogo de Variaveis'!R75-'Catalogo de Variaveis'!R74)),0)</f>
        <v/>
      </c>
      <c r="D73" s="13" t="str">
        <f t="shared" si="18"/>
        <v/>
      </c>
      <c r="E73" s="10" t="str">
        <f t="shared" si="14"/>
        <v/>
      </c>
      <c r="F73" s="10" t="str">
        <f t="shared" si="15"/>
        <v/>
      </c>
      <c r="G73" s="10" t="str">
        <f t="shared" si="19"/>
        <v/>
      </c>
      <c r="H73" s="10" t="str">
        <f t="shared" si="16"/>
        <v/>
      </c>
      <c r="I73" s="10" t="str">
        <f t="shared" si="20"/>
        <v/>
      </c>
      <c r="J73" s="14" t="str">
        <f t="shared" si="17"/>
        <v/>
      </c>
      <c r="K73" s="13" t="str">
        <f t="shared" ref="K73:K96" si="21">IF($B73="","",$C$1-3*$C$2)</f>
        <v/>
      </c>
      <c r="L73" s="10" t="str">
        <f t="shared" ref="L73:L96" si="22">IF($B73="","",$C$1-2*$C$2)</f>
        <v/>
      </c>
      <c r="M73" s="10" t="str">
        <f t="shared" ref="M73:M96" si="23">IF($B73="","",$C$1-$C$2)</f>
        <v/>
      </c>
      <c r="N73" s="10" t="str">
        <f t="shared" ref="N73:N96" si="24">IF($B73="","",$C$1)</f>
        <v/>
      </c>
      <c r="O73" s="10" t="str">
        <f t="shared" ref="O73:O96" si="25">IF($B73="","",$C$1+1*$C$2)</f>
        <v/>
      </c>
      <c r="P73" s="10" t="str">
        <f t="shared" ref="P73:P96" si="26">IF($B73="","",$C$1+2*$C$2)</f>
        <v/>
      </c>
      <c r="Q73" s="14" t="str">
        <f t="shared" ref="Q73:Q96" si="27">IF($B73="","",$C$1+3*$C$2)</f>
        <v/>
      </c>
    </row>
    <row r="74" spans="1:17" x14ac:dyDescent="0.25">
      <c r="A74" s="4">
        <v>46784</v>
      </c>
      <c r="B74" s="5" t="str">
        <f>IF('Catalogo de Variaveis'!R79="","",SUM('Catalogo de Variaveis'!R76:R79))</f>
        <v/>
      </c>
      <c r="C74" s="15" t="str">
        <f>IFERROR(IF($B74="","",AVERAGE('Catalogo de Variaveis'!R79-'Catalogo de Variaveis'!R78,'Catalogo de Variaveis'!R78-'Catalogo de Variaveis'!R77,'Catalogo de Variaveis'!R77-'Catalogo de Variaveis'!R76,'Catalogo de Variaveis'!R76-'Catalogo de Variaveis'!R75)),0)</f>
        <v/>
      </c>
      <c r="D74" s="13" t="str">
        <f t="shared" si="18"/>
        <v/>
      </c>
      <c r="E74" s="10" t="str">
        <f t="shared" si="14"/>
        <v/>
      </c>
      <c r="F74" s="10" t="str">
        <f t="shared" si="15"/>
        <v/>
      </c>
      <c r="G74" s="10" t="str">
        <f t="shared" si="19"/>
        <v/>
      </c>
      <c r="H74" s="10" t="str">
        <f t="shared" si="16"/>
        <v/>
      </c>
      <c r="I74" s="10" t="str">
        <f t="shared" si="20"/>
        <v/>
      </c>
      <c r="J74" s="14" t="str">
        <f t="shared" si="17"/>
        <v/>
      </c>
      <c r="K74" s="13" t="str">
        <f t="shared" si="21"/>
        <v/>
      </c>
      <c r="L74" s="10" t="str">
        <f t="shared" si="22"/>
        <v/>
      </c>
      <c r="M74" s="10" t="str">
        <f t="shared" si="23"/>
        <v/>
      </c>
      <c r="N74" s="10" t="str">
        <f t="shared" si="24"/>
        <v/>
      </c>
      <c r="O74" s="10" t="str">
        <f t="shared" si="25"/>
        <v/>
      </c>
      <c r="P74" s="10" t="str">
        <f t="shared" si="26"/>
        <v/>
      </c>
      <c r="Q74" s="14" t="str">
        <f t="shared" si="27"/>
        <v/>
      </c>
    </row>
    <row r="75" spans="1:17" x14ac:dyDescent="0.25">
      <c r="A75" s="4">
        <v>46813</v>
      </c>
      <c r="B75" s="5" t="str">
        <f>IF('Catalogo de Variaveis'!R80="","",SUM('Catalogo de Variaveis'!R77:R80))</f>
        <v/>
      </c>
      <c r="C75" s="15" t="str">
        <f>IFERROR(IF($B75="","",AVERAGE('Catalogo de Variaveis'!R80-'Catalogo de Variaveis'!R79,'Catalogo de Variaveis'!R79-'Catalogo de Variaveis'!R78,'Catalogo de Variaveis'!R78-'Catalogo de Variaveis'!R77,'Catalogo de Variaveis'!R77-'Catalogo de Variaveis'!R76)),0)</f>
        <v/>
      </c>
      <c r="D75" s="13" t="str">
        <f t="shared" si="18"/>
        <v/>
      </c>
      <c r="E75" s="10" t="str">
        <f t="shared" si="14"/>
        <v/>
      </c>
      <c r="F75" s="10" t="str">
        <f t="shared" si="15"/>
        <v/>
      </c>
      <c r="G75" s="10" t="str">
        <f t="shared" si="19"/>
        <v/>
      </c>
      <c r="H75" s="10" t="str">
        <f t="shared" si="16"/>
        <v/>
      </c>
      <c r="I75" s="10" t="str">
        <f t="shared" si="20"/>
        <v/>
      </c>
      <c r="J75" s="14" t="str">
        <f t="shared" si="17"/>
        <v/>
      </c>
      <c r="K75" s="13" t="str">
        <f t="shared" si="21"/>
        <v/>
      </c>
      <c r="L75" s="10" t="str">
        <f t="shared" si="22"/>
        <v/>
      </c>
      <c r="M75" s="10" t="str">
        <f t="shared" si="23"/>
        <v/>
      </c>
      <c r="N75" s="10" t="str">
        <f t="shared" si="24"/>
        <v/>
      </c>
      <c r="O75" s="10" t="str">
        <f t="shared" si="25"/>
        <v/>
      </c>
      <c r="P75" s="10" t="str">
        <f t="shared" si="26"/>
        <v/>
      </c>
      <c r="Q75" s="14" t="str">
        <f t="shared" si="27"/>
        <v/>
      </c>
    </row>
    <row r="76" spans="1:17" x14ac:dyDescent="0.25">
      <c r="A76" s="4">
        <v>46844</v>
      </c>
      <c r="B76" s="5" t="str">
        <f>IF('Catalogo de Variaveis'!R81="","",SUM('Catalogo de Variaveis'!R78:R81))</f>
        <v/>
      </c>
      <c r="C76" s="15" t="str">
        <f>IFERROR(IF($B76="","",AVERAGE('Catalogo de Variaveis'!R81-'Catalogo de Variaveis'!R80,'Catalogo de Variaveis'!R80-'Catalogo de Variaveis'!R79,'Catalogo de Variaveis'!R79-'Catalogo de Variaveis'!R78,'Catalogo de Variaveis'!R78-'Catalogo de Variaveis'!R77)),0)</f>
        <v/>
      </c>
      <c r="D76" s="13" t="str">
        <f t="shared" si="18"/>
        <v/>
      </c>
      <c r="E76" s="10" t="str">
        <f t="shared" si="14"/>
        <v/>
      </c>
      <c r="F76" s="10" t="str">
        <f t="shared" si="15"/>
        <v/>
      </c>
      <c r="G76" s="10" t="str">
        <f t="shared" si="19"/>
        <v/>
      </c>
      <c r="H76" s="10" t="str">
        <f t="shared" si="16"/>
        <v/>
      </c>
      <c r="I76" s="10" t="str">
        <f t="shared" si="20"/>
        <v/>
      </c>
      <c r="J76" s="14" t="str">
        <f t="shared" si="17"/>
        <v/>
      </c>
      <c r="K76" s="13" t="str">
        <f t="shared" si="21"/>
        <v/>
      </c>
      <c r="L76" s="10" t="str">
        <f t="shared" si="22"/>
        <v/>
      </c>
      <c r="M76" s="10" t="str">
        <f t="shared" si="23"/>
        <v/>
      </c>
      <c r="N76" s="10" t="str">
        <f t="shared" si="24"/>
        <v/>
      </c>
      <c r="O76" s="10" t="str">
        <f t="shared" si="25"/>
        <v/>
      </c>
      <c r="P76" s="10" t="str">
        <f t="shared" si="26"/>
        <v/>
      </c>
      <c r="Q76" s="14" t="str">
        <f t="shared" si="27"/>
        <v/>
      </c>
    </row>
    <row r="77" spans="1:17" x14ac:dyDescent="0.25">
      <c r="A77" s="4">
        <v>46874</v>
      </c>
      <c r="B77" s="5" t="str">
        <f>IF('Catalogo de Variaveis'!R82="","",SUM('Catalogo de Variaveis'!R79:R82))</f>
        <v/>
      </c>
      <c r="C77" s="15" t="str">
        <f>IFERROR(IF($B77="","",AVERAGE('Catalogo de Variaveis'!R82-'Catalogo de Variaveis'!R81,'Catalogo de Variaveis'!R81-'Catalogo de Variaveis'!R80,'Catalogo de Variaveis'!R80-'Catalogo de Variaveis'!R79,'Catalogo de Variaveis'!R79-'Catalogo de Variaveis'!R78)),0)</f>
        <v/>
      </c>
      <c r="D77" s="13" t="str">
        <f t="shared" si="18"/>
        <v/>
      </c>
      <c r="E77" s="10" t="str">
        <f t="shared" si="14"/>
        <v/>
      </c>
      <c r="F77" s="10" t="str">
        <f t="shared" si="15"/>
        <v/>
      </c>
      <c r="G77" s="10" t="str">
        <f t="shared" si="19"/>
        <v/>
      </c>
      <c r="H77" s="10" t="str">
        <f t="shared" si="16"/>
        <v/>
      </c>
      <c r="I77" s="10" t="str">
        <f t="shared" si="20"/>
        <v/>
      </c>
      <c r="J77" s="14" t="str">
        <f t="shared" si="17"/>
        <v/>
      </c>
      <c r="K77" s="13" t="str">
        <f t="shared" si="21"/>
        <v/>
      </c>
      <c r="L77" s="10" t="str">
        <f t="shared" si="22"/>
        <v/>
      </c>
      <c r="M77" s="10" t="str">
        <f t="shared" si="23"/>
        <v/>
      </c>
      <c r="N77" s="10" t="str">
        <f t="shared" si="24"/>
        <v/>
      </c>
      <c r="O77" s="10" t="str">
        <f t="shared" si="25"/>
        <v/>
      </c>
      <c r="P77" s="10" t="str">
        <f t="shared" si="26"/>
        <v/>
      </c>
      <c r="Q77" s="14" t="str">
        <f t="shared" si="27"/>
        <v/>
      </c>
    </row>
    <row r="78" spans="1:17" x14ac:dyDescent="0.25">
      <c r="A78" s="4">
        <v>46905</v>
      </c>
      <c r="B78" s="5" t="str">
        <f>IF('Catalogo de Variaveis'!R83="","",SUM('Catalogo de Variaveis'!R80:R83))</f>
        <v/>
      </c>
      <c r="C78" s="15" t="str">
        <f>IFERROR(IF($B78="","",AVERAGE('Catalogo de Variaveis'!R83-'Catalogo de Variaveis'!R82,'Catalogo de Variaveis'!R82-'Catalogo de Variaveis'!R81,'Catalogo de Variaveis'!R81-'Catalogo de Variaveis'!R80,'Catalogo de Variaveis'!R80-'Catalogo de Variaveis'!R79)),0)</f>
        <v/>
      </c>
      <c r="D78" s="13" t="str">
        <f t="shared" si="18"/>
        <v/>
      </c>
      <c r="E78" s="10" t="str">
        <f t="shared" si="14"/>
        <v/>
      </c>
      <c r="F78" s="10" t="str">
        <f t="shared" si="15"/>
        <v/>
      </c>
      <c r="G78" s="10" t="str">
        <f t="shared" si="19"/>
        <v/>
      </c>
      <c r="H78" s="10" t="str">
        <f t="shared" si="16"/>
        <v/>
      </c>
      <c r="I78" s="10" t="str">
        <f t="shared" si="20"/>
        <v/>
      </c>
      <c r="J78" s="14" t="str">
        <f t="shared" si="17"/>
        <v/>
      </c>
      <c r="K78" s="13" t="str">
        <f t="shared" si="21"/>
        <v/>
      </c>
      <c r="L78" s="10" t="str">
        <f t="shared" si="22"/>
        <v/>
      </c>
      <c r="M78" s="10" t="str">
        <f t="shared" si="23"/>
        <v/>
      </c>
      <c r="N78" s="10" t="str">
        <f t="shared" si="24"/>
        <v/>
      </c>
      <c r="O78" s="10" t="str">
        <f t="shared" si="25"/>
        <v/>
      </c>
      <c r="P78" s="10" t="str">
        <f t="shared" si="26"/>
        <v/>
      </c>
      <c r="Q78" s="14" t="str">
        <f t="shared" si="27"/>
        <v/>
      </c>
    </row>
    <row r="79" spans="1:17" x14ac:dyDescent="0.25">
      <c r="A79" s="4">
        <v>46935</v>
      </c>
      <c r="B79" s="5" t="str">
        <f>IF('Catalogo de Variaveis'!R84="","",SUM('Catalogo de Variaveis'!R81:R84))</f>
        <v/>
      </c>
      <c r="C79" s="15" t="str">
        <f>IFERROR(IF($B79="","",AVERAGE('Catalogo de Variaveis'!R84-'Catalogo de Variaveis'!R83,'Catalogo de Variaveis'!R83-'Catalogo de Variaveis'!R82,'Catalogo de Variaveis'!R82-'Catalogo de Variaveis'!R81,'Catalogo de Variaveis'!R81-'Catalogo de Variaveis'!R80)),0)</f>
        <v/>
      </c>
      <c r="D79" s="13" t="str">
        <f t="shared" si="18"/>
        <v/>
      </c>
      <c r="E79" s="10" t="str">
        <f t="shared" si="14"/>
        <v/>
      </c>
      <c r="F79" s="10" t="str">
        <f t="shared" si="15"/>
        <v/>
      </c>
      <c r="G79" s="10" t="str">
        <f t="shared" si="19"/>
        <v/>
      </c>
      <c r="H79" s="10" t="str">
        <f t="shared" si="16"/>
        <v/>
      </c>
      <c r="I79" s="10" t="str">
        <f t="shared" si="20"/>
        <v/>
      </c>
      <c r="J79" s="14" t="str">
        <f t="shared" si="17"/>
        <v/>
      </c>
      <c r="K79" s="13" t="str">
        <f t="shared" si="21"/>
        <v/>
      </c>
      <c r="L79" s="10" t="str">
        <f t="shared" si="22"/>
        <v/>
      </c>
      <c r="M79" s="10" t="str">
        <f t="shared" si="23"/>
        <v/>
      </c>
      <c r="N79" s="10" t="str">
        <f t="shared" si="24"/>
        <v/>
      </c>
      <c r="O79" s="10" t="str">
        <f t="shared" si="25"/>
        <v/>
      </c>
      <c r="P79" s="10" t="str">
        <f t="shared" si="26"/>
        <v/>
      </c>
      <c r="Q79" s="14" t="str">
        <f t="shared" si="27"/>
        <v/>
      </c>
    </row>
    <row r="80" spans="1:17" x14ac:dyDescent="0.25">
      <c r="A80" s="4">
        <v>46966</v>
      </c>
      <c r="B80" s="5" t="str">
        <f>IF('Catalogo de Variaveis'!R85="","",SUM('Catalogo de Variaveis'!R82:R85))</f>
        <v/>
      </c>
      <c r="C80" s="15" t="str">
        <f>IFERROR(IF($B80="","",AVERAGE('Catalogo de Variaveis'!R85-'Catalogo de Variaveis'!R84,'Catalogo de Variaveis'!R84-'Catalogo de Variaveis'!R83,'Catalogo de Variaveis'!R83-'Catalogo de Variaveis'!R82,'Catalogo de Variaveis'!R82-'Catalogo de Variaveis'!R81)),0)</f>
        <v/>
      </c>
      <c r="D80" s="13" t="str">
        <f t="shared" si="18"/>
        <v/>
      </c>
      <c r="E80" s="10" t="str">
        <f t="shared" si="14"/>
        <v/>
      </c>
      <c r="F80" s="10" t="str">
        <f t="shared" si="15"/>
        <v/>
      </c>
      <c r="G80" s="10" t="str">
        <f t="shared" si="19"/>
        <v/>
      </c>
      <c r="H80" s="10" t="str">
        <f t="shared" si="16"/>
        <v/>
      </c>
      <c r="I80" s="10" t="str">
        <f t="shared" si="20"/>
        <v/>
      </c>
      <c r="J80" s="14" t="str">
        <f t="shared" si="17"/>
        <v/>
      </c>
      <c r="K80" s="13" t="str">
        <f t="shared" si="21"/>
        <v/>
      </c>
      <c r="L80" s="10" t="str">
        <f t="shared" si="22"/>
        <v/>
      </c>
      <c r="M80" s="10" t="str">
        <f t="shared" si="23"/>
        <v/>
      </c>
      <c r="N80" s="10" t="str">
        <f t="shared" si="24"/>
        <v/>
      </c>
      <c r="O80" s="10" t="str">
        <f t="shared" si="25"/>
        <v/>
      </c>
      <c r="P80" s="10" t="str">
        <f t="shared" si="26"/>
        <v/>
      </c>
      <c r="Q80" s="14" t="str">
        <f t="shared" si="27"/>
        <v/>
      </c>
    </row>
    <row r="81" spans="1:17" x14ac:dyDescent="0.25">
      <c r="A81" s="4">
        <v>46997</v>
      </c>
      <c r="B81" s="5" t="str">
        <f>IF('Catalogo de Variaveis'!R86="","",SUM('Catalogo de Variaveis'!R83:R86))</f>
        <v/>
      </c>
      <c r="C81" s="15" t="str">
        <f>IFERROR(IF($B81="","",AVERAGE('Catalogo de Variaveis'!R86-'Catalogo de Variaveis'!R85,'Catalogo de Variaveis'!R85-'Catalogo de Variaveis'!R84,'Catalogo de Variaveis'!R84-'Catalogo de Variaveis'!R83,'Catalogo de Variaveis'!R83-'Catalogo de Variaveis'!R82)),0)</f>
        <v/>
      </c>
      <c r="D81" s="13" t="str">
        <f t="shared" si="18"/>
        <v/>
      </c>
      <c r="E81" s="10" t="str">
        <f t="shared" si="14"/>
        <v/>
      </c>
      <c r="F81" s="10" t="str">
        <f t="shared" si="15"/>
        <v/>
      </c>
      <c r="G81" s="10" t="str">
        <f t="shared" si="19"/>
        <v/>
      </c>
      <c r="H81" s="10" t="str">
        <f t="shared" si="16"/>
        <v/>
      </c>
      <c r="I81" s="10" t="str">
        <f t="shared" si="20"/>
        <v/>
      </c>
      <c r="J81" s="14" t="str">
        <f t="shared" si="17"/>
        <v/>
      </c>
      <c r="K81" s="13" t="str">
        <f t="shared" si="21"/>
        <v/>
      </c>
      <c r="L81" s="10" t="str">
        <f t="shared" si="22"/>
        <v/>
      </c>
      <c r="M81" s="10" t="str">
        <f t="shared" si="23"/>
        <v/>
      </c>
      <c r="N81" s="10" t="str">
        <f t="shared" si="24"/>
        <v/>
      </c>
      <c r="O81" s="10" t="str">
        <f t="shared" si="25"/>
        <v/>
      </c>
      <c r="P81" s="10" t="str">
        <f t="shared" si="26"/>
        <v/>
      </c>
      <c r="Q81" s="14" t="str">
        <f t="shared" si="27"/>
        <v/>
      </c>
    </row>
    <row r="82" spans="1:17" x14ac:dyDescent="0.25">
      <c r="A82" s="4">
        <v>47027</v>
      </c>
      <c r="B82" s="5" t="str">
        <f>IF('Catalogo de Variaveis'!R87="","",SUM('Catalogo de Variaveis'!R84:R87))</f>
        <v/>
      </c>
      <c r="C82" s="15" t="str">
        <f>IFERROR(IF($B82="","",AVERAGE('Catalogo de Variaveis'!R87-'Catalogo de Variaveis'!R86,'Catalogo de Variaveis'!R86-'Catalogo de Variaveis'!R85,'Catalogo de Variaveis'!R85-'Catalogo de Variaveis'!R84,'Catalogo de Variaveis'!R84-'Catalogo de Variaveis'!R83)),0)</f>
        <v/>
      </c>
      <c r="D82" s="13" t="str">
        <f t="shared" si="18"/>
        <v/>
      </c>
      <c r="E82" s="10" t="str">
        <f t="shared" si="14"/>
        <v/>
      </c>
      <c r="F82" s="10" t="str">
        <f t="shared" si="15"/>
        <v/>
      </c>
      <c r="G82" s="10" t="str">
        <f t="shared" si="19"/>
        <v/>
      </c>
      <c r="H82" s="10" t="str">
        <f t="shared" si="16"/>
        <v/>
      </c>
      <c r="I82" s="10" t="str">
        <f t="shared" si="20"/>
        <v/>
      </c>
      <c r="J82" s="14" t="str">
        <f t="shared" si="17"/>
        <v/>
      </c>
      <c r="K82" s="13" t="str">
        <f t="shared" si="21"/>
        <v/>
      </c>
      <c r="L82" s="10" t="str">
        <f t="shared" si="22"/>
        <v/>
      </c>
      <c r="M82" s="10" t="str">
        <f t="shared" si="23"/>
        <v/>
      </c>
      <c r="N82" s="10" t="str">
        <f t="shared" si="24"/>
        <v/>
      </c>
      <c r="O82" s="10" t="str">
        <f t="shared" si="25"/>
        <v/>
      </c>
      <c r="P82" s="10" t="str">
        <f t="shared" si="26"/>
        <v/>
      </c>
      <c r="Q82" s="14" t="str">
        <f t="shared" si="27"/>
        <v/>
      </c>
    </row>
    <row r="83" spans="1:17" x14ac:dyDescent="0.25">
      <c r="A83" s="4">
        <v>47058</v>
      </c>
      <c r="B83" s="5" t="str">
        <f>IF('Catalogo de Variaveis'!R88="","",SUM('Catalogo de Variaveis'!R85:R88))</f>
        <v/>
      </c>
      <c r="C83" s="15" t="str">
        <f>IFERROR(IF($B83="","",AVERAGE('Catalogo de Variaveis'!R88-'Catalogo de Variaveis'!R87,'Catalogo de Variaveis'!R87-'Catalogo de Variaveis'!R86,'Catalogo de Variaveis'!R86-'Catalogo de Variaveis'!R85,'Catalogo de Variaveis'!R85-'Catalogo de Variaveis'!R84)),0)</f>
        <v/>
      </c>
      <c r="D83" s="13" t="str">
        <f t="shared" si="18"/>
        <v/>
      </c>
      <c r="E83" s="10" t="str">
        <f t="shared" si="14"/>
        <v/>
      </c>
      <c r="F83" s="10" t="str">
        <f t="shared" si="15"/>
        <v/>
      </c>
      <c r="G83" s="10" t="str">
        <f t="shared" si="19"/>
        <v/>
      </c>
      <c r="H83" s="10" t="str">
        <f t="shared" si="16"/>
        <v/>
      </c>
      <c r="I83" s="10" t="str">
        <f t="shared" si="20"/>
        <v/>
      </c>
      <c r="J83" s="14" t="str">
        <f t="shared" si="17"/>
        <v/>
      </c>
      <c r="K83" s="13" t="str">
        <f t="shared" si="21"/>
        <v/>
      </c>
      <c r="L83" s="10" t="str">
        <f t="shared" si="22"/>
        <v/>
      </c>
      <c r="M83" s="10" t="str">
        <f t="shared" si="23"/>
        <v/>
      </c>
      <c r="N83" s="10" t="str">
        <f t="shared" si="24"/>
        <v/>
      </c>
      <c r="O83" s="10" t="str">
        <f t="shared" si="25"/>
        <v/>
      </c>
      <c r="P83" s="10" t="str">
        <f t="shared" si="26"/>
        <v/>
      </c>
      <c r="Q83" s="14" t="str">
        <f t="shared" si="27"/>
        <v/>
      </c>
    </row>
    <row r="84" spans="1:17" x14ac:dyDescent="0.25">
      <c r="A84" s="4">
        <v>47088</v>
      </c>
      <c r="B84" s="5" t="str">
        <f>IF('Catalogo de Variaveis'!R89="","",SUM('Catalogo de Variaveis'!R86:R89))</f>
        <v/>
      </c>
      <c r="C84" s="15" t="str">
        <f>IFERROR(IF($B84="","",AVERAGE('Catalogo de Variaveis'!R89-'Catalogo de Variaveis'!R88,'Catalogo de Variaveis'!R88-'Catalogo de Variaveis'!R87,'Catalogo de Variaveis'!R87-'Catalogo de Variaveis'!R86,'Catalogo de Variaveis'!R86-'Catalogo de Variaveis'!R85)),0)</f>
        <v/>
      </c>
      <c r="D84" s="13" t="str">
        <f t="shared" si="18"/>
        <v/>
      </c>
      <c r="E84" s="10" t="str">
        <f t="shared" si="14"/>
        <v/>
      </c>
      <c r="F84" s="10" t="str">
        <f t="shared" si="15"/>
        <v/>
      </c>
      <c r="G84" s="10" t="str">
        <f t="shared" si="19"/>
        <v/>
      </c>
      <c r="H84" s="10" t="str">
        <f t="shared" si="16"/>
        <v/>
      </c>
      <c r="I84" s="10" t="str">
        <f t="shared" si="20"/>
        <v/>
      </c>
      <c r="J84" s="14" t="str">
        <f t="shared" si="17"/>
        <v/>
      </c>
      <c r="K84" s="13" t="str">
        <f t="shared" si="21"/>
        <v/>
      </c>
      <c r="L84" s="10" t="str">
        <f t="shared" si="22"/>
        <v/>
      </c>
      <c r="M84" s="10" t="str">
        <f t="shared" si="23"/>
        <v/>
      </c>
      <c r="N84" s="10" t="str">
        <f t="shared" si="24"/>
        <v/>
      </c>
      <c r="O84" s="10" t="str">
        <f t="shared" si="25"/>
        <v/>
      </c>
      <c r="P84" s="10" t="str">
        <f t="shared" si="26"/>
        <v/>
      </c>
      <c r="Q84" s="14" t="str">
        <f t="shared" si="27"/>
        <v/>
      </c>
    </row>
    <row r="85" spans="1:17" x14ac:dyDescent="0.25">
      <c r="A85" s="4">
        <v>47119</v>
      </c>
      <c r="B85" s="5" t="str">
        <f>IF('Catalogo de Variaveis'!R90="","",SUM('Catalogo de Variaveis'!R87:R90))</f>
        <v/>
      </c>
      <c r="C85" s="15" t="str">
        <f>IFERROR(IF($B85="","",AVERAGE('Catalogo de Variaveis'!R90-'Catalogo de Variaveis'!R89,'Catalogo de Variaveis'!R89-'Catalogo de Variaveis'!R88,'Catalogo de Variaveis'!R88-'Catalogo de Variaveis'!R87,'Catalogo de Variaveis'!R87-'Catalogo de Variaveis'!R86)),0)</f>
        <v/>
      </c>
      <c r="D85" s="13" t="str">
        <f t="shared" si="18"/>
        <v/>
      </c>
      <c r="E85" s="10" t="str">
        <f t="shared" si="14"/>
        <v/>
      </c>
      <c r="F85" s="10" t="str">
        <f t="shared" si="15"/>
        <v/>
      </c>
      <c r="G85" s="10" t="str">
        <f t="shared" si="19"/>
        <v/>
      </c>
      <c r="H85" s="10" t="str">
        <f t="shared" si="16"/>
        <v/>
      </c>
      <c r="I85" s="10" t="str">
        <f t="shared" si="20"/>
        <v/>
      </c>
      <c r="J85" s="14" t="str">
        <f t="shared" si="17"/>
        <v/>
      </c>
      <c r="K85" s="13" t="str">
        <f t="shared" si="21"/>
        <v/>
      </c>
      <c r="L85" s="10" t="str">
        <f t="shared" si="22"/>
        <v/>
      </c>
      <c r="M85" s="10" t="str">
        <f t="shared" si="23"/>
        <v/>
      </c>
      <c r="N85" s="10" t="str">
        <f t="shared" si="24"/>
        <v/>
      </c>
      <c r="O85" s="10" t="str">
        <f t="shared" si="25"/>
        <v/>
      </c>
      <c r="P85" s="10" t="str">
        <f t="shared" si="26"/>
        <v/>
      </c>
      <c r="Q85" s="14" t="str">
        <f t="shared" si="27"/>
        <v/>
      </c>
    </row>
    <row r="86" spans="1:17" x14ac:dyDescent="0.25">
      <c r="A86" s="4">
        <v>47150</v>
      </c>
      <c r="B86" s="5" t="str">
        <f>IF('Catalogo de Variaveis'!R91="","",SUM('Catalogo de Variaveis'!R88:R91))</f>
        <v/>
      </c>
      <c r="C86" s="15" t="str">
        <f>IFERROR(IF($B86="","",AVERAGE('Catalogo de Variaveis'!R91-'Catalogo de Variaveis'!R90,'Catalogo de Variaveis'!R90-'Catalogo de Variaveis'!R89,'Catalogo de Variaveis'!R89-'Catalogo de Variaveis'!R88,'Catalogo de Variaveis'!R88-'Catalogo de Variaveis'!R87)),0)</f>
        <v/>
      </c>
      <c r="D86" s="13" t="str">
        <f t="shared" si="18"/>
        <v/>
      </c>
      <c r="E86" s="10" t="str">
        <f t="shared" si="14"/>
        <v/>
      </c>
      <c r="F86" s="10" t="str">
        <f t="shared" si="15"/>
        <v/>
      </c>
      <c r="G86" s="10" t="str">
        <f t="shared" si="19"/>
        <v/>
      </c>
      <c r="H86" s="10" t="str">
        <f t="shared" si="16"/>
        <v/>
      </c>
      <c r="I86" s="10" t="str">
        <f t="shared" si="20"/>
        <v/>
      </c>
      <c r="J86" s="14" t="str">
        <f t="shared" si="17"/>
        <v/>
      </c>
      <c r="K86" s="13" t="str">
        <f t="shared" si="21"/>
        <v/>
      </c>
      <c r="L86" s="10" t="str">
        <f t="shared" si="22"/>
        <v/>
      </c>
      <c r="M86" s="10" t="str">
        <f t="shared" si="23"/>
        <v/>
      </c>
      <c r="N86" s="10" t="str">
        <f t="shared" si="24"/>
        <v/>
      </c>
      <c r="O86" s="10" t="str">
        <f t="shared" si="25"/>
        <v/>
      </c>
      <c r="P86" s="10" t="str">
        <f t="shared" si="26"/>
        <v/>
      </c>
      <c r="Q86" s="14" t="str">
        <f t="shared" si="27"/>
        <v/>
      </c>
    </row>
    <row r="87" spans="1:17" x14ac:dyDescent="0.25">
      <c r="A87" s="4">
        <v>47178</v>
      </c>
      <c r="B87" s="5" t="str">
        <f>IF('Catalogo de Variaveis'!R92="","",SUM('Catalogo de Variaveis'!R89:R92))</f>
        <v/>
      </c>
      <c r="C87" s="15" t="str">
        <f>IFERROR(IF($B87="","",AVERAGE('Catalogo de Variaveis'!R92-'Catalogo de Variaveis'!R91,'Catalogo de Variaveis'!R91-'Catalogo de Variaveis'!R90,'Catalogo de Variaveis'!R90-'Catalogo de Variaveis'!R89,'Catalogo de Variaveis'!R89-'Catalogo de Variaveis'!R88)),0)</f>
        <v/>
      </c>
      <c r="D87" s="13" t="str">
        <f t="shared" si="18"/>
        <v/>
      </c>
      <c r="E87" s="10" t="str">
        <f t="shared" si="14"/>
        <v/>
      </c>
      <c r="F87" s="10" t="str">
        <f t="shared" si="15"/>
        <v/>
      </c>
      <c r="G87" s="10" t="str">
        <f t="shared" si="19"/>
        <v/>
      </c>
      <c r="H87" s="10" t="str">
        <f t="shared" si="16"/>
        <v/>
      </c>
      <c r="I87" s="10" t="str">
        <f t="shared" si="20"/>
        <v/>
      </c>
      <c r="J87" s="14" t="str">
        <f t="shared" si="17"/>
        <v/>
      </c>
      <c r="K87" s="13" t="str">
        <f t="shared" si="21"/>
        <v/>
      </c>
      <c r="L87" s="10" t="str">
        <f t="shared" si="22"/>
        <v/>
      </c>
      <c r="M87" s="10" t="str">
        <f t="shared" si="23"/>
        <v/>
      </c>
      <c r="N87" s="10" t="str">
        <f t="shared" si="24"/>
        <v/>
      </c>
      <c r="O87" s="10" t="str">
        <f t="shared" si="25"/>
        <v/>
      </c>
      <c r="P87" s="10" t="str">
        <f t="shared" si="26"/>
        <v/>
      </c>
      <c r="Q87" s="14" t="str">
        <f t="shared" si="27"/>
        <v/>
      </c>
    </row>
    <row r="88" spans="1:17" x14ac:dyDescent="0.25">
      <c r="A88" s="4">
        <v>47209</v>
      </c>
      <c r="B88" s="5" t="str">
        <f>IF('Catalogo de Variaveis'!R93="","",SUM('Catalogo de Variaveis'!R90:R93))</f>
        <v/>
      </c>
      <c r="C88" s="15" t="str">
        <f>IFERROR(IF($B88="","",AVERAGE('Catalogo de Variaveis'!R93-'Catalogo de Variaveis'!R92,'Catalogo de Variaveis'!R92-'Catalogo de Variaveis'!R91,'Catalogo de Variaveis'!R91-'Catalogo de Variaveis'!R90,'Catalogo de Variaveis'!R90-'Catalogo de Variaveis'!R89)),0)</f>
        <v/>
      </c>
      <c r="D88" s="13" t="str">
        <f t="shared" si="18"/>
        <v/>
      </c>
      <c r="E88" s="10" t="str">
        <f t="shared" si="14"/>
        <v/>
      </c>
      <c r="F88" s="10" t="str">
        <f t="shared" si="15"/>
        <v/>
      </c>
      <c r="G88" s="10" t="str">
        <f t="shared" si="19"/>
        <v/>
      </c>
      <c r="H88" s="10" t="str">
        <f t="shared" si="16"/>
        <v/>
      </c>
      <c r="I88" s="10" t="str">
        <f t="shared" si="20"/>
        <v/>
      </c>
      <c r="J88" s="14" t="str">
        <f t="shared" si="17"/>
        <v/>
      </c>
      <c r="K88" s="13" t="str">
        <f t="shared" si="21"/>
        <v/>
      </c>
      <c r="L88" s="10" t="str">
        <f t="shared" si="22"/>
        <v/>
      </c>
      <c r="M88" s="10" t="str">
        <f t="shared" si="23"/>
        <v/>
      </c>
      <c r="N88" s="10" t="str">
        <f t="shared" si="24"/>
        <v/>
      </c>
      <c r="O88" s="10" t="str">
        <f t="shared" si="25"/>
        <v/>
      </c>
      <c r="P88" s="10" t="str">
        <f t="shared" si="26"/>
        <v/>
      </c>
      <c r="Q88" s="14" t="str">
        <f t="shared" si="27"/>
        <v/>
      </c>
    </row>
    <row r="89" spans="1:17" x14ac:dyDescent="0.25">
      <c r="A89" s="4">
        <v>47239</v>
      </c>
      <c r="B89" s="5" t="str">
        <f>IF('Catalogo de Variaveis'!R94="","",SUM('Catalogo de Variaveis'!R91:R94))</f>
        <v/>
      </c>
      <c r="C89" s="15" t="str">
        <f>IFERROR(IF($B89="","",AVERAGE('Catalogo de Variaveis'!R94-'Catalogo de Variaveis'!R93,'Catalogo de Variaveis'!R93-'Catalogo de Variaveis'!R92,'Catalogo de Variaveis'!R92-'Catalogo de Variaveis'!R91,'Catalogo de Variaveis'!R91-'Catalogo de Variaveis'!R90)),0)</f>
        <v/>
      </c>
      <c r="D89" s="13" t="str">
        <f t="shared" si="18"/>
        <v/>
      </c>
      <c r="E89" s="10" t="str">
        <f t="shared" si="14"/>
        <v/>
      </c>
      <c r="F89" s="10" t="str">
        <f t="shared" si="15"/>
        <v/>
      </c>
      <c r="G89" s="10" t="str">
        <f t="shared" si="19"/>
        <v/>
      </c>
      <c r="H89" s="10" t="str">
        <f t="shared" si="16"/>
        <v/>
      </c>
      <c r="I89" s="10" t="str">
        <f t="shared" si="20"/>
        <v/>
      </c>
      <c r="J89" s="14" t="str">
        <f t="shared" si="17"/>
        <v/>
      </c>
      <c r="K89" s="13" t="str">
        <f t="shared" si="21"/>
        <v/>
      </c>
      <c r="L89" s="10" t="str">
        <f t="shared" si="22"/>
        <v/>
      </c>
      <c r="M89" s="10" t="str">
        <f t="shared" si="23"/>
        <v/>
      </c>
      <c r="N89" s="10" t="str">
        <f t="shared" si="24"/>
        <v/>
      </c>
      <c r="O89" s="10" t="str">
        <f t="shared" si="25"/>
        <v/>
      </c>
      <c r="P89" s="10" t="str">
        <f t="shared" si="26"/>
        <v/>
      </c>
      <c r="Q89" s="14" t="str">
        <f t="shared" si="27"/>
        <v/>
      </c>
    </row>
    <row r="90" spans="1:17" x14ac:dyDescent="0.25">
      <c r="A90" s="4">
        <v>47270</v>
      </c>
      <c r="B90" s="5" t="str">
        <f>IF('Catalogo de Variaveis'!R95="","",SUM('Catalogo de Variaveis'!R92:R95))</f>
        <v/>
      </c>
      <c r="C90" s="15" t="str">
        <f>IFERROR(IF($B90="","",AVERAGE('Catalogo de Variaveis'!R95-'Catalogo de Variaveis'!R94,'Catalogo de Variaveis'!R94-'Catalogo de Variaveis'!R93,'Catalogo de Variaveis'!R93-'Catalogo de Variaveis'!R92,'Catalogo de Variaveis'!R92-'Catalogo de Variaveis'!R91)),0)</f>
        <v/>
      </c>
      <c r="D90" s="13" t="str">
        <f t="shared" si="18"/>
        <v/>
      </c>
      <c r="E90" s="10" t="str">
        <f t="shared" si="14"/>
        <v/>
      </c>
      <c r="F90" s="10" t="str">
        <f t="shared" si="15"/>
        <v/>
      </c>
      <c r="G90" s="10" t="str">
        <f t="shared" si="19"/>
        <v/>
      </c>
      <c r="H90" s="10" t="str">
        <f t="shared" si="16"/>
        <v/>
      </c>
      <c r="I90" s="10" t="str">
        <f t="shared" si="20"/>
        <v/>
      </c>
      <c r="J90" s="14" t="str">
        <f t="shared" si="17"/>
        <v/>
      </c>
      <c r="K90" s="13" t="str">
        <f t="shared" si="21"/>
        <v/>
      </c>
      <c r="L90" s="10" t="str">
        <f t="shared" si="22"/>
        <v/>
      </c>
      <c r="M90" s="10" t="str">
        <f t="shared" si="23"/>
        <v/>
      </c>
      <c r="N90" s="10" t="str">
        <f t="shared" si="24"/>
        <v/>
      </c>
      <c r="O90" s="10" t="str">
        <f t="shared" si="25"/>
        <v/>
      </c>
      <c r="P90" s="10" t="str">
        <f t="shared" si="26"/>
        <v/>
      </c>
      <c r="Q90" s="14" t="str">
        <f t="shared" si="27"/>
        <v/>
      </c>
    </row>
    <row r="91" spans="1:17" x14ac:dyDescent="0.25">
      <c r="A91" s="4">
        <v>47300</v>
      </c>
      <c r="B91" s="5" t="str">
        <f>IF('Catalogo de Variaveis'!R96="","",SUM('Catalogo de Variaveis'!R93:R96))</f>
        <v/>
      </c>
      <c r="C91" s="15" t="str">
        <f>IFERROR(IF($B91="","",AVERAGE('Catalogo de Variaveis'!R96-'Catalogo de Variaveis'!R95,'Catalogo de Variaveis'!R95-'Catalogo de Variaveis'!R94,'Catalogo de Variaveis'!R94-'Catalogo de Variaveis'!R93,'Catalogo de Variaveis'!R93-'Catalogo de Variaveis'!R92)),0)</f>
        <v/>
      </c>
      <c r="D91" s="13" t="str">
        <f t="shared" si="18"/>
        <v/>
      </c>
      <c r="E91" s="10" t="str">
        <f t="shared" si="14"/>
        <v/>
      </c>
      <c r="F91" s="10" t="str">
        <f t="shared" si="15"/>
        <v/>
      </c>
      <c r="G91" s="10" t="str">
        <f t="shared" si="19"/>
        <v/>
      </c>
      <c r="H91" s="10" t="str">
        <f t="shared" si="16"/>
        <v/>
      </c>
      <c r="I91" s="10" t="str">
        <f t="shared" si="20"/>
        <v/>
      </c>
      <c r="J91" s="14" t="str">
        <f t="shared" si="17"/>
        <v/>
      </c>
      <c r="K91" s="13" t="str">
        <f t="shared" si="21"/>
        <v/>
      </c>
      <c r="L91" s="10" t="str">
        <f t="shared" si="22"/>
        <v/>
      </c>
      <c r="M91" s="10" t="str">
        <f t="shared" si="23"/>
        <v/>
      </c>
      <c r="N91" s="10" t="str">
        <f t="shared" si="24"/>
        <v/>
      </c>
      <c r="O91" s="10" t="str">
        <f t="shared" si="25"/>
        <v/>
      </c>
      <c r="P91" s="10" t="str">
        <f t="shared" si="26"/>
        <v/>
      </c>
      <c r="Q91" s="14" t="str">
        <f t="shared" si="27"/>
        <v/>
      </c>
    </row>
    <row r="92" spans="1:17" x14ac:dyDescent="0.25">
      <c r="A92" s="4">
        <v>47331</v>
      </c>
      <c r="B92" s="5" t="str">
        <f>IF('Catalogo de Variaveis'!R97="","",SUM('Catalogo de Variaveis'!R94:R97))</f>
        <v/>
      </c>
      <c r="C92" s="15" t="str">
        <f>IFERROR(IF($B92="","",AVERAGE('Catalogo de Variaveis'!R97-'Catalogo de Variaveis'!R96,'Catalogo de Variaveis'!R96-'Catalogo de Variaveis'!R95,'Catalogo de Variaveis'!R95-'Catalogo de Variaveis'!R94,'Catalogo de Variaveis'!R94-'Catalogo de Variaveis'!R93)),0)</f>
        <v/>
      </c>
      <c r="D92" s="13" t="str">
        <f t="shared" si="18"/>
        <v/>
      </c>
      <c r="E92" s="10" t="str">
        <f t="shared" si="14"/>
        <v/>
      </c>
      <c r="F92" s="10" t="str">
        <f t="shared" si="15"/>
        <v/>
      </c>
      <c r="G92" s="10" t="str">
        <f t="shared" si="19"/>
        <v/>
      </c>
      <c r="H92" s="10" t="str">
        <f t="shared" si="16"/>
        <v/>
      </c>
      <c r="I92" s="10" t="str">
        <f t="shared" si="20"/>
        <v/>
      </c>
      <c r="J92" s="14" t="str">
        <f t="shared" si="17"/>
        <v/>
      </c>
      <c r="K92" s="13" t="str">
        <f t="shared" si="21"/>
        <v/>
      </c>
      <c r="L92" s="10" t="str">
        <f t="shared" si="22"/>
        <v/>
      </c>
      <c r="M92" s="10" t="str">
        <f t="shared" si="23"/>
        <v/>
      </c>
      <c r="N92" s="10" t="str">
        <f t="shared" si="24"/>
        <v/>
      </c>
      <c r="O92" s="10" t="str">
        <f t="shared" si="25"/>
        <v/>
      </c>
      <c r="P92" s="10" t="str">
        <f t="shared" si="26"/>
        <v/>
      </c>
      <c r="Q92" s="14" t="str">
        <f t="shared" si="27"/>
        <v/>
      </c>
    </row>
    <row r="93" spans="1:17" x14ac:dyDescent="0.25">
      <c r="A93" s="4">
        <v>47362</v>
      </c>
      <c r="B93" s="5" t="str">
        <f>IF('Catalogo de Variaveis'!R98="","",SUM('Catalogo de Variaveis'!R95:R98))</f>
        <v/>
      </c>
      <c r="C93" s="15" t="str">
        <f>IFERROR(IF($B93="","",AVERAGE('Catalogo de Variaveis'!R98-'Catalogo de Variaveis'!R97,'Catalogo de Variaveis'!R97-'Catalogo de Variaveis'!R96,'Catalogo de Variaveis'!R96-'Catalogo de Variaveis'!R95,'Catalogo de Variaveis'!R95-'Catalogo de Variaveis'!R94)),0)</f>
        <v/>
      </c>
      <c r="D93" s="13" t="str">
        <f t="shared" si="18"/>
        <v/>
      </c>
      <c r="E93" s="10" t="str">
        <f t="shared" si="14"/>
        <v/>
      </c>
      <c r="F93" s="10" t="str">
        <f t="shared" si="15"/>
        <v/>
      </c>
      <c r="G93" s="10" t="str">
        <f t="shared" si="19"/>
        <v/>
      </c>
      <c r="H93" s="10" t="str">
        <f t="shared" si="16"/>
        <v/>
      </c>
      <c r="I93" s="10" t="str">
        <f t="shared" si="20"/>
        <v/>
      </c>
      <c r="J93" s="14" t="str">
        <f t="shared" si="17"/>
        <v/>
      </c>
      <c r="K93" s="13" t="str">
        <f t="shared" si="21"/>
        <v/>
      </c>
      <c r="L93" s="10" t="str">
        <f t="shared" si="22"/>
        <v/>
      </c>
      <c r="M93" s="10" t="str">
        <f t="shared" si="23"/>
        <v/>
      </c>
      <c r="N93" s="10" t="str">
        <f t="shared" si="24"/>
        <v/>
      </c>
      <c r="O93" s="10" t="str">
        <f t="shared" si="25"/>
        <v/>
      </c>
      <c r="P93" s="10" t="str">
        <f t="shared" si="26"/>
        <v/>
      </c>
      <c r="Q93" s="14" t="str">
        <f t="shared" si="27"/>
        <v/>
      </c>
    </row>
    <row r="94" spans="1:17" x14ac:dyDescent="0.25">
      <c r="A94" s="4">
        <v>47392</v>
      </c>
      <c r="B94" s="5" t="str">
        <f>IF('Catalogo de Variaveis'!R99="","",SUM('Catalogo de Variaveis'!R96:R99))</f>
        <v/>
      </c>
      <c r="C94" s="15" t="str">
        <f>IFERROR(IF($B94="","",AVERAGE('Catalogo de Variaveis'!R99-'Catalogo de Variaveis'!R98,'Catalogo de Variaveis'!R98-'Catalogo de Variaveis'!R97,'Catalogo de Variaveis'!R97-'Catalogo de Variaveis'!R96,'Catalogo de Variaveis'!R96-'Catalogo de Variaveis'!R95)),0)</f>
        <v/>
      </c>
      <c r="D94" s="13" t="str">
        <f t="shared" si="18"/>
        <v/>
      </c>
      <c r="E94" s="10" t="str">
        <f t="shared" si="14"/>
        <v/>
      </c>
      <c r="F94" s="10" t="str">
        <f t="shared" si="15"/>
        <v/>
      </c>
      <c r="G94" s="10" t="str">
        <f t="shared" si="19"/>
        <v/>
      </c>
      <c r="H94" s="10" t="str">
        <f t="shared" si="16"/>
        <v/>
      </c>
      <c r="I94" s="10" t="str">
        <f t="shared" si="20"/>
        <v/>
      </c>
      <c r="J94" s="14" t="str">
        <f t="shared" si="17"/>
        <v/>
      </c>
      <c r="K94" s="13" t="str">
        <f t="shared" si="21"/>
        <v/>
      </c>
      <c r="L94" s="10" t="str">
        <f t="shared" si="22"/>
        <v/>
      </c>
      <c r="M94" s="10" t="str">
        <f t="shared" si="23"/>
        <v/>
      </c>
      <c r="N94" s="10" t="str">
        <f t="shared" si="24"/>
        <v/>
      </c>
      <c r="O94" s="10" t="str">
        <f t="shared" si="25"/>
        <v/>
      </c>
      <c r="P94" s="10" t="str">
        <f t="shared" si="26"/>
        <v/>
      </c>
      <c r="Q94" s="14" t="str">
        <f t="shared" si="27"/>
        <v/>
      </c>
    </row>
    <row r="95" spans="1:17" x14ac:dyDescent="0.25">
      <c r="A95" s="4">
        <v>47423</v>
      </c>
      <c r="B95" s="5" t="str">
        <f>IF('Catalogo de Variaveis'!R100="","",SUM('Catalogo de Variaveis'!R97:R100))</f>
        <v/>
      </c>
      <c r="C95" s="15" t="str">
        <f>IFERROR(IF($B95="","",AVERAGE('Catalogo de Variaveis'!R100-'Catalogo de Variaveis'!R99,'Catalogo de Variaveis'!R99-'Catalogo de Variaveis'!R98,'Catalogo de Variaveis'!R98-'Catalogo de Variaveis'!R97,'Catalogo de Variaveis'!R97-'Catalogo de Variaveis'!R96)),0)</f>
        <v/>
      </c>
      <c r="D95" s="13" t="str">
        <f t="shared" si="18"/>
        <v/>
      </c>
      <c r="E95" s="10" t="str">
        <f t="shared" ref="E95:E96" si="28">IF($B95="","",IF(OR($J$1="",$J$2=""),$B$1-2*$B$2,$J$1-2*$J$2))</f>
        <v/>
      </c>
      <c r="F95" s="10" t="str">
        <f t="shared" ref="F95:F96" si="29">IF($B95="","",IF(OR($J$1="",$J$2=""),$B$1-$B$2,$J$1-$J$2))</f>
        <v/>
      </c>
      <c r="G95" s="10" t="str">
        <f t="shared" si="19"/>
        <v/>
      </c>
      <c r="H95" s="10" t="str">
        <f t="shared" ref="H95:H96" si="30">IF($B95="","",IF(OR($J$1="",$J$2=""),$B$1+$B$2,$J$1+$J$2))</f>
        <v/>
      </c>
      <c r="I95" s="10" t="str">
        <f t="shared" si="20"/>
        <v/>
      </c>
      <c r="J95" s="14" t="str">
        <f t="shared" ref="J95:J96" si="31">IF($B95="","",IF(OR($J$1="",$J$2=""),$B$1+3*$B$2,$J$1+3*$J$2))</f>
        <v/>
      </c>
      <c r="K95" s="13" t="str">
        <f t="shared" si="21"/>
        <v/>
      </c>
      <c r="L95" s="10" t="str">
        <f t="shared" si="22"/>
        <v/>
      </c>
      <c r="M95" s="10" t="str">
        <f t="shared" si="23"/>
        <v/>
      </c>
      <c r="N95" s="10" t="str">
        <f t="shared" si="24"/>
        <v/>
      </c>
      <c r="O95" s="10" t="str">
        <f t="shared" si="25"/>
        <v/>
      </c>
      <c r="P95" s="10" t="str">
        <f t="shared" si="26"/>
        <v/>
      </c>
      <c r="Q95" s="14" t="str">
        <f t="shared" si="27"/>
        <v/>
      </c>
    </row>
    <row r="96" spans="1:17" x14ac:dyDescent="0.25">
      <c r="A96" s="4">
        <v>47453</v>
      </c>
      <c r="B96" s="5" t="str">
        <f>IF('Catalogo de Variaveis'!R101="","",SUM('Catalogo de Variaveis'!R98:R101))</f>
        <v/>
      </c>
      <c r="C96" s="15" t="str">
        <f>IFERROR(IF($B96="","",AVERAGE('Catalogo de Variaveis'!R101-'Catalogo de Variaveis'!R100,'Catalogo de Variaveis'!R100-'Catalogo de Variaveis'!R99,'Catalogo de Variaveis'!R99-'Catalogo de Variaveis'!R98,'Catalogo de Variaveis'!R98-'Catalogo de Variaveis'!R97)),0)</f>
        <v/>
      </c>
      <c r="D96" s="13" t="str">
        <f t="shared" si="18"/>
        <v/>
      </c>
      <c r="E96" s="10" t="str">
        <f t="shared" si="28"/>
        <v/>
      </c>
      <c r="F96" s="10" t="str">
        <f t="shared" si="29"/>
        <v/>
      </c>
      <c r="G96" s="10" t="str">
        <f t="shared" si="19"/>
        <v/>
      </c>
      <c r="H96" s="10" t="str">
        <f t="shared" si="30"/>
        <v/>
      </c>
      <c r="I96" s="10" t="str">
        <f t="shared" si="20"/>
        <v/>
      </c>
      <c r="J96" s="14" t="str">
        <f t="shared" si="31"/>
        <v/>
      </c>
      <c r="K96" s="13" t="str">
        <f t="shared" si="21"/>
        <v/>
      </c>
      <c r="L96" s="10" t="str">
        <f t="shared" si="22"/>
        <v/>
      </c>
      <c r="M96" s="10" t="str">
        <f t="shared" si="23"/>
        <v/>
      </c>
      <c r="N96" s="10" t="str">
        <f t="shared" si="24"/>
        <v/>
      </c>
      <c r="O96" s="10" t="str">
        <f t="shared" si="25"/>
        <v/>
      </c>
      <c r="P96" s="10" t="str">
        <f t="shared" si="26"/>
        <v/>
      </c>
      <c r="Q96" s="14" t="str">
        <f t="shared" si="27"/>
        <v/>
      </c>
    </row>
  </sheetData>
  <mergeCells count="4">
    <mergeCell ref="A5:Q6"/>
    <mergeCell ref="A7:C7"/>
    <mergeCell ref="D7:J7"/>
    <mergeCell ref="K7:Q7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77DD-04FE-4450-9C98-D2D3212802BF}">
  <dimension ref="A1:Q96"/>
  <sheetViews>
    <sheetView topLeftCell="A5" zoomScale="161" zoomScaleNormal="161" workbookViewId="0">
      <selection activeCell="B9" sqref="B9"/>
    </sheetView>
  </sheetViews>
  <sheetFormatPr defaultColWidth="0" defaultRowHeight="15" x14ac:dyDescent="0.25"/>
  <cols>
    <col min="1" max="1" width="13.85546875" style="2" bestFit="1" customWidth="1"/>
    <col min="2" max="3" width="10.7109375" customWidth="1"/>
    <col min="4" max="17" width="9.140625" customWidth="1"/>
    <col min="18" max="16384" width="9.140625" hidden="1"/>
  </cols>
  <sheetData>
    <row r="1" spans="1:17" hidden="1" x14ac:dyDescent="0.25">
      <c r="A1" s="7" t="s">
        <v>0</v>
      </c>
      <c r="B1" s="9">
        <f>AVERAGE(B9:B1048576)</f>
        <v>15.368421052631579</v>
      </c>
      <c r="C1" s="9">
        <f>AVERAGE(C9:C1048576)</f>
        <v>1.3157894736842105E-2</v>
      </c>
      <c r="I1" s="7" t="s">
        <v>25</v>
      </c>
      <c r="J1" s="16" t="str">
        <f>IF(LME="","",LME)</f>
        <v/>
      </c>
    </row>
    <row r="2" spans="1:17" hidden="1" x14ac:dyDescent="0.25">
      <c r="A2" s="7" t="s">
        <v>1</v>
      </c>
      <c r="B2" s="9">
        <f>_xlfn.STDEV.S(B9:B1048576)</f>
        <v>6.8356025560596843</v>
      </c>
      <c r="C2" s="9">
        <f>_xlfn.STDEV.S(C9:C1048576)</f>
        <v>0.84419193815713622</v>
      </c>
      <c r="I2" s="7" t="s">
        <v>26</v>
      </c>
      <c r="J2" s="16" t="str">
        <f>IF(VME="","",VME/3)</f>
        <v/>
      </c>
    </row>
    <row r="3" spans="1:17" hidden="1" x14ac:dyDescent="0.25">
      <c r="A3" s="7" t="s">
        <v>2</v>
      </c>
      <c r="B3" s="9">
        <f>MAX(B9:B1048576)</f>
        <v>30</v>
      </c>
      <c r="C3" s="9">
        <f>MAX(C9:C1048576)</f>
        <v>2</v>
      </c>
    </row>
    <row r="4" spans="1:17" hidden="1" x14ac:dyDescent="0.25">
      <c r="A4" s="7" t="s">
        <v>3</v>
      </c>
      <c r="B4" s="9">
        <f>MIN(B9:B1048576)</f>
        <v>2</v>
      </c>
      <c r="C4" s="9">
        <f>MIN(C9:C1048576)</f>
        <v>-1.75</v>
      </c>
    </row>
    <row r="5" spans="1:17" x14ac:dyDescent="0.25">
      <c r="A5" s="22" t="s">
        <v>57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>
        <v>44805</v>
      </c>
      <c r="B9" s="5">
        <f>IF('Catalogo de Variaveis'!S14="","",SUM('Catalogo de Variaveis'!S11:S14))</f>
        <v>6</v>
      </c>
      <c r="C9" s="15">
        <f>IFERROR(IF($B9="","",AVERAGE('Catalogo de Variaveis'!S14-'Catalogo de Variaveis'!S13,'Catalogo de Variaveis'!S13-'Catalogo de Variaveis'!S12,'Catalogo de Variaveis'!S12-'Catalogo de Variaveis'!S11,'Catalogo de Variaveis'!S11-'Catalogo de Variaveis'!S10)),0)</f>
        <v>1.5</v>
      </c>
      <c r="D9" s="13">
        <f t="shared" ref="D9:D59" si="0">IF($B9="","",IF(OR($J$1="",$J$2=""),$B$1-3*$B$2,$J$1-3*$J$2))</f>
        <v>-5.1383866155474749</v>
      </c>
      <c r="E9" s="10">
        <f t="shared" ref="E9:E29" si="1">IF($B9="","",IF(OR($J$1="",$J$2=""),$B$1-2*$B$2,$J$1-2*$J$2))</f>
        <v>1.6972159405122103</v>
      </c>
      <c r="F9" s="10">
        <f t="shared" ref="F9:F29" si="2">IF($B9="","",IF(OR($J$1="",$J$2=""),$B$1-$B$2,$J$1-$J$2))</f>
        <v>8.5328184965718954</v>
      </c>
      <c r="G9" s="10">
        <f t="shared" ref="G9:G59" si="3">IF($B9="","",IF(OR($J$1="",$J$2=""),$B$1,$J$1))</f>
        <v>15.368421052631579</v>
      </c>
      <c r="H9" s="10">
        <f t="shared" ref="H9:H29" si="4">IF($B9="","",IF(OR($J$1="",$J$2=""),$B$1+$B$2,$J$1+$J$2))</f>
        <v>22.204023608691262</v>
      </c>
      <c r="I9" s="10">
        <f t="shared" ref="I9:I59" si="5">IF($B9="","",IF(OR($J$1="",$J$2=""),$B$1+2*$B$2,$J$1+2*$J$2))</f>
        <v>29.039626164750949</v>
      </c>
      <c r="J9" s="14">
        <f t="shared" ref="J9:J29" si="6">IF($B9="","",IF(OR($J$1="",$J$2=""),$B$1+3*$B$2,$J$1+3*$J$2))</f>
        <v>35.875228720810632</v>
      </c>
      <c r="K9" s="13">
        <f t="shared" ref="K9:K72" si="7">IF($B9="","",$C$1-3*$C$2)</f>
        <v>-2.5194179197345665</v>
      </c>
      <c r="L9" s="10">
        <f t="shared" ref="L9:L72" si="8">IF($B9="","",$C$1-2*$C$2)</f>
        <v>-1.6752259815774304</v>
      </c>
      <c r="M9" s="10">
        <f t="shared" ref="M9:M72" si="9">IF($B9="","",$C$1-$C$2)</f>
        <v>-0.83103404342029408</v>
      </c>
      <c r="N9" s="10">
        <f t="shared" ref="N9:N72" si="10">IF($B9="","",$C$1)</f>
        <v>1.3157894736842105E-2</v>
      </c>
      <c r="O9" s="10">
        <f t="shared" ref="O9:O72" si="11">IF($B9="","",$C$1+1*$C$2)</f>
        <v>0.85734983289397837</v>
      </c>
      <c r="P9" s="10">
        <f t="shared" ref="P9:P72" si="12">IF($B9="","",$C$1+2*$C$2)</f>
        <v>1.7015417710511145</v>
      </c>
      <c r="Q9" s="14">
        <f t="shared" ref="Q9:Q72" si="13">IF($B9="","",$C$1+3*$C$2)</f>
        <v>2.5457337092082506</v>
      </c>
    </row>
    <row r="10" spans="1:17" x14ac:dyDescent="0.25">
      <c r="A10" s="4">
        <v>44835</v>
      </c>
      <c r="B10" s="5">
        <f>IF('Catalogo de Variaveis'!S15="","",SUM('Catalogo de Variaveis'!S12:S15))</f>
        <v>10</v>
      </c>
      <c r="C10" s="15">
        <f>IFERROR(IF($B10="","",AVERAGE('Catalogo de Variaveis'!S15-'Catalogo de Variaveis'!S14,'Catalogo de Variaveis'!S14-'Catalogo de Variaveis'!S13,'Catalogo de Variaveis'!S13-'Catalogo de Variaveis'!S12,'Catalogo de Variaveis'!S12-'Catalogo de Variaveis'!S11)),0)</f>
        <v>1</v>
      </c>
      <c r="D10" s="13">
        <f t="shared" si="0"/>
        <v>-5.1383866155474749</v>
      </c>
      <c r="E10" s="10">
        <f t="shared" si="1"/>
        <v>1.6972159405122103</v>
      </c>
      <c r="F10" s="10">
        <f t="shared" si="2"/>
        <v>8.5328184965718954</v>
      </c>
      <c r="G10" s="10">
        <f t="shared" si="3"/>
        <v>15.368421052631579</v>
      </c>
      <c r="H10" s="10">
        <f t="shared" si="4"/>
        <v>22.204023608691262</v>
      </c>
      <c r="I10" s="10">
        <f t="shared" si="5"/>
        <v>29.039626164750949</v>
      </c>
      <c r="J10" s="14">
        <f t="shared" si="6"/>
        <v>35.875228720810632</v>
      </c>
      <c r="K10" s="13">
        <f t="shared" si="7"/>
        <v>-2.5194179197345665</v>
      </c>
      <c r="L10" s="10">
        <f t="shared" si="8"/>
        <v>-1.6752259815774304</v>
      </c>
      <c r="M10" s="10">
        <f t="shared" si="9"/>
        <v>-0.83103404342029408</v>
      </c>
      <c r="N10" s="10">
        <f t="shared" si="10"/>
        <v>1.3157894736842105E-2</v>
      </c>
      <c r="O10" s="10">
        <f t="shared" si="11"/>
        <v>0.85734983289397837</v>
      </c>
      <c r="P10" s="10">
        <f t="shared" si="12"/>
        <v>1.7015417710511145</v>
      </c>
      <c r="Q10" s="14">
        <f t="shared" si="13"/>
        <v>2.5457337092082506</v>
      </c>
    </row>
    <row r="11" spans="1:17" x14ac:dyDescent="0.25">
      <c r="A11" s="4">
        <v>44866</v>
      </c>
      <c r="B11" s="5">
        <f>IF('Catalogo de Variaveis'!S16="","",SUM('Catalogo de Variaveis'!S13:S16))</f>
        <v>18</v>
      </c>
      <c r="C11" s="15">
        <f>IFERROR(IF($B11="","",AVERAGE('Catalogo de Variaveis'!S16-'Catalogo de Variaveis'!S15,'Catalogo de Variaveis'!S15-'Catalogo de Variaveis'!S14,'Catalogo de Variaveis'!S14-'Catalogo de Variaveis'!S13,'Catalogo de Variaveis'!S13-'Catalogo de Variaveis'!S12)),0)</f>
        <v>2</v>
      </c>
      <c r="D11" s="13">
        <f t="shared" si="0"/>
        <v>-5.1383866155474749</v>
      </c>
      <c r="E11" s="10">
        <f t="shared" si="1"/>
        <v>1.6972159405122103</v>
      </c>
      <c r="F11" s="10">
        <f t="shared" si="2"/>
        <v>8.5328184965718954</v>
      </c>
      <c r="G11" s="10">
        <f t="shared" si="3"/>
        <v>15.368421052631579</v>
      </c>
      <c r="H11" s="10">
        <f t="shared" si="4"/>
        <v>22.204023608691262</v>
      </c>
      <c r="I11" s="10">
        <f t="shared" si="5"/>
        <v>29.039626164750949</v>
      </c>
      <c r="J11" s="14">
        <f t="shared" si="6"/>
        <v>35.875228720810632</v>
      </c>
      <c r="K11" s="13">
        <f t="shared" si="7"/>
        <v>-2.5194179197345665</v>
      </c>
      <c r="L11" s="10">
        <f t="shared" si="8"/>
        <v>-1.6752259815774304</v>
      </c>
      <c r="M11" s="10">
        <f t="shared" si="9"/>
        <v>-0.83103404342029408</v>
      </c>
      <c r="N11" s="10">
        <f t="shared" si="10"/>
        <v>1.3157894736842105E-2</v>
      </c>
      <c r="O11" s="10">
        <f t="shared" si="11"/>
        <v>0.85734983289397837</v>
      </c>
      <c r="P11" s="10">
        <f t="shared" si="12"/>
        <v>1.7015417710511145</v>
      </c>
      <c r="Q11" s="14">
        <f t="shared" si="13"/>
        <v>2.5457337092082506</v>
      </c>
    </row>
    <row r="12" spans="1:17" x14ac:dyDescent="0.25">
      <c r="A12" s="4">
        <v>44896</v>
      </c>
      <c r="B12" s="5">
        <f>IF('Catalogo de Variaveis'!S17="","",SUM('Catalogo de Variaveis'!S14:S17))</f>
        <v>20</v>
      </c>
      <c r="C12" s="15">
        <f>IFERROR(IF($B12="","",AVERAGE('Catalogo de Variaveis'!S17-'Catalogo de Variaveis'!S16,'Catalogo de Variaveis'!S16-'Catalogo de Variaveis'!S15,'Catalogo de Variaveis'!S15-'Catalogo de Variaveis'!S14,'Catalogo de Variaveis'!S14-'Catalogo de Variaveis'!S13)),0)</f>
        <v>0.5</v>
      </c>
      <c r="D12" s="13">
        <f t="shared" si="0"/>
        <v>-5.1383866155474749</v>
      </c>
      <c r="E12" s="10">
        <f t="shared" si="1"/>
        <v>1.6972159405122103</v>
      </c>
      <c r="F12" s="10">
        <f t="shared" si="2"/>
        <v>8.5328184965718954</v>
      </c>
      <c r="G12" s="10">
        <f t="shared" si="3"/>
        <v>15.368421052631579</v>
      </c>
      <c r="H12" s="10">
        <f t="shared" si="4"/>
        <v>22.204023608691262</v>
      </c>
      <c r="I12" s="10">
        <f t="shared" si="5"/>
        <v>29.039626164750949</v>
      </c>
      <c r="J12" s="14">
        <f t="shared" si="6"/>
        <v>35.875228720810632</v>
      </c>
      <c r="K12" s="13">
        <f t="shared" si="7"/>
        <v>-2.5194179197345665</v>
      </c>
      <c r="L12" s="10">
        <f t="shared" si="8"/>
        <v>-1.6752259815774304</v>
      </c>
      <c r="M12" s="10">
        <f t="shared" si="9"/>
        <v>-0.83103404342029408</v>
      </c>
      <c r="N12" s="10">
        <f t="shared" si="10"/>
        <v>1.3157894736842105E-2</v>
      </c>
      <c r="O12" s="10">
        <f t="shared" si="11"/>
        <v>0.85734983289397837</v>
      </c>
      <c r="P12" s="10">
        <f t="shared" si="12"/>
        <v>1.7015417710511145</v>
      </c>
      <c r="Q12" s="14">
        <f t="shared" si="13"/>
        <v>2.5457337092082506</v>
      </c>
    </row>
    <row r="13" spans="1:17" x14ac:dyDescent="0.25">
      <c r="A13" s="4">
        <v>44927</v>
      </c>
      <c r="B13" s="5">
        <f>IF('Catalogo de Variaveis'!S18="","",SUM('Catalogo de Variaveis'!S15:S18))</f>
        <v>16</v>
      </c>
      <c r="C13" s="15">
        <f>IFERROR(IF($B13="","",AVERAGE('Catalogo de Variaveis'!S18-'Catalogo de Variaveis'!S17,'Catalogo de Variaveis'!S17-'Catalogo de Variaveis'!S16,'Catalogo de Variaveis'!S16-'Catalogo de Variaveis'!S15,'Catalogo de Variaveis'!S15-'Catalogo de Variaveis'!S14)),0)</f>
        <v>-1</v>
      </c>
      <c r="D13" s="13">
        <f t="shared" si="0"/>
        <v>-5.1383866155474749</v>
      </c>
      <c r="E13" s="10">
        <f t="shared" si="1"/>
        <v>1.6972159405122103</v>
      </c>
      <c r="F13" s="10">
        <f t="shared" si="2"/>
        <v>8.5328184965718954</v>
      </c>
      <c r="G13" s="10">
        <f t="shared" si="3"/>
        <v>15.368421052631579</v>
      </c>
      <c r="H13" s="10">
        <f t="shared" si="4"/>
        <v>22.204023608691262</v>
      </c>
      <c r="I13" s="10">
        <f t="shared" si="5"/>
        <v>29.039626164750949</v>
      </c>
      <c r="J13" s="14">
        <f t="shared" si="6"/>
        <v>35.875228720810632</v>
      </c>
      <c r="K13" s="13">
        <f t="shared" si="7"/>
        <v>-2.5194179197345665</v>
      </c>
      <c r="L13" s="10">
        <f t="shared" si="8"/>
        <v>-1.6752259815774304</v>
      </c>
      <c r="M13" s="10">
        <f t="shared" si="9"/>
        <v>-0.83103404342029408</v>
      </c>
      <c r="N13" s="10">
        <f t="shared" si="10"/>
        <v>1.3157894736842105E-2</v>
      </c>
      <c r="O13" s="10">
        <f t="shared" si="11"/>
        <v>0.85734983289397837</v>
      </c>
      <c r="P13" s="10">
        <f t="shared" si="12"/>
        <v>1.7015417710511145</v>
      </c>
      <c r="Q13" s="14">
        <f t="shared" si="13"/>
        <v>2.5457337092082506</v>
      </c>
    </row>
    <row r="14" spans="1:17" x14ac:dyDescent="0.25">
      <c r="A14" s="4">
        <v>44958</v>
      </c>
      <c r="B14" s="5">
        <f>IF('Catalogo de Variaveis'!S19="","",SUM('Catalogo de Variaveis'!S16:S19))</f>
        <v>14</v>
      </c>
      <c r="C14" s="15">
        <f>IFERROR(IF($B14="","",AVERAGE('Catalogo de Variaveis'!S19-'Catalogo de Variaveis'!S18,'Catalogo de Variaveis'!S18-'Catalogo de Variaveis'!S17,'Catalogo de Variaveis'!S17-'Catalogo de Variaveis'!S16,'Catalogo de Variaveis'!S16-'Catalogo de Variaveis'!S15)),0)</f>
        <v>-0.5</v>
      </c>
      <c r="D14" s="13">
        <f t="shared" si="0"/>
        <v>-5.1383866155474749</v>
      </c>
      <c r="E14" s="10">
        <f t="shared" si="1"/>
        <v>1.6972159405122103</v>
      </c>
      <c r="F14" s="10">
        <f t="shared" si="2"/>
        <v>8.5328184965718954</v>
      </c>
      <c r="G14" s="10">
        <f t="shared" si="3"/>
        <v>15.368421052631579</v>
      </c>
      <c r="H14" s="10">
        <f t="shared" si="4"/>
        <v>22.204023608691262</v>
      </c>
      <c r="I14" s="10">
        <f t="shared" si="5"/>
        <v>29.039626164750949</v>
      </c>
      <c r="J14" s="14">
        <f t="shared" si="6"/>
        <v>35.875228720810632</v>
      </c>
      <c r="K14" s="13">
        <f t="shared" si="7"/>
        <v>-2.5194179197345665</v>
      </c>
      <c r="L14" s="10">
        <f t="shared" si="8"/>
        <v>-1.6752259815774304</v>
      </c>
      <c r="M14" s="10">
        <f t="shared" si="9"/>
        <v>-0.83103404342029408</v>
      </c>
      <c r="N14" s="10">
        <f t="shared" si="10"/>
        <v>1.3157894736842105E-2</v>
      </c>
      <c r="O14" s="10">
        <f t="shared" si="11"/>
        <v>0.85734983289397837</v>
      </c>
      <c r="P14" s="10">
        <f t="shared" si="12"/>
        <v>1.7015417710511145</v>
      </c>
      <c r="Q14" s="14">
        <f t="shared" si="13"/>
        <v>2.5457337092082506</v>
      </c>
    </row>
    <row r="15" spans="1:17" x14ac:dyDescent="0.25">
      <c r="A15" s="4">
        <v>44986</v>
      </c>
      <c r="B15" s="5">
        <f>IF('Catalogo de Variaveis'!S20="","",SUM('Catalogo de Variaveis'!S17:S20))</f>
        <v>14</v>
      </c>
      <c r="C15" s="15">
        <f>IFERROR(IF($B15="","",AVERAGE('Catalogo de Variaveis'!S20-'Catalogo de Variaveis'!S19,'Catalogo de Variaveis'!S19-'Catalogo de Variaveis'!S18,'Catalogo de Variaveis'!S18-'Catalogo de Variaveis'!S17,'Catalogo de Variaveis'!S17-'Catalogo de Variaveis'!S16)),0)</f>
        <v>0</v>
      </c>
      <c r="D15" s="13">
        <f t="shared" si="0"/>
        <v>-5.1383866155474749</v>
      </c>
      <c r="E15" s="10">
        <f t="shared" si="1"/>
        <v>1.6972159405122103</v>
      </c>
      <c r="F15" s="10">
        <f t="shared" si="2"/>
        <v>8.5328184965718954</v>
      </c>
      <c r="G15" s="10">
        <f t="shared" si="3"/>
        <v>15.368421052631579</v>
      </c>
      <c r="H15" s="10">
        <f t="shared" si="4"/>
        <v>22.204023608691262</v>
      </c>
      <c r="I15" s="10">
        <f t="shared" si="5"/>
        <v>29.039626164750949</v>
      </c>
      <c r="J15" s="14">
        <f t="shared" si="6"/>
        <v>35.875228720810632</v>
      </c>
      <c r="K15" s="13">
        <f t="shared" si="7"/>
        <v>-2.5194179197345665</v>
      </c>
      <c r="L15" s="10">
        <f t="shared" si="8"/>
        <v>-1.6752259815774304</v>
      </c>
      <c r="M15" s="10">
        <f t="shared" si="9"/>
        <v>-0.83103404342029408</v>
      </c>
      <c r="N15" s="10">
        <f t="shared" si="10"/>
        <v>1.3157894736842105E-2</v>
      </c>
      <c r="O15" s="10">
        <f t="shared" si="11"/>
        <v>0.85734983289397837</v>
      </c>
      <c r="P15" s="10">
        <f t="shared" si="12"/>
        <v>1.7015417710511145</v>
      </c>
      <c r="Q15" s="14">
        <f t="shared" si="13"/>
        <v>2.5457337092082506</v>
      </c>
    </row>
    <row r="16" spans="1:17" x14ac:dyDescent="0.25">
      <c r="A16" s="4">
        <v>45017</v>
      </c>
      <c r="B16" s="5">
        <f>IF('Catalogo de Variaveis'!S21="","",SUM('Catalogo de Variaveis'!S18:S21))</f>
        <v>16</v>
      </c>
      <c r="C16" s="15">
        <f>IFERROR(IF($B16="","",AVERAGE('Catalogo de Variaveis'!S21-'Catalogo de Variaveis'!S20,'Catalogo de Variaveis'!S20-'Catalogo de Variaveis'!S19,'Catalogo de Variaveis'!S19-'Catalogo de Variaveis'!S18,'Catalogo de Variaveis'!S18-'Catalogo de Variaveis'!S17)),0)</f>
        <v>0.5</v>
      </c>
      <c r="D16" s="13">
        <f t="shared" si="0"/>
        <v>-5.1383866155474749</v>
      </c>
      <c r="E16" s="10">
        <f t="shared" si="1"/>
        <v>1.6972159405122103</v>
      </c>
      <c r="F16" s="10">
        <f t="shared" si="2"/>
        <v>8.5328184965718954</v>
      </c>
      <c r="G16" s="10">
        <f t="shared" si="3"/>
        <v>15.368421052631579</v>
      </c>
      <c r="H16" s="10">
        <f t="shared" si="4"/>
        <v>22.204023608691262</v>
      </c>
      <c r="I16" s="10">
        <f t="shared" si="5"/>
        <v>29.039626164750949</v>
      </c>
      <c r="J16" s="14">
        <f t="shared" si="6"/>
        <v>35.875228720810632</v>
      </c>
      <c r="K16" s="13">
        <f t="shared" si="7"/>
        <v>-2.5194179197345665</v>
      </c>
      <c r="L16" s="10">
        <f t="shared" si="8"/>
        <v>-1.6752259815774304</v>
      </c>
      <c r="M16" s="10">
        <f t="shared" si="9"/>
        <v>-0.83103404342029408</v>
      </c>
      <c r="N16" s="10">
        <f t="shared" si="10"/>
        <v>1.3157894736842105E-2</v>
      </c>
      <c r="O16" s="10">
        <f t="shared" si="11"/>
        <v>0.85734983289397837</v>
      </c>
      <c r="P16" s="10">
        <f t="shared" si="12"/>
        <v>1.7015417710511145</v>
      </c>
      <c r="Q16" s="14">
        <f t="shared" si="13"/>
        <v>2.5457337092082506</v>
      </c>
    </row>
    <row r="17" spans="1:17" x14ac:dyDescent="0.25">
      <c r="A17" s="4">
        <v>45047</v>
      </c>
      <c r="B17" s="5">
        <f>IF('Catalogo de Variaveis'!S22="","",SUM('Catalogo de Variaveis'!S19:S22))</f>
        <v>18</v>
      </c>
      <c r="C17" s="15">
        <f>IFERROR(IF($B17="","",AVERAGE('Catalogo de Variaveis'!S22-'Catalogo de Variaveis'!S21,'Catalogo de Variaveis'!S21-'Catalogo de Variaveis'!S20,'Catalogo de Variaveis'!S20-'Catalogo de Variaveis'!S19,'Catalogo de Variaveis'!S19-'Catalogo de Variaveis'!S18)),0)</f>
        <v>0.5</v>
      </c>
      <c r="D17" s="13">
        <f t="shared" si="0"/>
        <v>-5.1383866155474749</v>
      </c>
      <c r="E17" s="10">
        <f t="shared" si="1"/>
        <v>1.6972159405122103</v>
      </c>
      <c r="F17" s="10">
        <f t="shared" si="2"/>
        <v>8.5328184965718954</v>
      </c>
      <c r="G17" s="10">
        <f t="shared" si="3"/>
        <v>15.368421052631579</v>
      </c>
      <c r="H17" s="10">
        <f t="shared" si="4"/>
        <v>22.204023608691262</v>
      </c>
      <c r="I17" s="10">
        <f t="shared" si="5"/>
        <v>29.039626164750949</v>
      </c>
      <c r="J17" s="14">
        <f t="shared" si="6"/>
        <v>35.875228720810632</v>
      </c>
      <c r="K17" s="13">
        <f t="shared" si="7"/>
        <v>-2.5194179197345665</v>
      </c>
      <c r="L17" s="10">
        <f t="shared" si="8"/>
        <v>-1.6752259815774304</v>
      </c>
      <c r="M17" s="10">
        <f t="shared" si="9"/>
        <v>-0.83103404342029408</v>
      </c>
      <c r="N17" s="10">
        <f t="shared" si="10"/>
        <v>1.3157894736842105E-2</v>
      </c>
      <c r="O17" s="10">
        <f t="shared" si="11"/>
        <v>0.85734983289397837</v>
      </c>
      <c r="P17" s="10">
        <f t="shared" si="12"/>
        <v>1.7015417710511145</v>
      </c>
      <c r="Q17" s="14">
        <f t="shared" si="13"/>
        <v>2.5457337092082506</v>
      </c>
    </row>
    <row r="18" spans="1:17" x14ac:dyDescent="0.25">
      <c r="A18" s="4">
        <v>45078</v>
      </c>
      <c r="B18" s="5">
        <f>IF('Catalogo de Variaveis'!S23="","",SUM('Catalogo de Variaveis'!S20:S23))</f>
        <v>23</v>
      </c>
      <c r="C18" s="15">
        <f>IFERROR(IF($B18="","",AVERAGE('Catalogo de Variaveis'!S23-'Catalogo de Variaveis'!S22,'Catalogo de Variaveis'!S22-'Catalogo de Variaveis'!S21,'Catalogo de Variaveis'!S21-'Catalogo de Variaveis'!S20,'Catalogo de Variaveis'!S20-'Catalogo de Variaveis'!S19)),0)</f>
        <v>1.25</v>
      </c>
      <c r="D18" s="13">
        <f t="shared" si="0"/>
        <v>-5.1383866155474749</v>
      </c>
      <c r="E18" s="10">
        <f t="shared" si="1"/>
        <v>1.6972159405122103</v>
      </c>
      <c r="F18" s="10">
        <f t="shared" si="2"/>
        <v>8.5328184965718954</v>
      </c>
      <c r="G18" s="10">
        <f t="shared" si="3"/>
        <v>15.368421052631579</v>
      </c>
      <c r="H18" s="10">
        <f t="shared" si="4"/>
        <v>22.204023608691262</v>
      </c>
      <c r="I18" s="10">
        <f t="shared" si="5"/>
        <v>29.039626164750949</v>
      </c>
      <c r="J18" s="14">
        <f t="shared" si="6"/>
        <v>35.875228720810632</v>
      </c>
      <c r="K18" s="13">
        <f t="shared" si="7"/>
        <v>-2.5194179197345665</v>
      </c>
      <c r="L18" s="10">
        <f t="shared" si="8"/>
        <v>-1.6752259815774304</v>
      </c>
      <c r="M18" s="10">
        <f t="shared" si="9"/>
        <v>-0.83103404342029408</v>
      </c>
      <c r="N18" s="10">
        <f t="shared" si="10"/>
        <v>1.3157894736842105E-2</v>
      </c>
      <c r="O18" s="10">
        <f t="shared" si="11"/>
        <v>0.85734983289397837</v>
      </c>
      <c r="P18" s="10">
        <f t="shared" si="12"/>
        <v>1.7015417710511145</v>
      </c>
      <c r="Q18" s="14">
        <f t="shared" si="13"/>
        <v>2.5457337092082506</v>
      </c>
    </row>
    <row r="19" spans="1:17" x14ac:dyDescent="0.25">
      <c r="A19" s="4">
        <v>45108</v>
      </c>
      <c r="B19" s="5">
        <f>IF('Catalogo de Variaveis'!S24="","",SUM('Catalogo de Variaveis'!S21:S24))</f>
        <v>20</v>
      </c>
      <c r="C19" s="15">
        <f>IFERROR(IF($B19="","",AVERAGE('Catalogo de Variaveis'!S24-'Catalogo de Variaveis'!S23,'Catalogo de Variaveis'!S23-'Catalogo de Variaveis'!S22,'Catalogo de Variaveis'!S22-'Catalogo de Variaveis'!S21,'Catalogo de Variaveis'!S21-'Catalogo de Variaveis'!S20)),0)</f>
        <v>-0.75</v>
      </c>
      <c r="D19" s="13">
        <f t="shared" si="0"/>
        <v>-5.1383866155474749</v>
      </c>
      <c r="E19" s="10">
        <f t="shared" si="1"/>
        <v>1.6972159405122103</v>
      </c>
      <c r="F19" s="10">
        <f t="shared" si="2"/>
        <v>8.5328184965718954</v>
      </c>
      <c r="G19" s="10">
        <f t="shared" si="3"/>
        <v>15.368421052631579</v>
      </c>
      <c r="H19" s="10">
        <f t="shared" si="4"/>
        <v>22.204023608691262</v>
      </c>
      <c r="I19" s="10">
        <f t="shared" si="5"/>
        <v>29.039626164750949</v>
      </c>
      <c r="J19" s="14">
        <f t="shared" si="6"/>
        <v>35.875228720810632</v>
      </c>
      <c r="K19" s="13">
        <f t="shared" si="7"/>
        <v>-2.5194179197345665</v>
      </c>
      <c r="L19" s="10">
        <f t="shared" si="8"/>
        <v>-1.6752259815774304</v>
      </c>
      <c r="M19" s="10">
        <f t="shared" si="9"/>
        <v>-0.83103404342029408</v>
      </c>
      <c r="N19" s="10">
        <f t="shared" si="10"/>
        <v>1.3157894736842105E-2</v>
      </c>
      <c r="O19" s="10">
        <f t="shared" si="11"/>
        <v>0.85734983289397837</v>
      </c>
      <c r="P19" s="10">
        <f t="shared" si="12"/>
        <v>1.7015417710511145</v>
      </c>
      <c r="Q19" s="14">
        <f t="shared" si="13"/>
        <v>2.5457337092082506</v>
      </c>
    </row>
    <row r="20" spans="1:17" x14ac:dyDescent="0.25">
      <c r="A20" s="4">
        <v>45139</v>
      </c>
      <c r="B20" s="5">
        <f>IF('Catalogo de Variaveis'!S25="","",SUM('Catalogo de Variaveis'!S22:S25))</f>
        <v>22</v>
      </c>
      <c r="C20" s="15">
        <f>IFERROR(IF($B20="","",AVERAGE('Catalogo de Variaveis'!S25-'Catalogo de Variaveis'!S24,'Catalogo de Variaveis'!S24-'Catalogo de Variaveis'!S23,'Catalogo de Variaveis'!S23-'Catalogo de Variaveis'!S22,'Catalogo de Variaveis'!S22-'Catalogo de Variaveis'!S21)),0)</f>
        <v>0.5</v>
      </c>
      <c r="D20" s="13">
        <f t="shared" si="0"/>
        <v>-5.1383866155474749</v>
      </c>
      <c r="E20" s="10">
        <f t="shared" si="1"/>
        <v>1.6972159405122103</v>
      </c>
      <c r="F20" s="10">
        <f t="shared" si="2"/>
        <v>8.5328184965718954</v>
      </c>
      <c r="G20" s="10">
        <f t="shared" si="3"/>
        <v>15.368421052631579</v>
      </c>
      <c r="H20" s="10">
        <f t="shared" si="4"/>
        <v>22.204023608691262</v>
      </c>
      <c r="I20" s="10">
        <f t="shared" si="5"/>
        <v>29.039626164750949</v>
      </c>
      <c r="J20" s="14">
        <f t="shared" si="6"/>
        <v>35.875228720810632</v>
      </c>
      <c r="K20" s="13">
        <f t="shared" si="7"/>
        <v>-2.5194179197345665</v>
      </c>
      <c r="L20" s="10">
        <f t="shared" si="8"/>
        <v>-1.6752259815774304</v>
      </c>
      <c r="M20" s="10">
        <f t="shared" si="9"/>
        <v>-0.83103404342029408</v>
      </c>
      <c r="N20" s="10">
        <f t="shared" si="10"/>
        <v>1.3157894736842105E-2</v>
      </c>
      <c r="O20" s="10">
        <f t="shared" si="11"/>
        <v>0.85734983289397837</v>
      </c>
      <c r="P20" s="10">
        <f t="shared" si="12"/>
        <v>1.7015417710511145</v>
      </c>
      <c r="Q20" s="14">
        <f t="shared" si="13"/>
        <v>2.5457337092082506</v>
      </c>
    </row>
    <row r="21" spans="1:17" x14ac:dyDescent="0.25">
      <c r="A21" s="4">
        <v>45170</v>
      </c>
      <c r="B21" s="5">
        <f>IF('Catalogo de Variaveis'!S26="","",SUM('Catalogo de Variaveis'!S23:S26))</f>
        <v>23</v>
      </c>
      <c r="C21" s="15">
        <f>IFERROR(IF($B21="","",AVERAGE('Catalogo de Variaveis'!S26-'Catalogo de Variaveis'!S25,'Catalogo de Variaveis'!S25-'Catalogo de Variaveis'!S24,'Catalogo de Variaveis'!S24-'Catalogo de Variaveis'!S23,'Catalogo de Variaveis'!S23-'Catalogo de Variaveis'!S22)),0)</f>
        <v>0.25</v>
      </c>
      <c r="D21" s="13">
        <f t="shared" si="0"/>
        <v>-5.1383866155474749</v>
      </c>
      <c r="E21" s="10">
        <f t="shared" si="1"/>
        <v>1.6972159405122103</v>
      </c>
      <c r="F21" s="10">
        <f t="shared" si="2"/>
        <v>8.5328184965718954</v>
      </c>
      <c r="G21" s="10">
        <f t="shared" si="3"/>
        <v>15.368421052631579</v>
      </c>
      <c r="H21" s="10">
        <f t="shared" si="4"/>
        <v>22.204023608691262</v>
      </c>
      <c r="I21" s="10">
        <f t="shared" si="5"/>
        <v>29.039626164750949</v>
      </c>
      <c r="J21" s="14">
        <f t="shared" si="6"/>
        <v>35.875228720810632</v>
      </c>
      <c r="K21" s="13">
        <f t="shared" si="7"/>
        <v>-2.5194179197345665</v>
      </c>
      <c r="L21" s="10">
        <f t="shared" si="8"/>
        <v>-1.6752259815774304</v>
      </c>
      <c r="M21" s="10">
        <f t="shared" si="9"/>
        <v>-0.83103404342029408</v>
      </c>
      <c r="N21" s="10">
        <f t="shared" si="10"/>
        <v>1.3157894736842105E-2</v>
      </c>
      <c r="O21" s="10">
        <f t="shared" si="11"/>
        <v>0.85734983289397837</v>
      </c>
      <c r="P21" s="10">
        <f t="shared" si="12"/>
        <v>1.7015417710511145</v>
      </c>
      <c r="Q21" s="14">
        <f t="shared" si="13"/>
        <v>2.5457337092082506</v>
      </c>
    </row>
    <row r="22" spans="1:17" x14ac:dyDescent="0.25">
      <c r="A22" s="4">
        <v>45200</v>
      </c>
      <c r="B22" s="5">
        <f>IF('Catalogo de Variaveis'!S27="","",SUM('Catalogo de Variaveis'!S24:S27))</f>
        <v>25</v>
      </c>
      <c r="C22" s="15">
        <f>IFERROR(IF($B22="","",AVERAGE('Catalogo de Variaveis'!S27-'Catalogo de Variaveis'!S26,'Catalogo de Variaveis'!S26-'Catalogo de Variaveis'!S25,'Catalogo de Variaveis'!S25-'Catalogo de Variaveis'!S24,'Catalogo de Variaveis'!S24-'Catalogo de Variaveis'!S23)),0)</f>
        <v>0.5</v>
      </c>
      <c r="D22" s="13">
        <f t="shared" si="0"/>
        <v>-5.1383866155474749</v>
      </c>
      <c r="E22" s="10">
        <f t="shared" si="1"/>
        <v>1.6972159405122103</v>
      </c>
      <c r="F22" s="10">
        <f t="shared" si="2"/>
        <v>8.5328184965718954</v>
      </c>
      <c r="G22" s="10">
        <f t="shared" si="3"/>
        <v>15.368421052631579</v>
      </c>
      <c r="H22" s="10">
        <f t="shared" si="4"/>
        <v>22.204023608691262</v>
      </c>
      <c r="I22" s="10">
        <f t="shared" si="5"/>
        <v>29.039626164750949</v>
      </c>
      <c r="J22" s="14">
        <f t="shared" si="6"/>
        <v>35.875228720810632</v>
      </c>
      <c r="K22" s="13">
        <f t="shared" si="7"/>
        <v>-2.5194179197345665</v>
      </c>
      <c r="L22" s="10">
        <f t="shared" si="8"/>
        <v>-1.6752259815774304</v>
      </c>
      <c r="M22" s="10">
        <f t="shared" si="9"/>
        <v>-0.83103404342029408</v>
      </c>
      <c r="N22" s="10">
        <f t="shared" si="10"/>
        <v>1.3157894736842105E-2</v>
      </c>
      <c r="O22" s="10">
        <f t="shared" si="11"/>
        <v>0.85734983289397837</v>
      </c>
      <c r="P22" s="10">
        <f t="shared" si="12"/>
        <v>1.7015417710511145</v>
      </c>
      <c r="Q22" s="14">
        <f t="shared" si="13"/>
        <v>2.5457337092082506</v>
      </c>
    </row>
    <row r="23" spans="1:17" x14ac:dyDescent="0.25">
      <c r="A23" s="4">
        <v>45231</v>
      </c>
      <c r="B23" s="5">
        <f>IF('Catalogo de Variaveis'!S28="","",SUM('Catalogo de Variaveis'!S25:S28))</f>
        <v>26</v>
      </c>
      <c r="C23" s="15">
        <f>IFERROR(IF($B23="","",AVERAGE('Catalogo de Variaveis'!S28-'Catalogo de Variaveis'!S27,'Catalogo de Variaveis'!S27-'Catalogo de Variaveis'!S26,'Catalogo de Variaveis'!S26-'Catalogo de Variaveis'!S25,'Catalogo de Variaveis'!S25-'Catalogo de Variaveis'!S24)),0)</f>
        <v>0.25</v>
      </c>
      <c r="D23" s="13">
        <f t="shared" si="0"/>
        <v>-5.1383866155474749</v>
      </c>
      <c r="E23" s="10">
        <f t="shared" si="1"/>
        <v>1.6972159405122103</v>
      </c>
      <c r="F23" s="10">
        <f t="shared" si="2"/>
        <v>8.5328184965718954</v>
      </c>
      <c r="G23" s="10">
        <f t="shared" si="3"/>
        <v>15.368421052631579</v>
      </c>
      <c r="H23" s="10">
        <f t="shared" si="4"/>
        <v>22.204023608691262</v>
      </c>
      <c r="I23" s="10">
        <f t="shared" si="5"/>
        <v>29.039626164750949</v>
      </c>
      <c r="J23" s="14">
        <f t="shared" si="6"/>
        <v>35.875228720810632</v>
      </c>
      <c r="K23" s="13">
        <f t="shared" si="7"/>
        <v>-2.5194179197345665</v>
      </c>
      <c r="L23" s="10">
        <f t="shared" si="8"/>
        <v>-1.6752259815774304</v>
      </c>
      <c r="M23" s="10">
        <f t="shared" si="9"/>
        <v>-0.83103404342029408</v>
      </c>
      <c r="N23" s="10">
        <f t="shared" si="10"/>
        <v>1.3157894736842105E-2</v>
      </c>
      <c r="O23" s="10">
        <f t="shared" si="11"/>
        <v>0.85734983289397837</v>
      </c>
      <c r="P23" s="10">
        <f t="shared" si="12"/>
        <v>1.7015417710511145</v>
      </c>
      <c r="Q23" s="14">
        <f t="shared" si="13"/>
        <v>2.5457337092082506</v>
      </c>
    </row>
    <row r="24" spans="1:17" x14ac:dyDescent="0.25">
      <c r="A24" s="4">
        <v>45261</v>
      </c>
      <c r="B24" s="5">
        <f>IF('Catalogo de Variaveis'!S29="","",SUM('Catalogo de Variaveis'!S26:S29))</f>
        <v>27</v>
      </c>
      <c r="C24" s="15">
        <f>IFERROR(IF($B24="","",AVERAGE('Catalogo de Variaveis'!S29-'Catalogo de Variaveis'!S28,'Catalogo de Variaveis'!S28-'Catalogo de Variaveis'!S27,'Catalogo de Variaveis'!S27-'Catalogo de Variaveis'!S26,'Catalogo de Variaveis'!S26-'Catalogo de Variaveis'!S25)),0)</f>
        <v>0.25</v>
      </c>
      <c r="D24" s="13">
        <f t="shared" si="0"/>
        <v>-5.1383866155474749</v>
      </c>
      <c r="E24" s="10">
        <f t="shared" si="1"/>
        <v>1.6972159405122103</v>
      </c>
      <c r="F24" s="10">
        <f t="shared" si="2"/>
        <v>8.5328184965718954</v>
      </c>
      <c r="G24" s="10">
        <f t="shared" si="3"/>
        <v>15.368421052631579</v>
      </c>
      <c r="H24" s="10">
        <f t="shared" si="4"/>
        <v>22.204023608691262</v>
      </c>
      <c r="I24" s="10">
        <f t="shared" si="5"/>
        <v>29.039626164750949</v>
      </c>
      <c r="J24" s="14">
        <f t="shared" si="6"/>
        <v>35.875228720810632</v>
      </c>
      <c r="K24" s="13">
        <f t="shared" si="7"/>
        <v>-2.5194179197345665</v>
      </c>
      <c r="L24" s="10">
        <f t="shared" si="8"/>
        <v>-1.6752259815774304</v>
      </c>
      <c r="M24" s="10">
        <f t="shared" si="9"/>
        <v>-0.83103404342029408</v>
      </c>
      <c r="N24" s="10">
        <f t="shared" si="10"/>
        <v>1.3157894736842105E-2</v>
      </c>
      <c r="O24" s="10">
        <f t="shared" si="11"/>
        <v>0.85734983289397837</v>
      </c>
      <c r="P24" s="10">
        <f t="shared" si="12"/>
        <v>1.7015417710511145</v>
      </c>
      <c r="Q24" s="14">
        <f t="shared" si="13"/>
        <v>2.5457337092082506</v>
      </c>
    </row>
    <row r="25" spans="1:17" x14ac:dyDescent="0.25">
      <c r="A25" s="4">
        <v>45292</v>
      </c>
      <c r="B25" s="5">
        <f>IF('Catalogo de Variaveis'!S30="","",SUM('Catalogo de Variaveis'!S27:S30))</f>
        <v>30</v>
      </c>
      <c r="C25" s="15">
        <f>IFERROR(IF($B25="","",AVERAGE('Catalogo de Variaveis'!S30-'Catalogo de Variaveis'!S29,'Catalogo de Variaveis'!S29-'Catalogo de Variaveis'!S28,'Catalogo de Variaveis'!S28-'Catalogo de Variaveis'!S27,'Catalogo de Variaveis'!S27-'Catalogo de Variaveis'!S26)),0)</f>
        <v>0.75</v>
      </c>
      <c r="D25" s="13">
        <f t="shared" si="0"/>
        <v>-5.1383866155474749</v>
      </c>
      <c r="E25" s="10">
        <f t="shared" si="1"/>
        <v>1.6972159405122103</v>
      </c>
      <c r="F25" s="10">
        <f t="shared" si="2"/>
        <v>8.5328184965718954</v>
      </c>
      <c r="G25" s="10">
        <f t="shared" si="3"/>
        <v>15.368421052631579</v>
      </c>
      <c r="H25" s="10">
        <f t="shared" si="4"/>
        <v>22.204023608691262</v>
      </c>
      <c r="I25" s="10">
        <f t="shared" si="5"/>
        <v>29.039626164750949</v>
      </c>
      <c r="J25" s="14">
        <f t="shared" si="6"/>
        <v>35.875228720810632</v>
      </c>
      <c r="K25" s="13">
        <f t="shared" si="7"/>
        <v>-2.5194179197345665</v>
      </c>
      <c r="L25" s="10">
        <f t="shared" si="8"/>
        <v>-1.6752259815774304</v>
      </c>
      <c r="M25" s="10">
        <f t="shared" si="9"/>
        <v>-0.83103404342029408</v>
      </c>
      <c r="N25" s="10">
        <f t="shared" si="10"/>
        <v>1.3157894736842105E-2</v>
      </c>
      <c r="O25" s="10">
        <f t="shared" si="11"/>
        <v>0.85734983289397837</v>
      </c>
      <c r="P25" s="10">
        <f t="shared" si="12"/>
        <v>1.7015417710511145</v>
      </c>
      <c r="Q25" s="14">
        <f t="shared" si="13"/>
        <v>2.5457337092082506</v>
      </c>
    </row>
    <row r="26" spans="1:17" x14ac:dyDescent="0.25">
      <c r="A26" s="4">
        <v>45323</v>
      </c>
      <c r="B26" s="5">
        <f>IF('Catalogo de Variaveis'!S31="","",SUM('Catalogo de Variaveis'!S28:S31))</f>
        <v>23</v>
      </c>
      <c r="C26" s="15">
        <f>IFERROR(IF($B26="","",AVERAGE('Catalogo de Variaveis'!S31-'Catalogo de Variaveis'!S30,'Catalogo de Variaveis'!S30-'Catalogo de Variaveis'!S29,'Catalogo de Variaveis'!S29-'Catalogo de Variaveis'!S28,'Catalogo de Variaveis'!S28-'Catalogo de Variaveis'!S27)),0)</f>
        <v>-1.75</v>
      </c>
      <c r="D26" s="13">
        <f t="shared" si="0"/>
        <v>-5.1383866155474749</v>
      </c>
      <c r="E26" s="10">
        <f t="shared" si="1"/>
        <v>1.6972159405122103</v>
      </c>
      <c r="F26" s="10">
        <f t="shared" si="2"/>
        <v>8.5328184965718954</v>
      </c>
      <c r="G26" s="10">
        <f t="shared" si="3"/>
        <v>15.368421052631579</v>
      </c>
      <c r="H26" s="10">
        <f t="shared" si="4"/>
        <v>22.204023608691262</v>
      </c>
      <c r="I26" s="10">
        <f t="shared" si="5"/>
        <v>29.039626164750949</v>
      </c>
      <c r="J26" s="14">
        <f t="shared" si="6"/>
        <v>35.875228720810632</v>
      </c>
      <c r="K26" s="13">
        <f t="shared" si="7"/>
        <v>-2.5194179197345665</v>
      </c>
      <c r="L26" s="10">
        <f t="shared" si="8"/>
        <v>-1.6752259815774304</v>
      </c>
      <c r="M26" s="10">
        <f t="shared" si="9"/>
        <v>-0.83103404342029408</v>
      </c>
      <c r="N26" s="10">
        <f t="shared" si="10"/>
        <v>1.3157894736842105E-2</v>
      </c>
      <c r="O26" s="10">
        <f t="shared" si="11"/>
        <v>0.85734983289397837</v>
      </c>
      <c r="P26" s="10">
        <f t="shared" si="12"/>
        <v>1.7015417710511145</v>
      </c>
      <c r="Q26" s="14">
        <f t="shared" si="13"/>
        <v>2.5457337092082506</v>
      </c>
    </row>
    <row r="27" spans="1:17" x14ac:dyDescent="0.25">
      <c r="A27" s="4">
        <v>45352</v>
      </c>
      <c r="B27" s="5">
        <f>IF('Catalogo de Variaveis'!S32="","",SUM('Catalogo de Variaveis'!S29:S32))</f>
        <v>21</v>
      </c>
      <c r="C27" s="15">
        <f>IFERROR(IF($B27="","",AVERAGE('Catalogo de Variaveis'!S32-'Catalogo de Variaveis'!S31,'Catalogo de Variaveis'!S31-'Catalogo de Variaveis'!S30,'Catalogo de Variaveis'!S30-'Catalogo de Variaveis'!S29,'Catalogo de Variaveis'!S29-'Catalogo de Variaveis'!S28)),0)</f>
        <v>-0.5</v>
      </c>
      <c r="D27" s="13">
        <f t="shared" si="0"/>
        <v>-5.1383866155474749</v>
      </c>
      <c r="E27" s="10">
        <f t="shared" si="1"/>
        <v>1.6972159405122103</v>
      </c>
      <c r="F27" s="10">
        <f t="shared" si="2"/>
        <v>8.5328184965718954</v>
      </c>
      <c r="G27" s="10">
        <f t="shared" si="3"/>
        <v>15.368421052631579</v>
      </c>
      <c r="H27" s="10">
        <f t="shared" si="4"/>
        <v>22.204023608691262</v>
      </c>
      <c r="I27" s="10">
        <f t="shared" si="5"/>
        <v>29.039626164750949</v>
      </c>
      <c r="J27" s="14">
        <f t="shared" si="6"/>
        <v>35.875228720810632</v>
      </c>
      <c r="K27" s="13">
        <f t="shared" si="7"/>
        <v>-2.5194179197345665</v>
      </c>
      <c r="L27" s="10">
        <f t="shared" si="8"/>
        <v>-1.6752259815774304</v>
      </c>
      <c r="M27" s="10">
        <f t="shared" si="9"/>
        <v>-0.83103404342029408</v>
      </c>
      <c r="N27" s="10">
        <f t="shared" si="10"/>
        <v>1.3157894736842105E-2</v>
      </c>
      <c r="O27" s="10">
        <f t="shared" si="11"/>
        <v>0.85734983289397837</v>
      </c>
      <c r="P27" s="10">
        <f t="shared" si="12"/>
        <v>1.7015417710511145</v>
      </c>
      <c r="Q27" s="14">
        <f t="shared" si="13"/>
        <v>2.5457337092082506</v>
      </c>
    </row>
    <row r="28" spans="1:17" x14ac:dyDescent="0.25">
      <c r="A28" s="4">
        <v>45383</v>
      </c>
      <c r="B28" s="5">
        <f>IF('Catalogo de Variaveis'!S33="","",SUM('Catalogo de Variaveis'!S30:S33))</f>
        <v>17</v>
      </c>
      <c r="C28" s="15">
        <f>IFERROR(IF($B28="","",AVERAGE('Catalogo de Variaveis'!S33-'Catalogo de Variaveis'!S32,'Catalogo de Variaveis'!S32-'Catalogo de Variaveis'!S31,'Catalogo de Variaveis'!S31-'Catalogo de Variaveis'!S30,'Catalogo de Variaveis'!S30-'Catalogo de Variaveis'!S29)),0)</f>
        <v>-1</v>
      </c>
      <c r="D28" s="13">
        <f t="shared" si="0"/>
        <v>-5.1383866155474749</v>
      </c>
      <c r="E28" s="10">
        <f t="shared" si="1"/>
        <v>1.6972159405122103</v>
      </c>
      <c r="F28" s="10">
        <f t="shared" si="2"/>
        <v>8.5328184965718954</v>
      </c>
      <c r="G28" s="10">
        <f t="shared" si="3"/>
        <v>15.368421052631579</v>
      </c>
      <c r="H28" s="10">
        <f t="shared" si="4"/>
        <v>22.204023608691262</v>
      </c>
      <c r="I28" s="10">
        <f t="shared" si="5"/>
        <v>29.039626164750949</v>
      </c>
      <c r="J28" s="14">
        <f t="shared" si="6"/>
        <v>35.875228720810632</v>
      </c>
      <c r="K28" s="13">
        <f t="shared" si="7"/>
        <v>-2.5194179197345665</v>
      </c>
      <c r="L28" s="10">
        <f t="shared" si="8"/>
        <v>-1.6752259815774304</v>
      </c>
      <c r="M28" s="10">
        <f t="shared" si="9"/>
        <v>-0.83103404342029408</v>
      </c>
      <c r="N28" s="10">
        <f t="shared" si="10"/>
        <v>1.3157894736842105E-2</v>
      </c>
      <c r="O28" s="10">
        <f t="shared" si="11"/>
        <v>0.85734983289397837</v>
      </c>
      <c r="P28" s="10">
        <f t="shared" si="12"/>
        <v>1.7015417710511145</v>
      </c>
      <c r="Q28" s="14">
        <f t="shared" si="13"/>
        <v>2.5457337092082506</v>
      </c>
    </row>
    <row r="29" spans="1:17" x14ac:dyDescent="0.25">
      <c r="A29" s="4">
        <v>45413</v>
      </c>
      <c r="B29" s="5">
        <f>IF('Catalogo de Variaveis'!S34="","",SUM('Catalogo de Variaveis'!S31:S34))</f>
        <v>15</v>
      </c>
      <c r="C29" s="15">
        <f>IFERROR(IF($B29="","",AVERAGE('Catalogo de Variaveis'!S34-'Catalogo de Variaveis'!S33,'Catalogo de Variaveis'!S33-'Catalogo de Variaveis'!S32,'Catalogo de Variaveis'!S32-'Catalogo de Variaveis'!S31,'Catalogo de Variaveis'!S31-'Catalogo de Variaveis'!S30)),0)</f>
        <v>-0.5</v>
      </c>
      <c r="D29" s="13">
        <f t="shared" si="0"/>
        <v>-5.1383866155474749</v>
      </c>
      <c r="E29" s="10">
        <f t="shared" si="1"/>
        <v>1.6972159405122103</v>
      </c>
      <c r="F29" s="10">
        <f t="shared" si="2"/>
        <v>8.5328184965718954</v>
      </c>
      <c r="G29" s="10">
        <f t="shared" si="3"/>
        <v>15.368421052631579</v>
      </c>
      <c r="H29" s="10">
        <f t="shared" si="4"/>
        <v>22.204023608691262</v>
      </c>
      <c r="I29" s="10">
        <f t="shared" si="5"/>
        <v>29.039626164750949</v>
      </c>
      <c r="J29" s="14">
        <f t="shared" si="6"/>
        <v>35.875228720810632</v>
      </c>
      <c r="K29" s="13">
        <f t="shared" si="7"/>
        <v>-2.5194179197345665</v>
      </c>
      <c r="L29" s="10">
        <f t="shared" si="8"/>
        <v>-1.6752259815774304</v>
      </c>
      <c r="M29" s="10">
        <f t="shared" si="9"/>
        <v>-0.83103404342029408</v>
      </c>
      <c r="N29" s="10">
        <f t="shared" si="10"/>
        <v>1.3157894736842105E-2</v>
      </c>
      <c r="O29" s="10">
        <f t="shared" si="11"/>
        <v>0.85734983289397837</v>
      </c>
      <c r="P29" s="10">
        <f t="shared" si="12"/>
        <v>1.7015417710511145</v>
      </c>
      <c r="Q29" s="14">
        <f t="shared" si="13"/>
        <v>2.5457337092082506</v>
      </c>
    </row>
    <row r="30" spans="1:17" x14ac:dyDescent="0.25">
      <c r="A30" s="4">
        <v>45444</v>
      </c>
      <c r="B30" s="5">
        <f>IF('Catalogo de Variaveis'!S35="","",SUM('Catalogo de Variaveis'!S32:S35))</f>
        <v>16</v>
      </c>
      <c r="C30" s="15">
        <f>IFERROR(IF($B30="","",AVERAGE('Catalogo de Variaveis'!S35-'Catalogo de Variaveis'!S34,'Catalogo de Variaveis'!S34-'Catalogo de Variaveis'!S33,'Catalogo de Variaveis'!S33-'Catalogo de Variaveis'!S32,'Catalogo de Variaveis'!S32-'Catalogo de Variaveis'!S31)),0)</f>
        <v>0.25</v>
      </c>
      <c r="D30" s="13">
        <f>IF($B30="","",IF(OR($J$1="",$J$2=""),$B$1-3*$B$2,$J$1-3*$J$2))</f>
        <v>-5.1383866155474749</v>
      </c>
      <c r="E30" s="10">
        <f>IF($B30="","",IF(OR($J$1="",$J$2=""),$B$1-2*$B$2,$J$1-2*$J$2))</f>
        <v>1.6972159405122103</v>
      </c>
      <c r="F30" s="10">
        <f>IF($B30="","",IF(OR($J$1="",$J$2=""),$B$1-$B$2,$J$1-$J$2))</f>
        <v>8.5328184965718954</v>
      </c>
      <c r="G30" s="10">
        <f>IF($B30="","",IF(OR($J$1="",$J$2=""),$B$1,$J$1))</f>
        <v>15.368421052631579</v>
      </c>
      <c r="H30" s="10">
        <f>IF($B30="","",IF(OR($J$1="",$J$2=""),$B$1+$B$2,$J$1+$J$2))</f>
        <v>22.204023608691262</v>
      </c>
      <c r="I30" s="10">
        <f>IF($B30="","",IF(OR($J$1="",$J$2=""),$B$1+2*$B$2,$J$1+2*$J$2))</f>
        <v>29.039626164750949</v>
      </c>
      <c r="J30" s="14">
        <f>IF($B30="","",IF(OR($J$1="",$J$2=""),$B$1+3*$B$2,$J$1+3*$J$2))</f>
        <v>35.875228720810632</v>
      </c>
      <c r="K30" s="13">
        <f t="shared" si="7"/>
        <v>-2.5194179197345665</v>
      </c>
      <c r="L30" s="10">
        <f t="shared" si="8"/>
        <v>-1.6752259815774304</v>
      </c>
      <c r="M30" s="10">
        <f t="shared" si="9"/>
        <v>-0.83103404342029408</v>
      </c>
      <c r="N30" s="10">
        <f t="shared" si="10"/>
        <v>1.3157894736842105E-2</v>
      </c>
      <c r="O30" s="10">
        <f t="shared" si="11"/>
        <v>0.85734983289397837</v>
      </c>
      <c r="P30" s="10">
        <f t="shared" si="12"/>
        <v>1.7015417710511145</v>
      </c>
      <c r="Q30" s="14">
        <f t="shared" si="13"/>
        <v>2.5457337092082506</v>
      </c>
    </row>
    <row r="31" spans="1:17" x14ac:dyDescent="0.25">
      <c r="A31" s="4">
        <v>45474</v>
      </c>
      <c r="B31" s="5">
        <f>IF('Catalogo de Variaveis'!S36="","",SUM('Catalogo de Variaveis'!S33:S36))</f>
        <v>15</v>
      </c>
      <c r="C31" s="15">
        <f>IFERROR(IF($B31="","",AVERAGE('Catalogo de Variaveis'!S36-'Catalogo de Variaveis'!S35,'Catalogo de Variaveis'!S35-'Catalogo de Variaveis'!S34,'Catalogo de Variaveis'!S34-'Catalogo de Variaveis'!S33,'Catalogo de Variaveis'!S33-'Catalogo de Variaveis'!S32)),0)</f>
        <v>-0.25</v>
      </c>
      <c r="D31" s="13">
        <f t="shared" si="0"/>
        <v>-5.1383866155474749</v>
      </c>
      <c r="E31" s="10">
        <f t="shared" ref="E31:E94" si="14">IF($B31="","",IF(OR($J$1="",$J$2=""),$B$1-2*$B$2,$J$1-2*$J$2))</f>
        <v>1.6972159405122103</v>
      </c>
      <c r="F31" s="10">
        <f t="shared" ref="F31:F94" si="15">IF($B31="","",IF(OR($J$1="",$J$2=""),$B$1-$B$2,$J$1-$J$2))</f>
        <v>8.5328184965718954</v>
      </c>
      <c r="G31" s="10">
        <f t="shared" si="3"/>
        <v>15.368421052631579</v>
      </c>
      <c r="H31" s="10">
        <f t="shared" ref="H31:H94" si="16">IF($B31="","",IF(OR($J$1="",$J$2=""),$B$1+$B$2,$J$1+$J$2))</f>
        <v>22.204023608691262</v>
      </c>
      <c r="I31" s="10">
        <f t="shared" si="5"/>
        <v>29.039626164750949</v>
      </c>
      <c r="J31" s="14">
        <f t="shared" ref="J31:J94" si="17">IF($B31="","",IF(OR($J$1="",$J$2=""),$B$1+3*$B$2,$J$1+3*$J$2))</f>
        <v>35.875228720810632</v>
      </c>
      <c r="K31" s="13">
        <f t="shared" si="7"/>
        <v>-2.5194179197345665</v>
      </c>
      <c r="L31" s="10">
        <f t="shared" si="8"/>
        <v>-1.6752259815774304</v>
      </c>
      <c r="M31" s="10">
        <f t="shared" si="9"/>
        <v>-0.83103404342029408</v>
      </c>
      <c r="N31" s="10">
        <f t="shared" si="10"/>
        <v>1.3157894736842105E-2</v>
      </c>
      <c r="O31" s="10">
        <f t="shared" si="11"/>
        <v>0.85734983289397837</v>
      </c>
      <c r="P31" s="10">
        <f t="shared" si="12"/>
        <v>1.7015417710511145</v>
      </c>
      <c r="Q31" s="14">
        <f t="shared" si="13"/>
        <v>2.5457337092082506</v>
      </c>
    </row>
    <row r="32" spans="1:17" x14ac:dyDescent="0.25">
      <c r="A32" s="4">
        <v>45505</v>
      </c>
      <c r="B32" s="5">
        <f>IF('Catalogo de Variaveis'!S37="","",SUM('Catalogo de Variaveis'!S34:S37))</f>
        <v>15</v>
      </c>
      <c r="C32" s="15">
        <f>IFERROR(IF($B32="","",AVERAGE('Catalogo de Variaveis'!S37-'Catalogo de Variaveis'!S36,'Catalogo de Variaveis'!S36-'Catalogo de Variaveis'!S35,'Catalogo de Variaveis'!S35-'Catalogo de Variaveis'!S34,'Catalogo de Variaveis'!S34-'Catalogo de Variaveis'!S33)),0)</f>
        <v>0</v>
      </c>
      <c r="D32" s="13">
        <f t="shared" si="0"/>
        <v>-5.1383866155474749</v>
      </c>
      <c r="E32" s="10">
        <f t="shared" si="14"/>
        <v>1.6972159405122103</v>
      </c>
      <c r="F32" s="10">
        <f t="shared" si="15"/>
        <v>8.5328184965718954</v>
      </c>
      <c r="G32" s="10">
        <f t="shared" si="3"/>
        <v>15.368421052631579</v>
      </c>
      <c r="H32" s="10">
        <f t="shared" si="16"/>
        <v>22.204023608691262</v>
      </c>
      <c r="I32" s="10">
        <f t="shared" si="5"/>
        <v>29.039626164750949</v>
      </c>
      <c r="J32" s="14">
        <f t="shared" si="17"/>
        <v>35.875228720810632</v>
      </c>
      <c r="K32" s="13">
        <f t="shared" si="7"/>
        <v>-2.5194179197345665</v>
      </c>
      <c r="L32" s="10">
        <f t="shared" si="8"/>
        <v>-1.6752259815774304</v>
      </c>
      <c r="M32" s="10">
        <f t="shared" si="9"/>
        <v>-0.83103404342029408</v>
      </c>
      <c r="N32" s="10">
        <f t="shared" si="10"/>
        <v>1.3157894736842105E-2</v>
      </c>
      <c r="O32" s="10">
        <f t="shared" si="11"/>
        <v>0.85734983289397837</v>
      </c>
      <c r="P32" s="10">
        <f t="shared" si="12"/>
        <v>1.7015417710511145</v>
      </c>
      <c r="Q32" s="14">
        <f t="shared" si="13"/>
        <v>2.5457337092082506</v>
      </c>
    </row>
    <row r="33" spans="1:17" x14ac:dyDescent="0.25">
      <c r="A33" s="4">
        <v>45536</v>
      </c>
      <c r="B33" s="5">
        <f>IF('Catalogo de Variaveis'!S38="","",SUM('Catalogo de Variaveis'!S35:S38))</f>
        <v>12</v>
      </c>
      <c r="C33" s="15">
        <f>IFERROR(IF($B33="","",AVERAGE('Catalogo de Variaveis'!S38-'Catalogo de Variaveis'!S37,'Catalogo de Variaveis'!S37-'Catalogo de Variaveis'!S36,'Catalogo de Variaveis'!S36-'Catalogo de Variaveis'!S35,'Catalogo de Variaveis'!S35-'Catalogo de Variaveis'!S34)),0)</f>
        <v>-0.75</v>
      </c>
      <c r="D33" s="13">
        <f t="shared" si="0"/>
        <v>-5.1383866155474749</v>
      </c>
      <c r="E33" s="10">
        <f t="shared" si="14"/>
        <v>1.6972159405122103</v>
      </c>
      <c r="F33" s="10">
        <f t="shared" si="15"/>
        <v>8.5328184965718954</v>
      </c>
      <c r="G33" s="10">
        <f t="shared" si="3"/>
        <v>15.368421052631579</v>
      </c>
      <c r="H33" s="10">
        <f t="shared" si="16"/>
        <v>22.204023608691262</v>
      </c>
      <c r="I33" s="10">
        <f t="shared" si="5"/>
        <v>29.039626164750949</v>
      </c>
      <c r="J33" s="14">
        <f t="shared" si="17"/>
        <v>35.875228720810632</v>
      </c>
      <c r="K33" s="13">
        <f t="shared" si="7"/>
        <v>-2.5194179197345665</v>
      </c>
      <c r="L33" s="10">
        <f t="shared" si="8"/>
        <v>-1.6752259815774304</v>
      </c>
      <c r="M33" s="10">
        <f t="shared" si="9"/>
        <v>-0.83103404342029408</v>
      </c>
      <c r="N33" s="10">
        <f t="shared" si="10"/>
        <v>1.3157894736842105E-2</v>
      </c>
      <c r="O33" s="10">
        <f t="shared" si="11"/>
        <v>0.85734983289397837</v>
      </c>
      <c r="P33" s="10">
        <f t="shared" si="12"/>
        <v>1.7015417710511145</v>
      </c>
      <c r="Q33" s="14">
        <f t="shared" si="13"/>
        <v>2.5457337092082506</v>
      </c>
    </row>
    <row r="34" spans="1:17" x14ac:dyDescent="0.25">
      <c r="A34" s="4">
        <v>45566</v>
      </c>
      <c r="B34" s="5">
        <f>IF('Catalogo de Variaveis'!S39="","",SUM('Catalogo de Variaveis'!S36:S39))</f>
        <v>10</v>
      </c>
      <c r="C34" s="15">
        <f>IFERROR(IF($B34="","",AVERAGE('Catalogo de Variaveis'!S39-'Catalogo de Variaveis'!S38,'Catalogo de Variaveis'!S38-'Catalogo de Variaveis'!S37,'Catalogo de Variaveis'!S37-'Catalogo de Variaveis'!S36,'Catalogo de Variaveis'!S36-'Catalogo de Variaveis'!S35)),0)</f>
        <v>-0.5</v>
      </c>
      <c r="D34" s="13">
        <f t="shared" si="0"/>
        <v>-5.1383866155474749</v>
      </c>
      <c r="E34" s="10">
        <f t="shared" si="14"/>
        <v>1.6972159405122103</v>
      </c>
      <c r="F34" s="10">
        <f t="shared" si="15"/>
        <v>8.5328184965718954</v>
      </c>
      <c r="G34" s="10">
        <f t="shared" si="3"/>
        <v>15.368421052631579</v>
      </c>
      <c r="H34" s="10">
        <f t="shared" si="16"/>
        <v>22.204023608691262</v>
      </c>
      <c r="I34" s="10">
        <f t="shared" si="5"/>
        <v>29.039626164750949</v>
      </c>
      <c r="J34" s="14">
        <f t="shared" si="17"/>
        <v>35.875228720810632</v>
      </c>
      <c r="K34" s="13">
        <f t="shared" si="7"/>
        <v>-2.5194179197345665</v>
      </c>
      <c r="L34" s="10">
        <f t="shared" si="8"/>
        <v>-1.6752259815774304</v>
      </c>
      <c r="M34" s="10">
        <f t="shared" si="9"/>
        <v>-0.83103404342029408</v>
      </c>
      <c r="N34" s="10">
        <f t="shared" si="10"/>
        <v>1.3157894736842105E-2</v>
      </c>
      <c r="O34" s="10">
        <f t="shared" si="11"/>
        <v>0.85734983289397837</v>
      </c>
      <c r="P34" s="10">
        <f t="shared" si="12"/>
        <v>1.7015417710511145</v>
      </c>
      <c r="Q34" s="14">
        <f t="shared" si="13"/>
        <v>2.5457337092082506</v>
      </c>
    </row>
    <row r="35" spans="1:17" x14ac:dyDescent="0.25">
      <c r="A35" s="4">
        <v>45597</v>
      </c>
      <c r="B35" s="5">
        <f>IF('Catalogo de Variaveis'!S40="","",SUM('Catalogo de Variaveis'!S37:S40))</f>
        <v>8</v>
      </c>
      <c r="C35" s="15">
        <f>IFERROR(IF($B35="","",AVERAGE('Catalogo de Variaveis'!S40-'Catalogo de Variaveis'!S39,'Catalogo de Variaveis'!S39-'Catalogo de Variaveis'!S38,'Catalogo de Variaveis'!S38-'Catalogo de Variaveis'!S37,'Catalogo de Variaveis'!S37-'Catalogo de Variaveis'!S36)),0)</f>
        <v>-0.5</v>
      </c>
      <c r="D35" s="13">
        <f t="shared" si="0"/>
        <v>-5.1383866155474749</v>
      </c>
      <c r="E35" s="10">
        <f t="shared" si="14"/>
        <v>1.6972159405122103</v>
      </c>
      <c r="F35" s="10">
        <f t="shared" si="15"/>
        <v>8.5328184965718954</v>
      </c>
      <c r="G35" s="10">
        <f t="shared" si="3"/>
        <v>15.368421052631579</v>
      </c>
      <c r="H35" s="10">
        <f t="shared" si="16"/>
        <v>22.204023608691262</v>
      </c>
      <c r="I35" s="10">
        <f t="shared" si="5"/>
        <v>29.039626164750949</v>
      </c>
      <c r="J35" s="14">
        <f t="shared" si="17"/>
        <v>35.875228720810632</v>
      </c>
      <c r="K35" s="13">
        <f t="shared" si="7"/>
        <v>-2.5194179197345665</v>
      </c>
      <c r="L35" s="10">
        <f t="shared" si="8"/>
        <v>-1.6752259815774304</v>
      </c>
      <c r="M35" s="10">
        <f t="shared" si="9"/>
        <v>-0.83103404342029408</v>
      </c>
      <c r="N35" s="10">
        <f t="shared" si="10"/>
        <v>1.3157894736842105E-2</v>
      </c>
      <c r="O35" s="10">
        <f t="shared" si="11"/>
        <v>0.85734983289397837</v>
      </c>
      <c r="P35" s="10">
        <f t="shared" si="12"/>
        <v>1.7015417710511145</v>
      </c>
      <c r="Q35" s="14">
        <f t="shared" si="13"/>
        <v>2.5457337092082506</v>
      </c>
    </row>
    <row r="36" spans="1:17" x14ac:dyDescent="0.25">
      <c r="A36" s="4">
        <v>45627</v>
      </c>
      <c r="B36" s="5">
        <f>IF('Catalogo de Variaveis'!S41="","",SUM('Catalogo de Variaveis'!S38:S41))</f>
        <v>5</v>
      </c>
      <c r="C36" s="15">
        <f>IFERROR(IF($B36="","",AVERAGE('Catalogo de Variaveis'!S41-'Catalogo de Variaveis'!S40,'Catalogo de Variaveis'!S40-'Catalogo de Variaveis'!S39,'Catalogo de Variaveis'!S39-'Catalogo de Variaveis'!S38,'Catalogo de Variaveis'!S38-'Catalogo de Variaveis'!S37)),0)</f>
        <v>-0.75</v>
      </c>
      <c r="D36" s="13">
        <f t="shared" si="0"/>
        <v>-5.1383866155474749</v>
      </c>
      <c r="E36" s="10">
        <f t="shared" si="14"/>
        <v>1.6972159405122103</v>
      </c>
      <c r="F36" s="10">
        <f t="shared" si="15"/>
        <v>8.5328184965718954</v>
      </c>
      <c r="G36" s="10">
        <f t="shared" si="3"/>
        <v>15.368421052631579</v>
      </c>
      <c r="H36" s="10">
        <f t="shared" si="16"/>
        <v>22.204023608691262</v>
      </c>
      <c r="I36" s="10">
        <f t="shared" si="5"/>
        <v>29.039626164750949</v>
      </c>
      <c r="J36" s="14">
        <f t="shared" si="17"/>
        <v>35.875228720810632</v>
      </c>
      <c r="K36" s="13">
        <f t="shared" si="7"/>
        <v>-2.5194179197345665</v>
      </c>
      <c r="L36" s="10">
        <f t="shared" si="8"/>
        <v>-1.6752259815774304</v>
      </c>
      <c r="M36" s="10">
        <f t="shared" si="9"/>
        <v>-0.83103404342029408</v>
      </c>
      <c r="N36" s="10">
        <f t="shared" si="10"/>
        <v>1.3157894736842105E-2</v>
      </c>
      <c r="O36" s="10">
        <f t="shared" si="11"/>
        <v>0.85734983289397837</v>
      </c>
      <c r="P36" s="10">
        <f t="shared" si="12"/>
        <v>1.7015417710511145</v>
      </c>
      <c r="Q36" s="14">
        <f t="shared" si="13"/>
        <v>2.5457337092082506</v>
      </c>
    </row>
    <row r="37" spans="1:17" x14ac:dyDescent="0.25">
      <c r="A37" s="4">
        <v>45658</v>
      </c>
      <c r="B37" s="5">
        <f>IF('Catalogo de Variaveis'!S42="","",SUM('Catalogo de Variaveis'!S39:S42))</f>
        <v>11</v>
      </c>
      <c r="C37" s="15">
        <f>IFERROR(IF($B37="","",AVERAGE('Catalogo de Variaveis'!S42-'Catalogo de Variaveis'!S41,'Catalogo de Variaveis'!S41-'Catalogo de Variaveis'!S40,'Catalogo de Variaveis'!S40-'Catalogo de Variaveis'!S39,'Catalogo de Variaveis'!S39-'Catalogo de Variaveis'!S38)),0)</f>
        <v>1.5</v>
      </c>
      <c r="D37" s="13">
        <f t="shared" si="0"/>
        <v>-5.1383866155474749</v>
      </c>
      <c r="E37" s="10">
        <f t="shared" si="14"/>
        <v>1.6972159405122103</v>
      </c>
      <c r="F37" s="10">
        <f t="shared" si="15"/>
        <v>8.5328184965718954</v>
      </c>
      <c r="G37" s="10">
        <f t="shared" si="3"/>
        <v>15.368421052631579</v>
      </c>
      <c r="H37" s="10">
        <f t="shared" si="16"/>
        <v>22.204023608691262</v>
      </c>
      <c r="I37" s="10">
        <f t="shared" si="5"/>
        <v>29.039626164750949</v>
      </c>
      <c r="J37" s="14">
        <f t="shared" si="17"/>
        <v>35.875228720810632</v>
      </c>
      <c r="K37" s="13">
        <f t="shared" si="7"/>
        <v>-2.5194179197345665</v>
      </c>
      <c r="L37" s="10">
        <f t="shared" si="8"/>
        <v>-1.6752259815774304</v>
      </c>
      <c r="M37" s="10">
        <f t="shared" si="9"/>
        <v>-0.83103404342029408</v>
      </c>
      <c r="N37" s="10">
        <f t="shared" si="10"/>
        <v>1.3157894736842105E-2</v>
      </c>
      <c r="O37" s="10">
        <f t="shared" si="11"/>
        <v>0.85734983289397837</v>
      </c>
      <c r="P37" s="10">
        <f t="shared" si="12"/>
        <v>1.7015417710511145</v>
      </c>
      <c r="Q37" s="14">
        <f t="shared" si="13"/>
        <v>2.5457337092082506</v>
      </c>
    </row>
    <row r="38" spans="1:17" x14ac:dyDescent="0.25">
      <c r="A38" s="4">
        <v>45689</v>
      </c>
      <c r="B38" s="5">
        <f>IF('Catalogo de Variaveis'!S43="","",SUM('Catalogo de Variaveis'!S40:S43))</f>
        <v>14</v>
      </c>
      <c r="C38" s="15">
        <f>IFERROR(IF($B38="","",AVERAGE('Catalogo de Variaveis'!S43-'Catalogo de Variaveis'!S42,'Catalogo de Variaveis'!S42-'Catalogo de Variaveis'!S41,'Catalogo de Variaveis'!S41-'Catalogo de Variaveis'!S40,'Catalogo de Variaveis'!S40-'Catalogo de Variaveis'!S39)),0)</f>
        <v>0.75</v>
      </c>
      <c r="D38" s="13">
        <f t="shared" si="0"/>
        <v>-5.1383866155474749</v>
      </c>
      <c r="E38" s="10">
        <f t="shared" si="14"/>
        <v>1.6972159405122103</v>
      </c>
      <c r="F38" s="10">
        <f t="shared" si="15"/>
        <v>8.5328184965718954</v>
      </c>
      <c r="G38" s="10">
        <f t="shared" si="3"/>
        <v>15.368421052631579</v>
      </c>
      <c r="H38" s="10">
        <f t="shared" si="16"/>
        <v>22.204023608691262</v>
      </c>
      <c r="I38" s="10">
        <f t="shared" si="5"/>
        <v>29.039626164750949</v>
      </c>
      <c r="J38" s="14">
        <f t="shared" si="17"/>
        <v>35.875228720810632</v>
      </c>
      <c r="K38" s="13">
        <f t="shared" si="7"/>
        <v>-2.5194179197345665</v>
      </c>
      <c r="L38" s="10">
        <f t="shared" si="8"/>
        <v>-1.6752259815774304</v>
      </c>
      <c r="M38" s="10">
        <f t="shared" si="9"/>
        <v>-0.83103404342029408</v>
      </c>
      <c r="N38" s="10">
        <f t="shared" si="10"/>
        <v>1.3157894736842105E-2</v>
      </c>
      <c r="O38" s="10">
        <f t="shared" si="11"/>
        <v>0.85734983289397837</v>
      </c>
      <c r="P38" s="10">
        <f t="shared" si="12"/>
        <v>1.7015417710511145</v>
      </c>
      <c r="Q38" s="14">
        <f t="shared" si="13"/>
        <v>2.5457337092082506</v>
      </c>
    </row>
    <row r="39" spans="1:17" x14ac:dyDescent="0.25">
      <c r="A39" s="4">
        <v>45717</v>
      </c>
      <c r="B39" s="5">
        <f>IF('Catalogo de Variaveis'!S44="","",SUM('Catalogo de Variaveis'!S41:S44))</f>
        <v>15</v>
      </c>
      <c r="C39" s="15">
        <f>IFERROR(IF($B39="","",AVERAGE('Catalogo de Variaveis'!S44-'Catalogo de Variaveis'!S43,'Catalogo de Variaveis'!S43-'Catalogo de Variaveis'!S42,'Catalogo de Variaveis'!S42-'Catalogo de Variaveis'!S41,'Catalogo de Variaveis'!S41-'Catalogo de Variaveis'!S40)),0)</f>
        <v>0.25</v>
      </c>
      <c r="D39" s="13">
        <f t="shared" si="0"/>
        <v>-5.1383866155474749</v>
      </c>
      <c r="E39" s="10">
        <f t="shared" si="14"/>
        <v>1.6972159405122103</v>
      </c>
      <c r="F39" s="10">
        <f t="shared" si="15"/>
        <v>8.5328184965718954</v>
      </c>
      <c r="G39" s="10">
        <f t="shared" si="3"/>
        <v>15.368421052631579</v>
      </c>
      <c r="H39" s="10">
        <f t="shared" si="16"/>
        <v>22.204023608691262</v>
      </c>
      <c r="I39" s="10">
        <f t="shared" si="5"/>
        <v>29.039626164750949</v>
      </c>
      <c r="J39" s="14">
        <f t="shared" si="17"/>
        <v>35.875228720810632</v>
      </c>
      <c r="K39" s="13">
        <f t="shared" si="7"/>
        <v>-2.5194179197345665</v>
      </c>
      <c r="L39" s="10">
        <f t="shared" si="8"/>
        <v>-1.6752259815774304</v>
      </c>
      <c r="M39" s="10">
        <f t="shared" si="9"/>
        <v>-0.83103404342029408</v>
      </c>
      <c r="N39" s="10">
        <f t="shared" si="10"/>
        <v>1.3157894736842105E-2</v>
      </c>
      <c r="O39" s="10">
        <f t="shared" si="11"/>
        <v>0.85734983289397837</v>
      </c>
      <c r="P39" s="10">
        <f t="shared" si="12"/>
        <v>1.7015417710511145</v>
      </c>
      <c r="Q39" s="14">
        <f t="shared" si="13"/>
        <v>2.5457337092082506</v>
      </c>
    </row>
    <row r="40" spans="1:17" x14ac:dyDescent="0.25">
      <c r="A40" s="4">
        <v>45748</v>
      </c>
      <c r="B40" s="5">
        <f>IF('Catalogo de Variaveis'!S45="","",SUM('Catalogo de Variaveis'!S42:S45))</f>
        <v>18</v>
      </c>
      <c r="C40" s="15">
        <f>IFERROR(IF($B40="","",AVERAGE('Catalogo de Variaveis'!S45-'Catalogo de Variaveis'!S44,'Catalogo de Variaveis'!S44-'Catalogo de Variaveis'!S43,'Catalogo de Variaveis'!S43-'Catalogo de Variaveis'!S42,'Catalogo de Variaveis'!S42-'Catalogo de Variaveis'!S41)),0)</f>
        <v>0.75</v>
      </c>
      <c r="D40" s="13">
        <f t="shared" si="0"/>
        <v>-5.1383866155474749</v>
      </c>
      <c r="E40" s="10">
        <f t="shared" si="14"/>
        <v>1.6972159405122103</v>
      </c>
      <c r="F40" s="10">
        <f t="shared" si="15"/>
        <v>8.5328184965718954</v>
      </c>
      <c r="G40" s="10">
        <f t="shared" si="3"/>
        <v>15.368421052631579</v>
      </c>
      <c r="H40" s="10">
        <f t="shared" si="16"/>
        <v>22.204023608691262</v>
      </c>
      <c r="I40" s="10">
        <f t="shared" si="5"/>
        <v>29.039626164750949</v>
      </c>
      <c r="J40" s="14">
        <f t="shared" si="17"/>
        <v>35.875228720810632</v>
      </c>
      <c r="K40" s="13">
        <f t="shared" si="7"/>
        <v>-2.5194179197345665</v>
      </c>
      <c r="L40" s="10">
        <f t="shared" si="8"/>
        <v>-1.6752259815774304</v>
      </c>
      <c r="M40" s="10">
        <f t="shared" si="9"/>
        <v>-0.83103404342029408</v>
      </c>
      <c r="N40" s="10">
        <f t="shared" si="10"/>
        <v>1.3157894736842105E-2</v>
      </c>
      <c r="O40" s="10">
        <f t="shared" si="11"/>
        <v>0.85734983289397837</v>
      </c>
      <c r="P40" s="10">
        <f t="shared" si="12"/>
        <v>1.7015417710511145</v>
      </c>
      <c r="Q40" s="14">
        <f t="shared" si="13"/>
        <v>2.5457337092082506</v>
      </c>
    </row>
    <row r="41" spans="1:17" x14ac:dyDescent="0.25">
      <c r="A41" s="4">
        <v>45778</v>
      </c>
      <c r="B41" s="5">
        <f>IF('Catalogo de Variaveis'!S46="","",SUM('Catalogo de Variaveis'!S43:S46))</f>
        <v>12</v>
      </c>
      <c r="C41" s="15">
        <f>IFERROR(IF($B41="","",AVERAGE('Catalogo de Variaveis'!S46-'Catalogo de Variaveis'!S45,'Catalogo de Variaveis'!S45-'Catalogo de Variaveis'!S44,'Catalogo de Variaveis'!S44-'Catalogo de Variaveis'!S43,'Catalogo de Variaveis'!S43-'Catalogo de Variaveis'!S42)),0)</f>
        <v>-1.5</v>
      </c>
      <c r="D41" s="13">
        <f t="shared" si="0"/>
        <v>-5.1383866155474749</v>
      </c>
      <c r="E41" s="10">
        <f t="shared" si="14"/>
        <v>1.6972159405122103</v>
      </c>
      <c r="F41" s="10">
        <f t="shared" si="15"/>
        <v>8.5328184965718954</v>
      </c>
      <c r="G41" s="10">
        <f t="shared" si="3"/>
        <v>15.368421052631579</v>
      </c>
      <c r="H41" s="10">
        <f t="shared" si="16"/>
        <v>22.204023608691262</v>
      </c>
      <c r="I41" s="10">
        <f t="shared" si="5"/>
        <v>29.039626164750949</v>
      </c>
      <c r="J41" s="14">
        <f t="shared" si="17"/>
        <v>35.875228720810632</v>
      </c>
      <c r="K41" s="13">
        <f t="shared" si="7"/>
        <v>-2.5194179197345665</v>
      </c>
      <c r="L41" s="10">
        <f t="shared" si="8"/>
        <v>-1.6752259815774304</v>
      </c>
      <c r="M41" s="10">
        <f t="shared" si="9"/>
        <v>-0.83103404342029408</v>
      </c>
      <c r="N41" s="10">
        <f t="shared" si="10"/>
        <v>1.3157894736842105E-2</v>
      </c>
      <c r="O41" s="10">
        <f t="shared" si="11"/>
        <v>0.85734983289397837</v>
      </c>
      <c r="P41" s="10">
        <f t="shared" si="12"/>
        <v>1.7015417710511145</v>
      </c>
      <c r="Q41" s="14">
        <f t="shared" si="13"/>
        <v>2.5457337092082506</v>
      </c>
    </row>
    <row r="42" spans="1:17" x14ac:dyDescent="0.25">
      <c r="A42" s="4">
        <v>45809</v>
      </c>
      <c r="B42" s="5">
        <f>IF('Catalogo de Variaveis'!S47="","",SUM('Catalogo de Variaveis'!S44:S47))</f>
        <v>9</v>
      </c>
      <c r="C42" s="15">
        <f>IFERROR(IF($B42="","",AVERAGE('Catalogo de Variaveis'!S47-'Catalogo de Variaveis'!S46,'Catalogo de Variaveis'!S46-'Catalogo de Variaveis'!S45,'Catalogo de Variaveis'!S45-'Catalogo de Variaveis'!S44,'Catalogo de Variaveis'!S44-'Catalogo de Variaveis'!S43)),0)</f>
        <v>-0.75</v>
      </c>
      <c r="D42" s="13">
        <f t="shared" si="0"/>
        <v>-5.1383866155474749</v>
      </c>
      <c r="E42" s="10">
        <f t="shared" si="14"/>
        <v>1.6972159405122103</v>
      </c>
      <c r="F42" s="10">
        <f t="shared" si="15"/>
        <v>8.5328184965718954</v>
      </c>
      <c r="G42" s="10">
        <f t="shared" si="3"/>
        <v>15.368421052631579</v>
      </c>
      <c r="H42" s="10">
        <f t="shared" si="16"/>
        <v>22.204023608691262</v>
      </c>
      <c r="I42" s="10">
        <f t="shared" si="5"/>
        <v>29.039626164750949</v>
      </c>
      <c r="J42" s="14">
        <f t="shared" si="17"/>
        <v>35.875228720810632</v>
      </c>
      <c r="K42" s="13">
        <f t="shared" si="7"/>
        <v>-2.5194179197345665</v>
      </c>
      <c r="L42" s="10">
        <f t="shared" si="8"/>
        <v>-1.6752259815774304</v>
      </c>
      <c r="M42" s="10">
        <f t="shared" si="9"/>
        <v>-0.83103404342029408</v>
      </c>
      <c r="N42" s="10">
        <f t="shared" si="10"/>
        <v>1.3157894736842105E-2</v>
      </c>
      <c r="O42" s="10">
        <f t="shared" si="11"/>
        <v>0.85734983289397837</v>
      </c>
      <c r="P42" s="10">
        <f t="shared" si="12"/>
        <v>1.7015417710511145</v>
      </c>
      <c r="Q42" s="14">
        <f t="shared" si="13"/>
        <v>2.5457337092082506</v>
      </c>
    </row>
    <row r="43" spans="1:17" x14ac:dyDescent="0.25">
      <c r="A43" s="4">
        <v>45839</v>
      </c>
      <c r="B43" s="5">
        <f>IF('Catalogo de Variaveis'!S48="","",SUM('Catalogo de Variaveis'!S45:S48))</f>
        <v>9</v>
      </c>
      <c r="C43" s="15">
        <f>IFERROR(IF($B43="","",AVERAGE('Catalogo de Variaveis'!S48-'Catalogo de Variaveis'!S47,'Catalogo de Variaveis'!S47-'Catalogo de Variaveis'!S46,'Catalogo de Variaveis'!S46-'Catalogo de Variaveis'!S45,'Catalogo de Variaveis'!S45-'Catalogo de Variaveis'!S44)),0)</f>
        <v>0</v>
      </c>
      <c r="D43" s="13">
        <f t="shared" si="0"/>
        <v>-5.1383866155474749</v>
      </c>
      <c r="E43" s="10">
        <f t="shared" si="14"/>
        <v>1.6972159405122103</v>
      </c>
      <c r="F43" s="10">
        <f t="shared" si="15"/>
        <v>8.5328184965718954</v>
      </c>
      <c r="G43" s="10">
        <f t="shared" si="3"/>
        <v>15.368421052631579</v>
      </c>
      <c r="H43" s="10">
        <f t="shared" si="16"/>
        <v>22.204023608691262</v>
      </c>
      <c r="I43" s="10">
        <f t="shared" si="5"/>
        <v>29.039626164750949</v>
      </c>
      <c r="J43" s="14">
        <f t="shared" si="17"/>
        <v>35.875228720810632</v>
      </c>
      <c r="K43" s="13">
        <f t="shared" si="7"/>
        <v>-2.5194179197345665</v>
      </c>
      <c r="L43" s="10">
        <f t="shared" si="8"/>
        <v>-1.6752259815774304</v>
      </c>
      <c r="M43" s="10">
        <f t="shared" si="9"/>
        <v>-0.83103404342029408</v>
      </c>
      <c r="N43" s="10">
        <f t="shared" si="10"/>
        <v>1.3157894736842105E-2</v>
      </c>
      <c r="O43" s="10">
        <f t="shared" si="11"/>
        <v>0.85734983289397837</v>
      </c>
      <c r="P43" s="10">
        <f t="shared" si="12"/>
        <v>1.7015417710511145</v>
      </c>
      <c r="Q43" s="14">
        <f t="shared" si="13"/>
        <v>2.5457337092082506</v>
      </c>
    </row>
    <row r="44" spans="1:17" x14ac:dyDescent="0.25">
      <c r="A44" s="4">
        <v>45870</v>
      </c>
      <c r="B44" s="5">
        <f>IF('Catalogo de Variaveis'!S49="","",SUM('Catalogo de Variaveis'!S46:S49))</f>
        <v>6</v>
      </c>
      <c r="C44" s="15">
        <f>IFERROR(IF($B44="","",AVERAGE('Catalogo de Variaveis'!S49-'Catalogo de Variaveis'!S48,'Catalogo de Variaveis'!S48-'Catalogo de Variaveis'!S47,'Catalogo de Variaveis'!S47-'Catalogo de Variaveis'!S46,'Catalogo de Variaveis'!S46-'Catalogo de Variaveis'!S45)),0)</f>
        <v>-0.75</v>
      </c>
      <c r="D44" s="13">
        <f t="shared" si="0"/>
        <v>-5.1383866155474749</v>
      </c>
      <c r="E44" s="10">
        <f t="shared" si="14"/>
        <v>1.6972159405122103</v>
      </c>
      <c r="F44" s="10">
        <f t="shared" si="15"/>
        <v>8.5328184965718954</v>
      </c>
      <c r="G44" s="10">
        <f t="shared" si="3"/>
        <v>15.368421052631579</v>
      </c>
      <c r="H44" s="10">
        <f t="shared" si="16"/>
        <v>22.204023608691262</v>
      </c>
      <c r="I44" s="10">
        <f t="shared" si="5"/>
        <v>29.039626164750949</v>
      </c>
      <c r="J44" s="14">
        <f t="shared" si="17"/>
        <v>35.875228720810632</v>
      </c>
      <c r="K44" s="13">
        <f t="shared" si="7"/>
        <v>-2.5194179197345665</v>
      </c>
      <c r="L44" s="10">
        <f t="shared" si="8"/>
        <v>-1.6752259815774304</v>
      </c>
      <c r="M44" s="10">
        <f t="shared" si="9"/>
        <v>-0.83103404342029408</v>
      </c>
      <c r="N44" s="10">
        <f t="shared" si="10"/>
        <v>1.3157894736842105E-2</v>
      </c>
      <c r="O44" s="10">
        <f t="shared" si="11"/>
        <v>0.85734983289397837</v>
      </c>
      <c r="P44" s="10">
        <f t="shared" si="12"/>
        <v>1.7015417710511145</v>
      </c>
      <c r="Q44" s="14">
        <f t="shared" si="13"/>
        <v>2.5457337092082506</v>
      </c>
    </row>
    <row r="45" spans="1:17" x14ac:dyDescent="0.25">
      <c r="A45" s="4">
        <v>45901</v>
      </c>
      <c r="B45" s="5">
        <f>IF('Catalogo de Variaveis'!S50="","",SUM('Catalogo de Variaveis'!S47:S50))</f>
        <v>3</v>
      </c>
      <c r="C45" s="15">
        <f>IFERROR(IF($B45="","",AVERAGE('Catalogo de Variaveis'!S50-'Catalogo de Variaveis'!S49,'Catalogo de Variaveis'!S49-'Catalogo de Variaveis'!S48,'Catalogo de Variaveis'!S48-'Catalogo de Variaveis'!S47,'Catalogo de Variaveis'!S47-'Catalogo de Variaveis'!S46)),0)</f>
        <v>-0.75</v>
      </c>
      <c r="D45" s="13">
        <f t="shared" si="0"/>
        <v>-5.1383866155474749</v>
      </c>
      <c r="E45" s="10">
        <f t="shared" si="14"/>
        <v>1.6972159405122103</v>
      </c>
      <c r="F45" s="10">
        <f t="shared" si="15"/>
        <v>8.5328184965718954</v>
      </c>
      <c r="G45" s="10">
        <f t="shared" si="3"/>
        <v>15.368421052631579</v>
      </c>
      <c r="H45" s="10">
        <f t="shared" si="16"/>
        <v>22.204023608691262</v>
      </c>
      <c r="I45" s="10">
        <f t="shared" si="5"/>
        <v>29.039626164750949</v>
      </c>
      <c r="J45" s="14">
        <f t="shared" si="17"/>
        <v>35.875228720810632</v>
      </c>
      <c r="K45" s="13">
        <f t="shared" si="7"/>
        <v>-2.5194179197345665</v>
      </c>
      <c r="L45" s="10">
        <f t="shared" si="8"/>
        <v>-1.6752259815774304</v>
      </c>
      <c r="M45" s="10">
        <f t="shared" si="9"/>
        <v>-0.83103404342029408</v>
      </c>
      <c r="N45" s="10">
        <f t="shared" si="10"/>
        <v>1.3157894736842105E-2</v>
      </c>
      <c r="O45" s="10">
        <f t="shared" si="11"/>
        <v>0.85734983289397837</v>
      </c>
      <c r="P45" s="10">
        <f t="shared" si="12"/>
        <v>1.7015417710511145</v>
      </c>
      <c r="Q45" s="14">
        <f t="shared" si="13"/>
        <v>2.5457337092082506</v>
      </c>
    </row>
    <row r="46" spans="1:17" x14ac:dyDescent="0.25">
      <c r="A46" s="4">
        <v>45931</v>
      </c>
      <c r="B46" s="5">
        <f>IF('Catalogo de Variaveis'!S51="","",SUM('Catalogo de Variaveis'!S48:S51))</f>
        <v>2</v>
      </c>
      <c r="C46" s="15">
        <f>IFERROR(IF($B46="","",AVERAGE('Catalogo de Variaveis'!S51-'Catalogo de Variaveis'!S50,'Catalogo de Variaveis'!S50-'Catalogo de Variaveis'!S49,'Catalogo de Variaveis'!S49-'Catalogo de Variaveis'!S48,'Catalogo de Variaveis'!S48-'Catalogo de Variaveis'!S47)),0)</f>
        <v>-0.25</v>
      </c>
      <c r="D46" s="13">
        <f t="shared" si="0"/>
        <v>-5.1383866155474749</v>
      </c>
      <c r="E46" s="10">
        <f t="shared" si="14"/>
        <v>1.6972159405122103</v>
      </c>
      <c r="F46" s="10">
        <f t="shared" si="15"/>
        <v>8.5328184965718954</v>
      </c>
      <c r="G46" s="10">
        <f t="shared" si="3"/>
        <v>15.368421052631579</v>
      </c>
      <c r="H46" s="10">
        <f t="shared" si="16"/>
        <v>22.204023608691262</v>
      </c>
      <c r="I46" s="10">
        <f t="shared" si="5"/>
        <v>29.039626164750949</v>
      </c>
      <c r="J46" s="14">
        <f t="shared" si="17"/>
        <v>35.875228720810632</v>
      </c>
      <c r="K46" s="13">
        <f t="shared" si="7"/>
        <v>-2.5194179197345665</v>
      </c>
      <c r="L46" s="10">
        <f t="shared" si="8"/>
        <v>-1.6752259815774304</v>
      </c>
      <c r="M46" s="10">
        <f t="shared" si="9"/>
        <v>-0.83103404342029408</v>
      </c>
      <c r="N46" s="10">
        <f t="shared" si="10"/>
        <v>1.3157894736842105E-2</v>
      </c>
      <c r="O46" s="10">
        <f t="shared" si="11"/>
        <v>0.85734983289397837</v>
      </c>
      <c r="P46" s="10">
        <f t="shared" si="12"/>
        <v>1.7015417710511145</v>
      </c>
      <c r="Q46" s="14">
        <f t="shared" si="13"/>
        <v>2.5457337092082506</v>
      </c>
    </row>
    <row r="47" spans="1:17" x14ac:dyDescent="0.25">
      <c r="A47" s="4">
        <v>45962</v>
      </c>
      <c r="B47" s="5" t="str">
        <f>IF('Catalogo de Variaveis'!S52="","",SUM('Catalogo de Variaveis'!S49:S52))</f>
        <v/>
      </c>
      <c r="C47" s="15" t="str">
        <f>IFERROR(IF($B47="","",AVERAGE('Catalogo de Variaveis'!S52-'Catalogo de Variaveis'!S51,'Catalogo de Variaveis'!S51-'Catalogo de Variaveis'!S50,'Catalogo de Variaveis'!S50-'Catalogo de Variaveis'!S49,'Catalogo de Variaveis'!S49-'Catalogo de Variaveis'!S48)),0)</f>
        <v/>
      </c>
      <c r="D47" s="13" t="str">
        <f t="shared" si="0"/>
        <v/>
      </c>
      <c r="E47" s="10" t="str">
        <f t="shared" si="14"/>
        <v/>
      </c>
      <c r="F47" s="10" t="str">
        <f t="shared" si="15"/>
        <v/>
      </c>
      <c r="G47" s="10" t="str">
        <f t="shared" si="3"/>
        <v/>
      </c>
      <c r="H47" s="10" t="str">
        <f t="shared" si="16"/>
        <v/>
      </c>
      <c r="I47" s="10" t="str">
        <f t="shared" si="5"/>
        <v/>
      </c>
      <c r="J47" s="14" t="str">
        <f t="shared" si="17"/>
        <v/>
      </c>
      <c r="K47" s="13" t="str">
        <f t="shared" si="7"/>
        <v/>
      </c>
      <c r="L47" s="10" t="str">
        <f t="shared" si="8"/>
        <v/>
      </c>
      <c r="M47" s="10" t="str">
        <f t="shared" si="9"/>
        <v/>
      </c>
      <c r="N47" s="10" t="str">
        <f t="shared" si="10"/>
        <v/>
      </c>
      <c r="O47" s="10" t="str">
        <f t="shared" si="11"/>
        <v/>
      </c>
      <c r="P47" s="10" t="str">
        <f t="shared" si="12"/>
        <v/>
      </c>
      <c r="Q47" s="14" t="str">
        <f t="shared" si="13"/>
        <v/>
      </c>
    </row>
    <row r="48" spans="1:17" x14ac:dyDescent="0.25">
      <c r="A48" s="4">
        <v>45992</v>
      </c>
      <c r="B48" s="5" t="str">
        <f>IF('Catalogo de Variaveis'!S53="","",SUM('Catalogo de Variaveis'!S50:S53))</f>
        <v/>
      </c>
      <c r="C48" s="15" t="str">
        <f>IFERROR(IF($B48="","",AVERAGE('Catalogo de Variaveis'!S53-'Catalogo de Variaveis'!S52,'Catalogo de Variaveis'!S52-'Catalogo de Variaveis'!S51,'Catalogo de Variaveis'!S51-'Catalogo de Variaveis'!S50,'Catalogo de Variaveis'!S50-'Catalogo de Variaveis'!S49)),0)</f>
        <v/>
      </c>
      <c r="D48" s="13" t="str">
        <f t="shared" si="0"/>
        <v/>
      </c>
      <c r="E48" s="10" t="str">
        <f t="shared" si="14"/>
        <v/>
      </c>
      <c r="F48" s="10" t="str">
        <f t="shared" si="15"/>
        <v/>
      </c>
      <c r="G48" s="10" t="str">
        <f t="shared" si="3"/>
        <v/>
      </c>
      <c r="H48" s="10" t="str">
        <f t="shared" si="16"/>
        <v/>
      </c>
      <c r="I48" s="10" t="str">
        <f t="shared" si="5"/>
        <v/>
      </c>
      <c r="J48" s="14" t="str">
        <f t="shared" si="17"/>
        <v/>
      </c>
      <c r="K48" s="13" t="str">
        <f t="shared" si="7"/>
        <v/>
      </c>
      <c r="L48" s="10" t="str">
        <f t="shared" si="8"/>
        <v/>
      </c>
      <c r="M48" s="10" t="str">
        <f t="shared" si="9"/>
        <v/>
      </c>
      <c r="N48" s="10" t="str">
        <f t="shared" si="10"/>
        <v/>
      </c>
      <c r="O48" s="10" t="str">
        <f t="shared" si="11"/>
        <v/>
      </c>
      <c r="P48" s="10" t="str">
        <f t="shared" si="12"/>
        <v/>
      </c>
      <c r="Q48" s="14" t="str">
        <f t="shared" si="13"/>
        <v/>
      </c>
    </row>
    <row r="49" spans="1:17" x14ac:dyDescent="0.25">
      <c r="A49" s="4">
        <v>46023</v>
      </c>
      <c r="B49" s="5" t="str">
        <f>IF('Catalogo de Variaveis'!S54="","",SUM('Catalogo de Variaveis'!S51:S54))</f>
        <v/>
      </c>
      <c r="C49" s="15" t="str">
        <f>IFERROR(IF($B49="","",AVERAGE('Catalogo de Variaveis'!S54-'Catalogo de Variaveis'!S53,'Catalogo de Variaveis'!S53-'Catalogo de Variaveis'!S52,'Catalogo de Variaveis'!S52-'Catalogo de Variaveis'!S51,'Catalogo de Variaveis'!S51-'Catalogo de Variaveis'!S50)),0)</f>
        <v/>
      </c>
      <c r="D49" s="13" t="str">
        <f t="shared" si="0"/>
        <v/>
      </c>
      <c r="E49" s="10" t="str">
        <f t="shared" si="14"/>
        <v/>
      </c>
      <c r="F49" s="10" t="str">
        <f t="shared" si="15"/>
        <v/>
      </c>
      <c r="G49" s="10" t="str">
        <f t="shared" si="3"/>
        <v/>
      </c>
      <c r="H49" s="10" t="str">
        <f t="shared" si="16"/>
        <v/>
      </c>
      <c r="I49" s="10" t="str">
        <f t="shared" si="5"/>
        <v/>
      </c>
      <c r="J49" s="14" t="str">
        <f t="shared" si="17"/>
        <v/>
      </c>
      <c r="K49" s="13" t="str">
        <f t="shared" si="7"/>
        <v/>
      </c>
      <c r="L49" s="10" t="str">
        <f t="shared" si="8"/>
        <v/>
      </c>
      <c r="M49" s="10" t="str">
        <f t="shared" si="9"/>
        <v/>
      </c>
      <c r="N49" s="10" t="str">
        <f t="shared" si="10"/>
        <v/>
      </c>
      <c r="O49" s="10" t="str">
        <f t="shared" si="11"/>
        <v/>
      </c>
      <c r="P49" s="10" t="str">
        <f t="shared" si="12"/>
        <v/>
      </c>
      <c r="Q49" s="14" t="str">
        <f t="shared" si="13"/>
        <v/>
      </c>
    </row>
    <row r="50" spans="1:17" x14ac:dyDescent="0.25">
      <c r="A50" s="4">
        <v>46054</v>
      </c>
      <c r="B50" s="5" t="str">
        <f>IF('Catalogo de Variaveis'!S55="","",SUM('Catalogo de Variaveis'!S52:S55))</f>
        <v/>
      </c>
      <c r="C50" s="15" t="str">
        <f>IFERROR(IF($B50="","",AVERAGE('Catalogo de Variaveis'!S55-'Catalogo de Variaveis'!S54,'Catalogo de Variaveis'!S54-'Catalogo de Variaveis'!S53,'Catalogo de Variaveis'!S53-'Catalogo de Variaveis'!S52,'Catalogo de Variaveis'!S52-'Catalogo de Variaveis'!S51)),0)</f>
        <v/>
      </c>
      <c r="D50" s="13" t="str">
        <f t="shared" si="0"/>
        <v/>
      </c>
      <c r="E50" s="10" t="str">
        <f t="shared" si="14"/>
        <v/>
      </c>
      <c r="F50" s="10" t="str">
        <f t="shared" si="15"/>
        <v/>
      </c>
      <c r="G50" s="10" t="str">
        <f t="shared" si="3"/>
        <v/>
      </c>
      <c r="H50" s="10" t="str">
        <f t="shared" si="16"/>
        <v/>
      </c>
      <c r="I50" s="10" t="str">
        <f t="shared" si="5"/>
        <v/>
      </c>
      <c r="J50" s="14" t="str">
        <f t="shared" si="17"/>
        <v/>
      </c>
      <c r="K50" s="13" t="str">
        <f t="shared" si="7"/>
        <v/>
      </c>
      <c r="L50" s="10" t="str">
        <f t="shared" si="8"/>
        <v/>
      </c>
      <c r="M50" s="10" t="str">
        <f t="shared" si="9"/>
        <v/>
      </c>
      <c r="N50" s="10" t="str">
        <f t="shared" si="10"/>
        <v/>
      </c>
      <c r="O50" s="10" t="str">
        <f t="shared" si="11"/>
        <v/>
      </c>
      <c r="P50" s="10" t="str">
        <f t="shared" si="12"/>
        <v/>
      </c>
      <c r="Q50" s="14" t="str">
        <f t="shared" si="13"/>
        <v/>
      </c>
    </row>
    <row r="51" spans="1:17" x14ac:dyDescent="0.25">
      <c r="A51" s="4">
        <v>46082</v>
      </c>
      <c r="B51" s="5" t="str">
        <f>IF('Catalogo de Variaveis'!S56="","",SUM('Catalogo de Variaveis'!S53:S56))</f>
        <v/>
      </c>
      <c r="C51" s="15" t="str">
        <f>IFERROR(IF($B51="","",AVERAGE('Catalogo de Variaveis'!S56-'Catalogo de Variaveis'!S55,'Catalogo de Variaveis'!S55-'Catalogo de Variaveis'!S54,'Catalogo de Variaveis'!S54-'Catalogo de Variaveis'!S53,'Catalogo de Variaveis'!S53-'Catalogo de Variaveis'!S52)),0)</f>
        <v/>
      </c>
      <c r="D51" s="13" t="str">
        <f t="shared" si="0"/>
        <v/>
      </c>
      <c r="E51" s="10" t="str">
        <f t="shared" si="14"/>
        <v/>
      </c>
      <c r="F51" s="10" t="str">
        <f t="shared" si="15"/>
        <v/>
      </c>
      <c r="G51" s="10" t="str">
        <f t="shared" si="3"/>
        <v/>
      </c>
      <c r="H51" s="10" t="str">
        <f t="shared" si="16"/>
        <v/>
      </c>
      <c r="I51" s="10" t="str">
        <f t="shared" si="5"/>
        <v/>
      </c>
      <c r="J51" s="14" t="str">
        <f t="shared" si="17"/>
        <v/>
      </c>
      <c r="K51" s="13" t="str">
        <f t="shared" si="7"/>
        <v/>
      </c>
      <c r="L51" s="10" t="str">
        <f t="shared" si="8"/>
        <v/>
      </c>
      <c r="M51" s="10" t="str">
        <f t="shared" si="9"/>
        <v/>
      </c>
      <c r="N51" s="10" t="str">
        <f t="shared" si="10"/>
        <v/>
      </c>
      <c r="O51" s="10" t="str">
        <f t="shared" si="11"/>
        <v/>
      </c>
      <c r="P51" s="10" t="str">
        <f t="shared" si="12"/>
        <v/>
      </c>
      <c r="Q51" s="14" t="str">
        <f t="shared" si="13"/>
        <v/>
      </c>
    </row>
    <row r="52" spans="1:17" x14ac:dyDescent="0.25">
      <c r="A52" s="4">
        <v>46113</v>
      </c>
      <c r="B52" s="5" t="str">
        <f>IF('Catalogo de Variaveis'!S57="","",SUM('Catalogo de Variaveis'!S54:S57))</f>
        <v/>
      </c>
      <c r="C52" s="15" t="str">
        <f>IFERROR(IF($B52="","",AVERAGE('Catalogo de Variaveis'!S57-'Catalogo de Variaveis'!S56,'Catalogo de Variaveis'!S56-'Catalogo de Variaveis'!S55,'Catalogo de Variaveis'!S55-'Catalogo de Variaveis'!S54,'Catalogo de Variaveis'!S54-'Catalogo de Variaveis'!S53)),0)</f>
        <v/>
      </c>
      <c r="D52" s="13" t="str">
        <f t="shared" si="0"/>
        <v/>
      </c>
      <c r="E52" s="10" t="str">
        <f t="shared" si="14"/>
        <v/>
      </c>
      <c r="F52" s="10" t="str">
        <f t="shared" si="15"/>
        <v/>
      </c>
      <c r="G52" s="10" t="str">
        <f t="shared" si="3"/>
        <v/>
      </c>
      <c r="H52" s="10" t="str">
        <f t="shared" si="16"/>
        <v/>
      </c>
      <c r="I52" s="10" t="str">
        <f t="shared" si="5"/>
        <v/>
      </c>
      <c r="J52" s="14" t="str">
        <f t="shared" si="17"/>
        <v/>
      </c>
      <c r="K52" s="13" t="str">
        <f t="shared" si="7"/>
        <v/>
      </c>
      <c r="L52" s="10" t="str">
        <f t="shared" si="8"/>
        <v/>
      </c>
      <c r="M52" s="10" t="str">
        <f t="shared" si="9"/>
        <v/>
      </c>
      <c r="N52" s="10" t="str">
        <f t="shared" si="10"/>
        <v/>
      </c>
      <c r="O52" s="10" t="str">
        <f t="shared" si="11"/>
        <v/>
      </c>
      <c r="P52" s="10" t="str">
        <f t="shared" si="12"/>
        <v/>
      </c>
      <c r="Q52" s="14" t="str">
        <f t="shared" si="13"/>
        <v/>
      </c>
    </row>
    <row r="53" spans="1:17" x14ac:dyDescent="0.25">
      <c r="A53" s="4">
        <v>46143</v>
      </c>
      <c r="B53" s="5" t="str">
        <f>IF('Catalogo de Variaveis'!S58="","",SUM('Catalogo de Variaveis'!S55:S58))</f>
        <v/>
      </c>
      <c r="C53" s="15" t="str">
        <f>IFERROR(IF($B53="","",AVERAGE('Catalogo de Variaveis'!S58-'Catalogo de Variaveis'!S57,'Catalogo de Variaveis'!S57-'Catalogo de Variaveis'!S56,'Catalogo de Variaveis'!S56-'Catalogo de Variaveis'!S55,'Catalogo de Variaveis'!S55-'Catalogo de Variaveis'!S54)),0)</f>
        <v/>
      </c>
      <c r="D53" s="13" t="str">
        <f t="shared" si="0"/>
        <v/>
      </c>
      <c r="E53" s="10" t="str">
        <f t="shared" si="14"/>
        <v/>
      </c>
      <c r="F53" s="10" t="str">
        <f t="shared" si="15"/>
        <v/>
      </c>
      <c r="G53" s="10" t="str">
        <f t="shared" si="3"/>
        <v/>
      </c>
      <c r="H53" s="10" t="str">
        <f t="shared" si="16"/>
        <v/>
      </c>
      <c r="I53" s="10" t="str">
        <f t="shared" si="5"/>
        <v/>
      </c>
      <c r="J53" s="14" t="str">
        <f t="shared" si="17"/>
        <v/>
      </c>
      <c r="K53" s="13" t="str">
        <f t="shared" si="7"/>
        <v/>
      </c>
      <c r="L53" s="10" t="str">
        <f t="shared" si="8"/>
        <v/>
      </c>
      <c r="M53" s="10" t="str">
        <f t="shared" si="9"/>
        <v/>
      </c>
      <c r="N53" s="10" t="str">
        <f t="shared" si="10"/>
        <v/>
      </c>
      <c r="O53" s="10" t="str">
        <f t="shared" si="11"/>
        <v/>
      </c>
      <c r="P53" s="10" t="str">
        <f t="shared" si="12"/>
        <v/>
      </c>
      <c r="Q53" s="14" t="str">
        <f t="shared" si="13"/>
        <v/>
      </c>
    </row>
    <row r="54" spans="1:17" x14ac:dyDescent="0.25">
      <c r="A54" s="4">
        <v>46174</v>
      </c>
      <c r="B54" s="5" t="str">
        <f>IF('Catalogo de Variaveis'!S59="","",SUM('Catalogo de Variaveis'!S56:S59))</f>
        <v/>
      </c>
      <c r="C54" s="15" t="str">
        <f>IFERROR(IF($B54="","",AVERAGE('Catalogo de Variaveis'!S59-'Catalogo de Variaveis'!S58,'Catalogo de Variaveis'!S58-'Catalogo de Variaveis'!S57,'Catalogo de Variaveis'!S57-'Catalogo de Variaveis'!S56,'Catalogo de Variaveis'!S56-'Catalogo de Variaveis'!S55)),0)</f>
        <v/>
      </c>
      <c r="D54" s="13" t="str">
        <f t="shared" si="0"/>
        <v/>
      </c>
      <c r="E54" s="10" t="str">
        <f t="shared" si="14"/>
        <v/>
      </c>
      <c r="F54" s="10" t="str">
        <f t="shared" si="15"/>
        <v/>
      </c>
      <c r="G54" s="10" t="str">
        <f t="shared" si="3"/>
        <v/>
      </c>
      <c r="H54" s="10" t="str">
        <f t="shared" si="16"/>
        <v/>
      </c>
      <c r="I54" s="10" t="str">
        <f t="shared" si="5"/>
        <v/>
      </c>
      <c r="J54" s="14" t="str">
        <f t="shared" si="17"/>
        <v/>
      </c>
      <c r="K54" s="13" t="str">
        <f t="shared" si="7"/>
        <v/>
      </c>
      <c r="L54" s="10" t="str">
        <f t="shared" si="8"/>
        <v/>
      </c>
      <c r="M54" s="10" t="str">
        <f t="shared" si="9"/>
        <v/>
      </c>
      <c r="N54" s="10" t="str">
        <f t="shared" si="10"/>
        <v/>
      </c>
      <c r="O54" s="10" t="str">
        <f t="shared" si="11"/>
        <v/>
      </c>
      <c r="P54" s="10" t="str">
        <f t="shared" si="12"/>
        <v/>
      </c>
      <c r="Q54" s="14" t="str">
        <f t="shared" si="13"/>
        <v/>
      </c>
    </row>
    <row r="55" spans="1:17" x14ac:dyDescent="0.25">
      <c r="A55" s="4">
        <v>46204</v>
      </c>
      <c r="B55" s="5" t="str">
        <f>IF('Catalogo de Variaveis'!S60="","",SUM('Catalogo de Variaveis'!S57:S60))</f>
        <v/>
      </c>
      <c r="C55" s="15" t="str">
        <f>IFERROR(IF($B55="","",AVERAGE('Catalogo de Variaveis'!S60-'Catalogo de Variaveis'!S59,'Catalogo de Variaveis'!S59-'Catalogo de Variaveis'!S58,'Catalogo de Variaveis'!S58-'Catalogo de Variaveis'!S57,'Catalogo de Variaveis'!S57-'Catalogo de Variaveis'!S56)),0)</f>
        <v/>
      </c>
      <c r="D55" s="13" t="str">
        <f t="shared" si="0"/>
        <v/>
      </c>
      <c r="E55" s="10" t="str">
        <f t="shared" si="14"/>
        <v/>
      </c>
      <c r="F55" s="10" t="str">
        <f t="shared" si="15"/>
        <v/>
      </c>
      <c r="G55" s="10" t="str">
        <f t="shared" si="3"/>
        <v/>
      </c>
      <c r="H55" s="10" t="str">
        <f t="shared" si="16"/>
        <v/>
      </c>
      <c r="I55" s="10" t="str">
        <f t="shared" si="5"/>
        <v/>
      </c>
      <c r="J55" s="14" t="str">
        <f t="shared" si="17"/>
        <v/>
      </c>
      <c r="K55" s="13" t="str">
        <f t="shared" si="7"/>
        <v/>
      </c>
      <c r="L55" s="10" t="str">
        <f t="shared" si="8"/>
        <v/>
      </c>
      <c r="M55" s="10" t="str">
        <f t="shared" si="9"/>
        <v/>
      </c>
      <c r="N55" s="10" t="str">
        <f t="shared" si="10"/>
        <v/>
      </c>
      <c r="O55" s="10" t="str">
        <f t="shared" si="11"/>
        <v/>
      </c>
      <c r="P55" s="10" t="str">
        <f t="shared" si="12"/>
        <v/>
      </c>
      <c r="Q55" s="14" t="str">
        <f t="shared" si="13"/>
        <v/>
      </c>
    </row>
    <row r="56" spans="1:17" x14ac:dyDescent="0.25">
      <c r="A56" s="4">
        <v>46235</v>
      </c>
      <c r="B56" s="5" t="str">
        <f>IF('Catalogo de Variaveis'!S61="","",SUM('Catalogo de Variaveis'!S58:S61))</f>
        <v/>
      </c>
      <c r="C56" s="15" t="str">
        <f>IFERROR(IF($B56="","",AVERAGE('Catalogo de Variaveis'!S61-'Catalogo de Variaveis'!S60,'Catalogo de Variaveis'!S60-'Catalogo de Variaveis'!S59,'Catalogo de Variaveis'!S59-'Catalogo de Variaveis'!S58,'Catalogo de Variaveis'!S58-'Catalogo de Variaveis'!S57)),0)</f>
        <v/>
      </c>
      <c r="D56" s="13" t="str">
        <f t="shared" si="0"/>
        <v/>
      </c>
      <c r="E56" s="10" t="str">
        <f t="shared" si="14"/>
        <v/>
      </c>
      <c r="F56" s="10" t="str">
        <f t="shared" si="15"/>
        <v/>
      </c>
      <c r="G56" s="10" t="str">
        <f t="shared" si="3"/>
        <v/>
      </c>
      <c r="H56" s="10" t="str">
        <f t="shared" si="16"/>
        <v/>
      </c>
      <c r="I56" s="10" t="str">
        <f t="shared" si="5"/>
        <v/>
      </c>
      <c r="J56" s="14" t="str">
        <f t="shared" si="17"/>
        <v/>
      </c>
      <c r="K56" s="13" t="str">
        <f t="shared" si="7"/>
        <v/>
      </c>
      <c r="L56" s="10" t="str">
        <f t="shared" si="8"/>
        <v/>
      </c>
      <c r="M56" s="10" t="str">
        <f t="shared" si="9"/>
        <v/>
      </c>
      <c r="N56" s="10" t="str">
        <f t="shared" si="10"/>
        <v/>
      </c>
      <c r="O56" s="10" t="str">
        <f t="shared" si="11"/>
        <v/>
      </c>
      <c r="P56" s="10" t="str">
        <f t="shared" si="12"/>
        <v/>
      </c>
      <c r="Q56" s="14" t="str">
        <f t="shared" si="13"/>
        <v/>
      </c>
    </row>
    <row r="57" spans="1:17" x14ac:dyDescent="0.25">
      <c r="A57" s="4">
        <v>46266</v>
      </c>
      <c r="B57" s="5" t="str">
        <f>IF('Catalogo de Variaveis'!S62="","",SUM('Catalogo de Variaveis'!S59:S62))</f>
        <v/>
      </c>
      <c r="C57" s="15" t="str">
        <f>IFERROR(IF($B57="","",AVERAGE('Catalogo de Variaveis'!S62-'Catalogo de Variaveis'!S61,'Catalogo de Variaveis'!S61-'Catalogo de Variaveis'!S60,'Catalogo de Variaveis'!S60-'Catalogo de Variaveis'!S59,'Catalogo de Variaveis'!S59-'Catalogo de Variaveis'!S58)),0)</f>
        <v/>
      </c>
      <c r="D57" s="13" t="str">
        <f t="shared" si="0"/>
        <v/>
      </c>
      <c r="E57" s="10" t="str">
        <f t="shared" si="14"/>
        <v/>
      </c>
      <c r="F57" s="10" t="str">
        <f t="shared" si="15"/>
        <v/>
      </c>
      <c r="G57" s="10" t="str">
        <f t="shared" si="3"/>
        <v/>
      </c>
      <c r="H57" s="10" t="str">
        <f t="shared" si="16"/>
        <v/>
      </c>
      <c r="I57" s="10" t="str">
        <f t="shared" si="5"/>
        <v/>
      </c>
      <c r="J57" s="14" t="str">
        <f t="shared" si="17"/>
        <v/>
      </c>
      <c r="K57" s="13" t="str">
        <f t="shared" si="7"/>
        <v/>
      </c>
      <c r="L57" s="10" t="str">
        <f t="shared" si="8"/>
        <v/>
      </c>
      <c r="M57" s="10" t="str">
        <f t="shared" si="9"/>
        <v/>
      </c>
      <c r="N57" s="10" t="str">
        <f t="shared" si="10"/>
        <v/>
      </c>
      <c r="O57" s="10" t="str">
        <f t="shared" si="11"/>
        <v/>
      </c>
      <c r="P57" s="10" t="str">
        <f t="shared" si="12"/>
        <v/>
      </c>
      <c r="Q57" s="14" t="str">
        <f t="shared" si="13"/>
        <v/>
      </c>
    </row>
    <row r="58" spans="1:17" x14ac:dyDescent="0.25">
      <c r="A58" s="4">
        <v>46296</v>
      </c>
      <c r="B58" s="5" t="str">
        <f>IF('Catalogo de Variaveis'!S63="","",SUM('Catalogo de Variaveis'!S60:S63))</f>
        <v/>
      </c>
      <c r="C58" s="15" t="str">
        <f>IFERROR(IF($B58="","",AVERAGE('Catalogo de Variaveis'!S63-'Catalogo de Variaveis'!S62,'Catalogo de Variaveis'!S62-'Catalogo de Variaveis'!S61,'Catalogo de Variaveis'!S61-'Catalogo de Variaveis'!S60,'Catalogo de Variaveis'!S60-'Catalogo de Variaveis'!S59)),0)</f>
        <v/>
      </c>
      <c r="D58" s="13" t="str">
        <f t="shared" si="0"/>
        <v/>
      </c>
      <c r="E58" s="10" t="str">
        <f t="shared" si="14"/>
        <v/>
      </c>
      <c r="F58" s="10" t="str">
        <f t="shared" si="15"/>
        <v/>
      </c>
      <c r="G58" s="10" t="str">
        <f t="shared" si="3"/>
        <v/>
      </c>
      <c r="H58" s="10" t="str">
        <f t="shared" si="16"/>
        <v/>
      </c>
      <c r="I58" s="10" t="str">
        <f t="shared" si="5"/>
        <v/>
      </c>
      <c r="J58" s="14" t="str">
        <f t="shared" si="17"/>
        <v/>
      </c>
      <c r="K58" s="13" t="str">
        <f t="shared" si="7"/>
        <v/>
      </c>
      <c r="L58" s="10" t="str">
        <f t="shared" si="8"/>
        <v/>
      </c>
      <c r="M58" s="10" t="str">
        <f t="shared" si="9"/>
        <v/>
      </c>
      <c r="N58" s="10" t="str">
        <f t="shared" si="10"/>
        <v/>
      </c>
      <c r="O58" s="10" t="str">
        <f t="shared" si="11"/>
        <v/>
      </c>
      <c r="P58" s="10" t="str">
        <f t="shared" si="12"/>
        <v/>
      </c>
      <c r="Q58" s="14" t="str">
        <f t="shared" si="13"/>
        <v/>
      </c>
    </row>
    <row r="59" spans="1:17" x14ac:dyDescent="0.25">
      <c r="A59" s="4">
        <v>46327</v>
      </c>
      <c r="B59" s="5" t="str">
        <f>IF('Catalogo de Variaveis'!S64="","",SUM('Catalogo de Variaveis'!S61:S64))</f>
        <v/>
      </c>
      <c r="C59" s="15" t="str">
        <f>IFERROR(IF($B59="","",AVERAGE('Catalogo de Variaveis'!S64-'Catalogo de Variaveis'!S63,'Catalogo de Variaveis'!S63-'Catalogo de Variaveis'!S62,'Catalogo de Variaveis'!S62-'Catalogo de Variaveis'!S61,'Catalogo de Variaveis'!S61-'Catalogo de Variaveis'!S60)),0)</f>
        <v/>
      </c>
      <c r="D59" s="13" t="str">
        <f t="shared" si="0"/>
        <v/>
      </c>
      <c r="E59" s="10" t="str">
        <f t="shared" si="14"/>
        <v/>
      </c>
      <c r="F59" s="10" t="str">
        <f t="shared" si="15"/>
        <v/>
      </c>
      <c r="G59" s="10" t="str">
        <f t="shared" si="3"/>
        <v/>
      </c>
      <c r="H59" s="10" t="str">
        <f t="shared" si="16"/>
        <v/>
      </c>
      <c r="I59" s="10" t="str">
        <f t="shared" si="5"/>
        <v/>
      </c>
      <c r="J59" s="14" t="str">
        <f t="shared" si="17"/>
        <v/>
      </c>
      <c r="K59" s="13" t="str">
        <f t="shared" si="7"/>
        <v/>
      </c>
      <c r="L59" s="10" t="str">
        <f t="shared" si="8"/>
        <v/>
      </c>
      <c r="M59" s="10" t="str">
        <f t="shared" si="9"/>
        <v/>
      </c>
      <c r="N59" s="10" t="str">
        <f t="shared" si="10"/>
        <v/>
      </c>
      <c r="O59" s="10" t="str">
        <f t="shared" si="11"/>
        <v/>
      </c>
      <c r="P59" s="10" t="str">
        <f t="shared" si="12"/>
        <v/>
      </c>
      <c r="Q59" s="14" t="str">
        <f t="shared" si="13"/>
        <v/>
      </c>
    </row>
    <row r="60" spans="1:17" x14ac:dyDescent="0.25">
      <c r="A60" s="4">
        <v>46357</v>
      </c>
      <c r="B60" s="5" t="str">
        <f>IF('Catalogo de Variaveis'!S65="","",SUM('Catalogo de Variaveis'!S62:S65))</f>
        <v/>
      </c>
      <c r="C60" s="15" t="str">
        <f>IFERROR(IF($B60="","",AVERAGE('Catalogo de Variaveis'!S65-'Catalogo de Variaveis'!S64,'Catalogo de Variaveis'!S64-'Catalogo de Variaveis'!S63,'Catalogo de Variaveis'!S63-'Catalogo de Variaveis'!S62,'Catalogo de Variaveis'!S62-'Catalogo de Variaveis'!S61)),0)</f>
        <v/>
      </c>
      <c r="D60" s="13" t="str">
        <f>IF($B60="","",IF(OR($J$1="",$J$2=""),$B$1-3*$B$2,$J$1-3*$J$2))</f>
        <v/>
      </c>
      <c r="E60" s="10" t="str">
        <f t="shared" si="14"/>
        <v/>
      </c>
      <c r="F60" s="10" t="str">
        <f t="shared" si="15"/>
        <v/>
      </c>
      <c r="G60" s="10" t="str">
        <f>IF($B60="","",IF(OR($J$1="",$J$2=""),$B$1,$J$1))</f>
        <v/>
      </c>
      <c r="H60" s="10" t="str">
        <f t="shared" si="16"/>
        <v/>
      </c>
      <c r="I60" s="10" t="str">
        <f>IF($B60="","",IF(OR($J$1="",$J$2=""),$B$1+2*$B$2,$J$1+2*$J$2))</f>
        <v/>
      </c>
      <c r="J60" s="14" t="str">
        <f t="shared" si="17"/>
        <v/>
      </c>
      <c r="K60" s="13" t="str">
        <f t="shared" si="7"/>
        <v/>
      </c>
      <c r="L60" s="10" t="str">
        <f t="shared" si="8"/>
        <v/>
      </c>
      <c r="M60" s="10" t="str">
        <f t="shared" si="9"/>
        <v/>
      </c>
      <c r="N60" s="10" t="str">
        <f t="shared" si="10"/>
        <v/>
      </c>
      <c r="O60" s="10" t="str">
        <f t="shared" si="11"/>
        <v/>
      </c>
      <c r="P60" s="10" t="str">
        <f t="shared" si="12"/>
        <v/>
      </c>
      <c r="Q60" s="14" t="str">
        <f t="shared" si="13"/>
        <v/>
      </c>
    </row>
    <row r="61" spans="1:17" x14ac:dyDescent="0.25">
      <c r="A61" s="4">
        <v>46388</v>
      </c>
      <c r="B61" s="5" t="str">
        <f>IF('Catalogo de Variaveis'!S66="","",SUM('Catalogo de Variaveis'!S63:S66))</f>
        <v/>
      </c>
      <c r="C61" s="15" t="str">
        <f>IFERROR(IF($B61="","",AVERAGE('Catalogo de Variaveis'!S66-'Catalogo de Variaveis'!S65,'Catalogo de Variaveis'!S65-'Catalogo de Variaveis'!S64,'Catalogo de Variaveis'!S64-'Catalogo de Variaveis'!S63,'Catalogo de Variaveis'!S63-'Catalogo de Variaveis'!S62)),0)</f>
        <v/>
      </c>
      <c r="D61" s="13" t="str">
        <f t="shared" ref="D61:D96" si="18">IF($B61="","",IF(OR($J$1="",$J$2=""),$B$1-3*$B$2,$J$1-3*$J$2))</f>
        <v/>
      </c>
      <c r="E61" s="10" t="str">
        <f t="shared" si="14"/>
        <v/>
      </c>
      <c r="F61" s="10" t="str">
        <f t="shared" si="15"/>
        <v/>
      </c>
      <c r="G61" s="10" t="str">
        <f t="shared" ref="G61:G96" si="19">IF($B61="","",IF(OR($J$1="",$J$2=""),$B$1,$J$1))</f>
        <v/>
      </c>
      <c r="H61" s="10" t="str">
        <f t="shared" si="16"/>
        <v/>
      </c>
      <c r="I61" s="10" t="str">
        <f t="shared" ref="I61:I96" si="20">IF($B61="","",IF(OR($J$1="",$J$2=""),$B$1+2*$B$2,$J$1+2*$J$2))</f>
        <v/>
      </c>
      <c r="J61" s="14" t="str">
        <f t="shared" si="17"/>
        <v/>
      </c>
      <c r="K61" s="13" t="str">
        <f t="shared" si="7"/>
        <v/>
      </c>
      <c r="L61" s="10" t="str">
        <f t="shared" si="8"/>
        <v/>
      </c>
      <c r="M61" s="10" t="str">
        <f t="shared" si="9"/>
        <v/>
      </c>
      <c r="N61" s="10" t="str">
        <f t="shared" si="10"/>
        <v/>
      </c>
      <c r="O61" s="10" t="str">
        <f t="shared" si="11"/>
        <v/>
      </c>
      <c r="P61" s="10" t="str">
        <f t="shared" si="12"/>
        <v/>
      </c>
      <c r="Q61" s="14" t="str">
        <f t="shared" si="13"/>
        <v/>
      </c>
    </row>
    <row r="62" spans="1:17" x14ac:dyDescent="0.25">
      <c r="A62" s="4">
        <v>46419</v>
      </c>
      <c r="B62" s="5" t="str">
        <f>IF('Catalogo de Variaveis'!S67="","",SUM('Catalogo de Variaveis'!S64:S67))</f>
        <v/>
      </c>
      <c r="C62" s="15" t="str">
        <f>IFERROR(IF($B62="","",AVERAGE('Catalogo de Variaveis'!S67-'Catalogo de Variaveis'!S66,'Catalogo de Variaveis'!S66-'Catalogo de Variaveis'!S65,'Catalogo de Variaveis'!S65-'Catalogo de Variaveis'!S64,'Catalogo de Variaveis'!S64-'Catalogo de Variaveis'!S63)),0)</f>
        <v/>
      </c>
      <c r="D62" s="13" t="str">
        <f t="shared" si="18"/>
        <v/>
      </c>
      <c r="E62" s="10" t="str">
        <f t="shared" si="14"/>
        <v/>
      </c>
      <c r="F62" s="10" t="str">
        <f t="shared" si="15"/>
        <v/>
      </c>
      <c r="G62" s="10" t="str">
        <f t="shared" si="19"/>
        <v/>
      </c>
      <c r="H62" s="10" t="str">
        <f t="shared" si="16"/>
        <v/>
      </c>
      <c r="I62" s="10" t="str">
        <f t="shared" si="20"/>
        <v/>
      </c>
      <c r="J62" s="14" t="str">
        <f t="shared" si="17"/>
        <v/>
      </c>
      <c r="K62" s="13" t="str">
        <f t="shared" si="7"/>
        <v/>
      </c>
      <c r="L62" s="10" t="str">
        <f t="shared" si="8"/>
        <v/>
      </c>
      <c r="M62" s="10" t="str">
        <f t="shared" si="9"/>
        <v/>
      </c>
      <c r="N62" s="10" t="str">
        <f t="shared" si="10"/>
        <v/>
      </c>
      <c r="O62" s="10" t="str">
        <f t="shared" si="11"/>
        <v/>
      </c>
      <c r="P62" s="10" t="str">
        <f t="shared" si="12"/>
        <v/>
      </c>
      <c r="Q62" s="14" t="str">
        <f t="shared" si="13"/>
        <v/>
      </c>
    </row>
    <row r="63" spans="1:17" x14ac:dyDescent="0.25">
      <c r="A63" s="4">
        <v>46447</v>
      </c>
      <c r="B63" s="5" t="str">
        <f>IF('Catalogo de Variaveis'!S68="","",SUM('Catalogo de Variaveis'!S65:S68))</f>
        <v/>
      </c>
      <c r="C63" s="15" t="str">
        <f>IFERROR(IF($B63="","",AVERAGE('Catalogo de Variaveis'!S68-'Catalogo de Variaveis'!S67,'Catalogo de Variaveis'!S67-'Catalogo de Variaveis'!S66,'Catalogo de Variaveis'!S66-'Catalogo de Variaveis'!S65,'Catalogo de Variaveis'!S65-'Catalogo de Variaveis'!S64)),0)</f>
        <v/>
      </c>
      <c r="D63" s="13" t="str">
        <f t="shared" si="18"/>
        <v/>
      </c>
      <c r="E63" s="10" t="str">
        <f t="shared" si="14"/>
        <v/>
      </c>
      <c r="F63" s="10" t="str">
        <f t="shared" si="15"/>
        <v/>
      </c>
      <c r="G63" s="10" t="str">
        <f t="shared" si="19"/>
        <v/>
      </c>
      <c r="H63" s="10" t="str">
        <f t="shared" si="16"/>
        <v/>
      </c>
      <c r="I63" s="10" t="str">
        <f t="shared" si="20"/>
        <v/>
      </c>
      <c r="J63" s="14" t="str">
        <f t="shared" si="17"/>
        <v/>
      </c>
      <c r="K63" s="13" t="str">
        <f t="shared" si="7"/>
        <v/>
      </c>
      <c r="L63" s="10" t="str">
        <f t="shared" si="8"/>
        <v/>
      </c>
      <c r="M63" s="10" t="str">
        <f t="shared" si="9"/>
        <v/>
      </c>
      <c r="N63" s="10" t="str">
        <f t="shared" si="10"/>
        <v/>
      </c>
      <c r="O63" s="10" t="str">
        <f t="shared" si="11"/>
        <v/>
      </c>
      <c r="P63" s="10" t="str">
        <f t="shared" si="12"/>
        <v/>
      </c>
      <c r="Q63" s="14" t="str">
        <f t="shared" si="13"/>
        <v/>
      </c>
    </row>
    <row r="64" spans="1:17" x14ac:dyDescent="0.25">
      <c r="A64" s="4">
        <v>46478</v>
      </c>
      <c r="B64" s="5" t="str">
        <f>IF('Catalogo de Variaveis'!S69="","",SUM('Catalogo de Variaveis'!S66:S69))</f>
        <v/>
      </c>
      <c r="C64" s="15" t="str">
        <f>IFERROR(IF($B64="","",AVERAGE('Catalogo de Variaveis'!S69-'Catalogo de Variaveis'!S68,'Catalogo de Variaveis'!S68-'Catalogo de Variaveis'!S67,'Catalogo de Variaveis'!S67-'Catalogo de Variaveis'!S66,'Catalogo de Variaveis'!S66-'Catalogo de Variaveis'!S65)),0)</f>
        <v/>
      </c>
      <c r="D64" s="13" t="str">
        <f t="shared" si="18"/>
        <v/>
      </c>
      <c r="E64" s="10" t="str">
        <f t="shared" si="14"/>
        <v/>
      </c>
      <c r="F64" s="10" t="str">
        <f t="shared" si="15"/>
        <v/>
      </c>
      <c r="G64" s="10" t="str">
        <f t="shared" si="19"/>
        <v/>
      </c>
      <c r="H64" s="10" t="str">
        <f t="shared" si="16"/>
        <v/>
      </c>
      <c r="I64" s="10" t="str">
        <f t="shared" si="20"/>
        <v/>
      </c>
      <c r="J64" s="14" t="str">
        <f t="shared" si="17"/>
        <v/>
      </c>
      <c r="K64" s="13" t="str">
        <f t="shared" si="7"/>
        <v/>
      </c>
      <c r="L64" s="10" t="str">
        <f t="shared" si="8"/>
        <v/>
      </c>
      <c r="M64" s="10" t="str">
        <f t="shared" si="9"/>
        <v/>
      </c>
      <c r="N64" s="10" t="str">
        <f t="shared" si="10"/>
        <v/>
      </c>
      <c r="O64" s="10" t="str">
        <f t="shared" si="11"/>
        <v/>
      </c>
      <c r="P64" s="10" t="str">
        <f t="shared" si="12"/>
        <v/>
      </c>
      <c r="Q64" s="14" t="str">
        <f t="shared" si="13"/>
        <v/>
      </c>
    </row>
    <row r="65" spans="1:17" x14ac:dyDescent="0.25">
      <c r="A65" s="4">
        <v>46508</v>
      </c>
      <c r="B65" s="5" t="str">
        <f>IF('Catalogo de Variaveis'!S70="","",SUM('Catalogo de Variaveis'!S67:S70))</f>
        <v/>
      </c>
      <c r="C65" s="15" t="str">
        <f>IFERROR(IF($B65="","",AVERAGE('Catalogo de Variaveis'!S70-'Catalogo de Variaveis'!S69,'Catalogo de Variaveis'!S69-'Catalogo de Variaveis'!S68,'Catalogo de Variaveis'!S68-'Catalogo de Variaveis'!S67,'Catalogo de Variaveis'!S67-'Catalogo de Variaveis'!S66)),0)</f>
        <v/>
      </c>
      <c r="D65" s="13" t="str">
        <f t="shared" si="18"/>
        <v/>
      </c>
      <c r="E65" s="10" t="str">
        <f t="shared" si="14"/>
        <v/>
      </c>
      <c r="F65" s="10" t="str">
        <f t="shared" si="15"/>
        <v/>
      </c>
      <c r="G65" s="10" t="str">
        <f t="shared" si="19"/>
        <v/>
      </c>
      <c r="H65" s="10" t="str">
        <f t="shared" si="16"/>
        <v/>
      </c>
      <c r="I65" s="10" t="str">
        <f t="shared" si="20"/>
        <v/>
      </c>
      <c r="J65" s="14" t="str">
        <f t="shared" si="17"/>
        <v/>
      </c>
      <c r="K65" s="13" t="str">
        <f t="shared" si="7"/>
        <v/>
      </c>
      <c r="L65" s="10" t="str">
        <f t="shared" si="8"/>
        <v/>
      </c>
      <c r="M65" s="10" t="str">
        <f t="shared" si="9"/>
        <v/>
      </c>
      <c r="N65" s="10" t="str">
        <f t="shared" si="10"/>
        <v/>
      </c>
      <c r="O65" s="10" t="str">
        <f t="shared" si="11"/>
        <v/>
      </c>
      <c r="P65" s="10" t="str">
        <f t="shared" si="12"/>
        <v/>
      </c>
      <c r="Q65" s="14" t="str">
        <f t="shared" si="13"/>
        <v/>
      </c>
    </row>
    <row r="66" spans="1:17" x14ac:dyDescent="0.25">
      <c r="A66" s="4">
        <v>46539</v>
      </c>
      <c r="B66" s="5" t="str">
        <f>IF('Catalogo de Variaveis'!S71="","",SUM('Catalogo de Variaveis'!S68:S71))</f>
        <v/>
      </c>
      <c r="C66" s="15" t="str">
        <f>IFERROR(IF($B66="","",AVERAGE('Catalogo de Variaveis'!S71-'Catalogo de Variaveis'!S70,'Catalogo de Variaveis'!S70-'Catalogo de Variaveis'!S69,'Catalogo de Variaveis'!S69-'Catalogo de Variaveis'!S68,'Catalogo de Variaveis'!S68-'Catalogo de Variaveis'!S67)),0)</f>
        <v/>
      </c>
      <c r="D66" s="13" t="str">
        <f t="shared" si="18"/>
        <v/>
      </c>
      <c r="E66" s="10" t="str">
        <f t="shared" si="14"/>
        <v/>
      </c>
      <c r="F66" s="10" t="str">
        <f t="shared" si="15"/>
        <v/>
      </c>
      <c r="G66" s="10" t="str">
        <f t="shared" si="19"/>
        <v/>
      </c>
      <c r="H66" s="10" t="str">
        <f t="shared" si="16"/>
        <v/>
      </c>
      <c r="I66" s="10" t="str">
        <f t="shared" si="20"/>
        <v/>
      </c>
      <c r="J66" s="14" t="str">
        <f t="shared" si="17"/>
        <v/>
      </c>
      <c r="K66" s="13" t="str">
        <f t="shared" si="7"/>
        <v/>
      </c>
      <c r="L66" s="10" t="str">
        <f t="shared" si="8"/>
        <v/>
      </c>
      <c r="M66" s="10" t="str">
        <f t="shared" si="9"/>
        <v/>
      </c>
      <c r="N66" s="10" t="str">
        <f t="shared" si="10"/>
        <v/>
      </c>
      <c r="O66" s="10" t="str">
        <f t="shared" si="11"/>
        <v/>
      </c>
      <c r="P66" s="10" t="str">
        <f t="shared" si="12"/>
        <v/>
      </c>
      <c r="Q66" s="14" t="str">
        <f t="shared" si="13"/>
        <v/>
      </c>
    </row>
    <row r="67" spans="1:17" x14ac:dyDescent="0.25">
      <c r="A67" s="4">
        <v>46569</v>
      </c>
      <c r="B67" s="5" t="str">
        <f>IF('Catalogo de Variaveis'!S72="","",SUM('Catalogo de Variaveis'!S69:S72))</f>
        <v/>
      </c>
      <c r="C67" s="15" t="str">
        <f>IFERROR(IF($B67="","",AVERAGE('Catalogo de Variaveis'!S72-'Catalogo de Variaveis'!S71,'Catalogo de Variaveis'!S71-'Catalogo de Variaveis'!S70,'Catalogo de Variaveis'!S70-'Catalogo de Variaveis'!S69,'Catalogo de Variaveis'!S69-'Catalogo de Variaveis'!S68)),0)</f>
        <v/>
      </c>
      <c r="D67" s="13" t="str">
        <f t="shared" si="18"/>
        <v/>
      </c>
      <c r="E67" s="10" t="str">
        <f t="shared" si="14"/>
        <v/>
      </c>
      <c r="F67" s="10" t="str">
        <f t="shared" si="15"/>
        <v/>
      </c>
      <c r="G67" s="10" t="str">
        <f t="shared" si="19"/>
        <v/>
      </c>
      <c r="H67" s="10" t="str">
        <f t="shared" si="16"/>
        <v/>
      </c>
      <c r="I67" s="10" t="str">
        <f t="shared" si="20"/>
        <v/>
      </c>
      <c r="J67" s="14" t="str">
        <f t="shared" si="17"/>
        <v/>
      </c>
      <c r="K67" s="13" t="str">
        <f t="shared" si="7"/>
        <v/>
      </c>
      <c r="L67" s="10" t="str">
        <f t="shared" si="8"/>
        <v/>
      </c>
      <c r="M67" s="10" t="str">
        <f t="shared" si="9"/>
        <v/>
      </c>
      <c r="N67" s="10" t="str">
        <f t="shared" si="10"/>
        <v/>
      </c>
      <c r="O67" s="10" t="str">
        <f t="shared" si="11"/>
        <v/>
      </c>
      <c r="P67" s="10" t="str">
        <f t="shared" si="12"/>
        <v/>
      </c>
      <c r="Q67" s="14" t="str">
        <f t="shared" si="13"/>
        <v/>
      </c>
    </row>
    <row r="68" spans="1:17" x14ac:dyDescent="0.25">
      <c r="A68" s="4">
        <v>46600</v>
      </c>
      <c r="B68" s="5" t="str">
        <f>IF('Catalogo de Variaveis'!S73="","",SUM('Catalogo de Variaveis'!S70:S73))</f>
        <v/>
      </c>
      <c r="C68" s="15" t="str">
        <f>IFERROR(IF($B68="","",AVERAGE('Catalogo de Variaveis'!S73-'Catalogo de Variaveis'!S72,'Catalogo de Variaveis'!S72-'Catalogo de Variaveis'!S71,'Catalogo de Variaveis'!S71-'Catalogo de Variaveis'!S70,'Catalogo de Variaveis'!S70-'Catalogo de Variaveis'!S69)),0)</f>
        <v/>
      </c>
      <c r="D68" s="13" t="str">
        <f t="shared" si="18"/>
        <v/>
      </c>
      <c r="E68" s="10" t="str">
        <f t="shared" si="14"/>
        <v/>
      </c>
      <c r="F68" s="10" t="str">
        <f t="shared" si="15"/>
        <v/>
      </c>
      <c r="G68" s="10" t="str">
        <f t="shared" si="19"/>
        <v/>
      </c>
      <c r="H68" s="10" t="str">
        <f t="shared" si="16"/>
        <v/>
      </c>
      <c r="I68" s="10" t="str">
        <f t="shared" si="20"/>
        <v/>
      </c>
      <c r="J68" s="14" t="str">
        <f t="shared" si="17"/>
        <v/>
      </c>
      <c r="K68" s="13" t="str">
        <f t="shared" si="7"/>
        <v/>
      </c>
      <c r="L68" s="10" t="str">
        <f t="shared" si="8"/>
        <v/>
      </c>
      <c r="M68" s="10" t="str">
        <f t="shared" si="9"/>
        <v/>
      </c>
      <c r="N68" s="10" t="str">
        <f t="shared" si="10"/>
        <v/>
      </c>
      <c r="O68" s="10" t="str">
        <f t="shared" si="11"/>
        <v/>
      </c>
      <c r="P68" s="10" t="str">
        <f t="shared" si="12"/>
        <v/>
      </c>
      <c r="Q68" s="14" t="str">
        <f t="shared" si="13"/>
        <v/>
      </c>
    </row>
    <row r="69" spans="1:17" x14ac:dyDescent="0.25">
      <c r="A69" s="4">
        <v>46631</v>
      </c>
      <c r="B69" s="5" t="str">
        <f>IF('Catalogo de Variaveis'!S74="","",SUM('Catalogo de Variaveis'!S71:S74))</f>
        <v/>
      </c>
      <c r="C69" s="15" t="str">
        <f>IFERROR(IF($B69="","",AVERAGE('Catalogo de Variaveis'!S74-'Catalogo de Variaveis'!S73,'Catalogo de Variaveis'!S73-'Catalogo de Variaveis'!S72,'Catalogo de Variaveis'!S72-'Catalogo de Variaveis'!S71,'Catalogo de Variaveis'!S71-'Catalogo de Variaveis'!S70)),0)</f>
        <v/>
      </c>
      <c r="D69" s="13" t="str">
        <f t="shared" si="18"/>
        <v/>
      </c>
      <c r="E69" s="10" t="str">
        <f t="shared" si="14"/>
        <v/>
      </c>
      <c r="F69" s="10" t="str">
        <f t="shared" si="15"/>
        <v/>
      </c>
      <c r="G69" s="10" t="str">
        <f t="shared" si="19"/>
        <v/>
      </c>
      <c r="H69" s="10" t="str">
        <f t="shared" si="16"/>
        <v/>
      </c>
      <c r="I69" s="10" t="str">
        <f t="shared" si="20"/>
        <v/>
      </c>
      <c r="J69" s="14" t="str">
        <f t="shared" si="17"/>
        <v/>
      </c>
      <c r="K69" s="13" t="str">
        <f t="shared" si="7"/>
        <v/>
      </c>
      <c r="L69" s="10" t="str">
        <f t="shared" si="8"/>
        <v/>
      </c>
      <c r="M69" s="10" t="str">
        <f t="shared" si="9"/>
        <v/>
      </c>
      <c r="N69" s="10" t="str">
        <f t="shared" si="10"/>
        <v/>
      </c>
      <c r="O69" s="10" t="str">
        <f t="shared" si="11"/>
        <v/>
      </c>
      <c r="P69" s="10" t="str">
        <f t="shared" si="12"/>
        <v/>
      </c>
      <c r="Q69" s="14" t="str">
        <f t="shared" si="13"/>
        <v/>
      </c>
    </row>
    <row r="70" spans="1:17" x14ac:dyDescent="0.25">
      <c r="A70" s="4">
        <v>46661</v>
      </c>
      <c r="B70" s="5" t="str">
        <f>IF('Catalogo de Variaveis'!S75="","",SUM('Catalogo de Variaveis'!S72:S75))</f>
        <v/>
      </c>
      <c r="C70" s="15" t="str">
        <f>IFERROR(IF($B70="","",AVERAGE('Catalogo de Variaveis'!S75-'Catalogo de Variaveis'!S74,'Catalogo de Variaveis'!S74-'Catalogo de Variaveis'!S73,'Catalogo de Variaveis'!S73-'Catalogo de Variaveis'!S72,'Catalogo de Variaveis'!S72-'Catalogo de Variaveis'!S71)),0)</f>
        <v/>
      </c>
      <c r="D70" s="13" t="str">
        <f t="shared" si="18"/>
        <v/>
      </c>
      <c r="E70" s="10" t="str">
        <f t="shared" si="14"/>
        <v/>
      </c>
      <c r="F70" s="10" t="str">
        <f t="shared" si="15"/>
        <v/>
      </c>
      <c r="G70" s="10" t="str">
        <f t="shared" si="19"/>
        <v/>
      </c>
      <c r="H70" s="10" t="str">
        <f t="shared" si="16"/>
        <v/>
      </c>
      <c r="I70" s="10" t="str">
        <f t="shared" si="20"/>
        <v/>
      </c>
      <c r="J70" s="14" t="str">
        <f t="shared" si="17"/>
        <v/>
      </c>
      <c r="K70" s="13" t="str">
        <f t="shared" si="7"/>
        <v/>
      </c>
      <c r="L70" s="10" t="str">
        <f t="shared" si="8"/>
        <v/>
      </c>
      <c r="M70" s="10" t="str">
        <f t="shared" si="9"/>
        <v/>
      </c>
      <c r="N70" s="10" t="str">
        <f t="shared" si="10"/>
        <v/>
      </c>
      <c r="O70" s="10" t="str">
        <f t="shared" si="11"/>
        <v/>
      </c>
      <c r="P70" s="10" t="str">
        <f t="shared" si="12"/>
        <v/>
      </c>
      <c r="Q70" s="14" t="str">
        <f t="shared" si="13"/>
        <v/>
      </c>
    </row>
    <row r="71" spans="1:17" x14ac:dyDescent="0.25">
      <c r="A71" s="4">
        <v>46692</v>
      </c>
      <c r="B71" s="5" t="str">
        <f>IF('Catalogo de Variaveis'!S76="","",SUM('Catalogo de Variaveis'!S73:S76))</f>
        <v/>
      </c>
      <c r="C71" s="15" t="str">
        <f>IFERROR(IF($B71="","",AVERAGE('Catalogo de Variaveis'!S76-'Catalogo de Variaveis'!S75,'Catalogo de Variaveis'!S75-'Catalogo de Variaveis'!S74,'Catalogo de Variaveis'!S74-'Catalogo de Variaveis'!S73,'Catalogo de Variaveis'!S73-'Catalogo de Variaveis'!S72)),0)</f>
        <v/>
      </c>
      <c r="D71" s="13" t="str">
        <f t="shared" si="18"/>
        <v/>
      </c>
      <c r="E71" s="10" t="str">
        <f t="shared" si="14"/>
        <v/>
      </c>
      <c r="F71" s="10" t="str">
        <f t="shared" si="15"/>
        <v/>
      </c>
      <c r="G71" s="10" t="str">
        <f t="shared" si="19"/>
        <v/>
      </c>
      <c r="H71" s="10" t="str">
        <f t="shared" si="16"/>
        <v/>
      </c>
      <c r="I71" s="10" t="str">
        <f t="shared" si="20"/>
        <v/>
      </c>
      <c r="J71" s="14" t="str">
        <f t="shared" si="17"/>
        <v/>
      </c>
      <c r="K71" s="13" t="str">
        <f t="shared" si="7"/>
        <v/>
      </c>
      <c r="L71" s="10" t="str">
        <f t="shared" si="8"/>
        <v/>
      </c>
      <c r="M71" s="10" t="str">
        <f t="shared" si="9"/>
        <v/>
      </c>
      <c r="N71" s="10" t="str">
        <f t="shared" si="10"/>
        <v/>
      </c>
      <c r="O71" s="10" t="str">
        <f t="shared" si="11"/>
        <v/>
      </c>
      <c r="P71" s="10" t="str">
        <f t="shared" si="12"/>
        <v/>
      </c>
      <c r="Q71" s="14" t="str">
        <f t="shared" si="13"/>
        <v/>
      </c>
    </row>
    <row r="72" spans="1:17" x14ac:dyDescent="0.25">
      <c r="A72" s="4">
        <v>46722</v>
      </c>
      <c r="B72" s="5" t="str">
        <f>IF('Catalogo de Variaveis'!S77="","",SUM('Catalogo de Variaveis'!S74:S77))</f>
        <v/>
      </c>
      <c r="C72" s="15" t="str">
        <f>IFERROR(IF($B72="","",AVERAGE('Catalogo de Variaveis'!S77-'Catalogo de Variaveis'!S76,'Catalogo de Variaveis'!S76-'Catalogo de Variaveis'!S75,'Catalogo de Variaveis'!S75-'Catalogo de Variaveis'!S74,'Catalogo de Variaveis'!S74-'Catalogo de Variaveis'!S73)),0)</f>
        <v/>
      </c>
      <c r="D72" s="13" t="str">
        <f t="shared" si="18"/>
        <v/>
      </c>
      <c r="E72" s="10" t="str">
        <f t="shared" si="14"/>
        <v/>
      </c>
      <c r="F72" s="10" t="str">
        <f t="shared" si="15"/>
        <v/>
      </c>
      <c r="G72" s="10" t="str">
        <f t="shared" si="19"/>
        <v/>
      </c>
      <c r="H72" s="10" t="str">
        <f t="shared" si="16"/>
        <v/>
      </c>
      <c r="I72" s="10" t="str">
        <f t="shared" si="20"/>
        <v/>
      </c>
      <c r="J72" s="14" t="str">
        <f t="shared" si="17"/>
        <v/>
      </c>
      <c r="K72" s="13" t="str">
        <f t="shared" si="7"/>
        <v/>
      </c>
      <c r="L72" s="10" t="str">
        <f t="shared" si="8"/>
        <v/>
      </c>
      <c r="M72" s="10" t="str">
        <f t="shared" si="9"/>
        <v/>
      </c>
      <c r="N72" s="10" t="str">
        <f t="shared" si="10"/>
        <v/>
      </c>
      <c r="O72" s="10" t="str">
        <f t="shared" si="11"/>
        <v/>
      </c>
      <c r="P72" s="10" t="str">
        <f t="shared" si="12"/>
        <v/>
      </c>
      <c r="Q72" s="14" t="str">
        <f t="shared" si="13"/>
        <v/>
      </c>
    </row>
    <row r="73" spans="1:17" x14ac:dyDescent="0.25">
      <c r="A73" s="4">
        <v>46753</v>
      </c>
      <c r="B73" s="5" t="str">
        <f>IF('Catalogo de Variaveis'!S78="","",SUM('Catalogo de Variaveis'!S75:S78))</f>
        <v/>
      </c>
      <c r="C73" s="15" t="str">
        <f>IFERROR(IF($B73="","",AVERAGE('Catalogo de Variaveis'!S78-'Catalogo de Variaveis'!S77,'Catalogo de Variaveis'!S77-'Catalogo de Variaveis'!S76,'Catalogo de Variaveis'!S76-'Catalogo de Variaveis'!S75,'Catalogo de Variaveis'!S75-'Catalogo de Variaveis'!S74)),0)</f>
        <v/>
      </c>
      <c r="D73" s="13" t="str">
        <f t="shared" si="18"/>
        <v/>
      </c>
      <c r="E73" s="10" t="str">
        <f t="shared" si="14"/>
        <v/>
      </c>
      <c r="F73" s="10" t="str">
        <f t="shared" si="15"/>
        <v/>
      </c>
      <c r="G73" s="10" t="str">
        <f t="shared" si="19"/>
        <v/>
      </c>
      <c r="H73" s="10" t="str">
        <f t="shared" si="16"/>
        <v/>
      </c>
      <c r="I73" s="10" t="str">
        <f t="shared" si="20"/>
        <v/>
      </c>
      <c r="J73" s="14" t="str">
        <f t="shared" si="17"/>
        <v/>
      </c>
      <c r="K73" s="13" t="str">
        <f t="shared" ref="K73:K96" si="21">IF($B73="","",$C$1-3*$C$2)</f>
        <v/>
      </c>
      <c r="L73" s="10" t="str">
        <f t="shared" ref="L73:L96" si="22">IF($B73="","",$C$1-2*$C$2)</f>
        <v/>
      </c>
      <c r="M73" s="10" t="str">
        <f t="shared" ref="M73:M96" si="23">IF($B73="","",$C$1-$C$2)</f>
        <v/>
      </c>
      <c r="N73" s="10" t="str">
        <f t="shared" ref="N73:N96" si="24">IF($B73="","",$C$1)</f>
        <v/>
      </c>
      <c r="O73" s="10" t="str">
        <f t="shared" ref="O73:O96" si="25">IF($B73="","",$C$1+1*$C$2)</f>
        <v/>
      </c>
      <c r="P73" s="10" t="str">
        <f t="shared" ref="P73:P96" si="26">IF($B73="","",$C$1+2*$C$2)</f>
        <v/>
      </c>
      <c r="Q73" s="14" t="str">
        <f t="shared" ref="Q73:Q96" si="27">IF($B73="","",$C$1+3*$C$2)</f>
        <v/>
      </c>
    </row>
    <row r="74" spans="1:17" x14ac:dyDescent="0.25">
      <c r="A74" s="4">
        <v>46784</v>
      </c>
      <c r="B74" s="5" t="str">
        <f>IF('Catalogo de Variaveis'!S79="","",SUM('Catalogo de Variaveis'!S76:S79))</f>
        <v/>
      </c>
      <c r="C74" s="15" t="str">
        <f>IFERROR(IF($B74="","",AVERAGE('Catalogo de Variaveis'!S79-'Catalogo de Variaveis'!S78,'Catalogo de Variaveis'!S78-'Catalogo de Variaveis'!S77,'Catalogo de Variaveis'!S77-'Catalogo de Variaveis'!S76,'Catalogo de Variaveis'!S76-'Catalogo de Variaveis'!S75)),0)</f>
        <v/>
      </c>
      <c r="D74" s="13" t="str">
        <f t="shared" si="18"/>
        <v/>
      </c>
      <c r="E74" s="10" t="str">
        <f t="shared" si="14"/>
        <v/>
      </c>
      <c r="F74" s="10" t="str">
        <f t="shared" si="15"/>
        <v/>
      </c>
      <c r="G74" s="10" t="str">
        <f t="shared" si="19"/>
        <v/>
      </c>
      <c r="H74" s="10" t="str">
        <f t="shared" si="16"/>
        <v/>
      </c>
      <c r="I74" s="10" t="str">
        <f t="shared" si="20"/>
        <v/>
      </c>
      <c r="J74" s="14" t="str">
        <f t="shared" si="17"/>
        <v/>
      </c>
      <c r="K74" s="13" t="str">
        <f t="shared" si="21"/>
        <v/>
      </c>
      <c r="L74" s="10" t="str">
        <f t="shared" si="22"/>
        <v/>
      </c>
      <c r="M74" s="10" t="str">
        <f t="shared" si="23"/>
        <v/>
      </c>
      <c r="N74" s="10" t="str">
        <f t="shared" si="24"/>
        <v/>
      </c>
      <c r="O74" s="10" t="str">
        <f t="shared" si="25"/>
        <v/>
      </c>
      <c r="P74" s="10" t="str">
        <f t="shared" si="26"/>
        <v/>
      </c>
      <c r="Q74" s="14" t="str">
        <f t="shared" si="27"/>
        <v/>
      </c>
    </row>
    <row r="75" spans="1:17" x14ac:dyDescent="0.25">
      <c r="A75" s="4">
        <v>46813</v>
      </c>
      <c r="B75" s="5" t="str">
        <f>IF('Catalogo de Variaveis'!S80="","",SUM('Catalogo de Variaveis'!S77:S80))</f>
        <v/>
      </c>
      <c r="C75" s="15" t="str">
        <f>IFERROR(IF($B75="","",AVERAGE('Catalogo de Variaveis'!S80-'Catalogo de Variaveis'!S79,'Catalogo de Variaveis'!S79-'Catalogo de Variaveis'!S78,'Catalogo de Variaveis'!S78-'Catalogo de Variaveis'!S77,'Catalogo de Variaveis'!S77-'Catalogo de Variaveis'!S76)),0)</f>
        <v/>
      </c>
      <c r="D75" s="13" t="str">
        <f t="shared" si="18"/>
        <v/>
      </c>
      <c r="E75" s="10" t="str">
        <f t="shared" si="14"/>
        <v/>
      </c>
      <c r="F75" s="10" t="str">
        <f t="shared" si="15"/>
        <v/>
      </c>
      <c r="G75" s="10" t="str">
        <f t="shared" si="19"/>
        <v/>
      </c>
      <c r="H75" s="10" t="str">
        <f t="shared" si="16"/>
        <v/>
      </c>
      <c r="I75" s="10" t="str">
        <f t="shared" si="20"/>
        <v/>
      </c>
      <c r="J75" s="14" t="str">
        <f t="shared" si="17"/>
        <v/>
      </c>
      <c r="K75" s="13" t="str">
        <f t="shared" si="21"/>
        <v/>
      </c>
      <c r="L75" s="10" t="str">
        <f t="shared" si="22"/>
        <v/>
      </c>
      <c r="M75" s="10" t="str">
        <f t="shared" si="23"/>
        <v/>
      </c>
      <c r="N75" s="10" t="str">
        <f t="shared" si="24"/>
        <v/>
      </c>
      <c r="O75" s="10" t="str">
        <f t="shared" si="25"/>
        <v/>
      </c>
      <c r="P75" s="10" t="str">
        <f t="shared" si="26"/>
        <v/>
      </c>
      <c r="Q75" s="14" t="str">
        <f t="shared" si="27"/>
        <v/>
      </c>
    </row>
    <row r="76" spans="1:17" x14ac:dyDescent="0.25">
      <c r="A76" s="4">
        <v>46844</v>
      </c>
      <c r="B76" s="5" t="str">
        <f>IF('Catalogo de Variaveis'!S81="","",SUM('Catalogo de Variaveis'!S78:S81))</f>
        <v/>
      </c>
      <c r="C76" s="15" t="str">
        <f>IFERROR(IF($B76="","",AVERAGE('Catalogo de Variaveis'!S81-'Catalogo de Variaveis'!S80,'Catalogo de Variaveis'!S80-'Catalogo de Variaveis'!S79,'Catalogo de Variaveis'!S79-'Catalogo de Variaveis'!S78,'Catalogo de Variaveis'!S78-'Catalogo de Variaveis'!S77)),0)</f>
        <v/>
      </c>
      <c r="D76" s="13" t="str">
        <f t="shared" si="18"/>
        <v/>
      </c>
      <c r="E76" s="10" t="str">
        <f t="shared" si="14"/>
        <v/>
      </c>
      <c r="F76" s="10" t="str">
        <f t="shared" si="15"/>
        <v/>
      </c>
      <c r="G76" s="10" t="str">
        <f t="shared" si="19"/>
        <v/>
      </c>
      <c r="H76" s="10" t="str">
        <f t="shared" si="16"/>
        <v/>
      </c>
      <c r="I76" s="10" t="str">
        <f t="shared" si="20"/>
        <v/>
      </c>
      <c r="J76" s="14" t="str">
        <f t="shared" si="17"/>
        <v/>
      </c>
      <c r="K76" s="13" t="str">
        <f t="shared" si="21"/>
        <v/>
      </c>
      <c r="L76" s="10" t="str">
        <f t="shared" si="22"/>
        <v/>
      </c>
      <c r="M76" s="10" t="str">
        <f t="shared" si="23"/>
        <v/>
      </c>
      <c r="N76" s="10" t="str">
        <f t="shared" si="24"/>
        <v/>
      </c>
      <c r="O76" s="10" t="str">
        <f t="shared" si="25"/>
        <v/>
      </c>
      <c r="P76" s="10" t="str">
        <f t="shared" si="26"/>
        <v/>
      </c>
      <c r="Q76" s="14" t="str">
        <f t="shared" si="27"/>
        <v/>
      </c>
    </row>
    <row r="77" spans="1:17" x14ac:dyDescent="0.25">
      <c r="A77" s="4">
        <v>46874</v>
      </c>
      <c r="B77" s="5" t="str">
        <f>IF('Catalogo de Variaveis'!S82="","",SUM('Catalogo de Variaveis'!S79:S82))</f>
        <v/>
      </c>
      <c r="C77" s="15" t="str">
        <f>IFERROR(IF($B77="","",AVERAGE('Catalogo de Variaveis'!S82-'Catalogo de Variaveis'!S81,'Catalogo de Variaveis'!S81-'Catalogo de Variaveis'!S80,'Catalogo de Variaveis'!S80-'Catalogo de Variaveis'!S79,'Catalogo de Variaveis'!S79-'Catalogo de Variaveis'!S78)),0)</f>
        <v/>
      </c>
      <c r="D77" s="13" t="str">
        <f t="shared" si="18"/>
        <v/>
      </c>
      <c r="E77" s="10" t="str">
        <f t="shared" si="14"/>
        <v/>
      </c>
      <c r="F77" s="10" t="str">
        <f t="shared" si="15"/>
        <v/>
      </c>
      <c r="G77" s="10" t="str">
        <f t="shared" si="19"/>
        <v/>
      </c>
      <c r="H77" s="10" t="str">
        <f t="shared" si="16"/>
        <v/>
      </c>
      <c r="I77" s="10" t="str">
        <f t="shared" si="20"/>
        <v/>
      </c>
      <c r="J77" s="14" t="str">
        <f t="shared" si="17"/>
        <v/>
      </c>
      <c r="K77" s="13" t="str">
        <f t="shared" si="21"/>
        <v/>
      </c>
      <c r="L77" s="10" t="str">
        <f t="shared" si="22"/>
        <v/>
      </c>
      <c r="M77" s="10" t="str">
        <f t="shared" si="23"/>
        <v/>
      </c>
      <c r="N77" s="10" t="str">
        <f t="shared" si="24"/>
        <v/>
      </c>
      <c r="O77" s="10" t="str">
        <f t="shared" si="25"/>
        <v/>
      </c>
      <c r="P77" s="10" t="str">
        <f t="shared" si="26"/>
        <v/>
      </c>
      <c r="Q77" s="14" t="str">
        <f t="shared" si="27"/>
        <v/>
      </c>
    </row>
    <row r="78" spans="1:17" x14ac:dyDescent="0.25">
      <c r="A78" s="4">
        <v>46905</v>
      </c>
      <c r="B78" s="5" t="str">
        <f>IF('Catalogo de Variaveis'!S83="","",SUM('Catalogo de Variaveis'!S80:S83))</f>
        <v/>
      </c>
      <c r="C78" s="15" t="str">
        <f>IFERROR(IF($B78="","",AVERAGE('Catalogo de Variaveis'!S83-'Catalogo de Variaveis'!S82,'Catalogo de Variaveis'!S82-'Catalogo de Variaveis'!S81,'Catalogo de Variaveis'!S81-'Catalogo de Variaveis'!S80,'Catalogo de Variaveis'!S80-'Catalogo de Variaveis'!S79)),0)</f>
        <v/>
      </c>
      <c r="D78" s="13" t="str">
        <f t="shared" si="18"/>
        <v/>
      </c>
      <c r="E78" s="10" t="str">
        <f t="shared" si="14"/>
        <v/>
      </c>
      <c r="F78" s="10" t="str">
        <f t="shared" si="15"/>
        <v/>
      </c>
      <c r="G78" s="10" t="str">
        <f t="shared" si="19"/>
        <v/>
      </c>
      <c r="H78" s="10" t="str">
        <f t="shared" si="16"/>
        <v/>
      </c>
      <c r="I78" s="10" t="str">
        <f t="shared" si="20"/>
        <v/>
      </c>
      <c r="J78" s="14" t="str">
        <f t="shared" si="17"/>
        <v/>
      </c>
      <c r="K78" s="13" t="str">
        <f t="shared" si="21"/>
        <v/>
      </c>
      <c r="L78" s="10" t="str">
        <f t="shared" si="22"/>
        <v/>
      </c>
      <c r="M78" s="10" t="str">
        <f t="shared" si="23"/>
        <v/>
      </c>
      <c r="N78" s="10" t="str">
        <f t="shared" si="24"/>
        <v/>
      </c>
      <c r="O78" s="10" t="str">
        <f t="shared" si="25"/>
        <v/>
      </c>
      <c r="P78" s="10" t="str">
        <f t="shared" si="26"/>
        <v/>
      </c>
      <c r="Q78" s="14" t="str">
        <f t="shared" si="27"/>
        <v/>
      </c>
    </row>
    <row r="79" spans="1:17" x14ac:dyDescent="0.25">
      <c r="A79" s="4">
        <v>46935</v>
      </c>
      <c r="B79" s="5" t="str">
        <f>IF('Catalogo de Variaveis'!S84="","",SUM('Catalogo de Variaveis'!S81:S84))</f>
        <v/>
      </c>
      <c r="C79" s="15" t="str">
        <f>IFERROR(IF($B79="","",AVERAGE('Catalogo de Variaveis'!S84-'Catalogo de Variaveis'!S83,'Catalogo de Variaveis'!S83-'Catalogo de Variaveis'!S82,'Catalogo de Variaveis'!S82-'Catalogo de Variaveis'!S81,'Catalogo de Variaveis'!S81-'Catalogo de Variaveis'!S80)),0)</f>
        <v/>
      </c>
      <c r="D79" s="13" t="str">
        <f t="shared" si="18"/>
        <v/>
      </c>
      <c r="E79" s="10" t="str">
        <f t="shared" si="14"/>
        <v/>
      </c>
      <c r="F79" s="10" t="str">
        <f t="shared" si="15"/>
        <v/>
      </c>
      <c r="G79" s="10" t="str">
        <f t="shared" si="19"/>
        <v/>
      </c>
      <c r="H79" s="10" t="str">
        <f t="shared" si="16"/>
        <v/>
      </c>
      <c r="I79" s="10" t="str">
        <f t="shared" si="20"/>
        <v/>
      </c>
      <c r="J79" s="14" t="str">
        <f t="shared" si="17"/>
        <v/>
      </c>
      <c r="K79" s="13" t="str">
        <f t="shared" si="21"/>
        <v/>
      </c>
      <c r="L79" s="10" t="str">
        <f t="shared" si="22"/>
        <v/>
      </c>
      <c r="M79" s="10" t="str">
        <f t="shared" si="23"/>
        <v/>
      </c>
      <c r="N79" s="10" t="str">
        <f t="shared" si="24"/>
        <v/>
      </c>
      <c r="O79" s="10" t="str">
        <f t="shared" si="25"/>
        <v/>
      </c>
      <c r="P79" s="10" t="str">
        <f t="shared" si="26"/>
        <v/>
      </c>
      <c r="Q79" s="14" t="str">
        <f t="shared" si="27"/>
        <v/>
      </c>
    </row>
    <row r="80" spans="1:17" x14ac:dyDescent="0.25">
      <c r="A80" s="4">
        <v>46966</v>
      </c>
      <c r="B80" s="5" t="str">
        <f>IF('Catalogo de Variaveis'!S85="","",SUM('Catalogo de Variaveis'!S82:S85))</f>
        <v/>
      </c>
      <c r="C80" s="15" t="str">
        <f>IFERROR(IF($B80="","",AVERAGE('Catalogo de Variaveis'!S85-'Catalogo de Variaveis'!S84,'Catalogo de Variaveis'!S84-'Catalogo de Variaveis'!S83,'Catalogo de Variaveis'!S83-'Catalogo de Variaveis'!S82,'Catalogo de Variaveis'!S82-'Catalogo de Variaveis'!S81)),0)</f>
        <v/>
      </c>
      <c r="D80" s="13" t="str">
        <f t="shared" si="18"/>
        <v/>
      </c>
      <c r="E80" s="10" t="str">
        <f t="shared" si="14"/>
        <v/>
      </c>
      <c r="F80" s="10" t="str">
        <f t="shared" si="15"/>
        <v/>
      </c>
      <c r="G80" s="10" t="str">
        <f t="shared" si="19"/>
        <v/>
      </c>
      <c r="H80" s="10" t="str">
        <f t="shared" si="16"/>
        <v/>
      </c>
      <c r="I80" s="10" t="str">
        <f t="shared" si="20"/>
        <v/>
      </c>
      <c r="J80" s="14" t="str">
        <f t="shared" si="17"/>
        <v/>
      </c>
      <c r="K80" s="13" t="str">
        <f t="shared" si="21"/>
        <v/>
      </c>
      <c r="L80" s="10" t="str">
        <f t="shared" si="22"/>
        <v/>
      </c>
      <c r="M80" s="10" t="str">
        <f t="shared" si="23"/>
        <v/>
      </c>
      <c r="N80" s="10" t="str">
        <f t="shared" si="24"/>
        <v/>
      </c>
      <c r="O80" s="10" t="str">
        <f t="shared" si="25"/>
        <v/>
      </c>
      <c r="P80" s="10" t="str">
        <f t="shared" si="26"/>
        <v/>
      </c>
      <c r="Q80" s="14" t="str">
        <f t="shared" si="27"/>
        <v/>
      </c>
    </row>
    <row r="81" spans="1:17" x14ac:dyDescent="0.25">
      <c r="A81" s="4">
        <v>46997</v>
      </c>
      <c r="B81" s="5" t="str">
        <f>IF('Catalogo de Variaveis'!S86="","",SUM('Catalogo de Variaveis'!S83:S86))</f>
        <v/>
      </c>
      <c r="C81" s="15" t="str">
        <f>IFERROR(IF($B81="","",AVERAGE('Catalogo de Variaveis'!S86-'Catalogo de Variaveis'!S85,'Catalogo de Variaveis'!S85-'Catalogo de Variaveis'!S84,'Catalogo de Variaveis'!S84-'Catalogo de Variaveis'!S83,'Catalogo de Variaveis'!S83-'Catalogo de Variaveis'!S82)),0)</f>
        <v/>
      </c>
      <c r="D81" s="13" t="str">
        <f t="shared" si="18"/>
        <v/>
      </c>
      <c r="E81" s="10" t="str">
        <f t="shared" si="14"/>
        <v/>
      </c>
      <c r="F81" s="10" t="str">
        <f t="shared" si="15"/>
        <v/>
      </c>
      <c r="G81" s="10" t="str">
        <f t="shared" si="19"/>
        <v/>
      </c>
      <c r="H81" s="10" t="str">
        <f t="shared" si="16"/>
        <v/>
      </c>
      <c r="I81" s="10" t="str">
        <f t="shared" si="20"/>
        <v/>
      </c>
      <c r="J81" s="14" t="str">
        <f t="shared" si="17"/>
        <v/>
      </c>
      <c r="K81" s="13" t="str">
        <f t="shared" si="21"/>
        <v/>
      </c>
      <c r="L81" s="10" t="str">
        <f t="shared" si="22"/>
        <v/>
      </c>
      <c r="M81" s="10" t="str">
        <f t="shared" si="23"/>
        <v/>
      </c>
      <c r="N81" s="10" t="str">
        <f t="shared" si="24"/>
        <v/>
      </c>
      <c r="O81" s="10" t="str">
        <f t="shared" si="25"/>
        <v/>
      </c>
      <c r="P81" s="10" t="str">
        <f t="shared" si="26"/>
        <v/>
      </c>
      <c r="Q81" s="14" t="str">
        <f t="shared" si="27"/>
        <v/>
      </c>
    </row>
    <row r="82" spans="1:17" x14ac:dyDescent="0.25">
      <c r="A82" s="4">
        <v>47027</v>
      </c>
      <c r="B82" s="5" t="str">
        <f>IF('Catalogo de Variaveis'!S87="","",SUM('Catalogo de Variaveis'!S84:S87))</f>
        <v/>
      </c>
      <c r="C82" s="15" t="str">
        <f>IFERROR(IF($B82="","",AVERAGE('Catalogo de Variaveis'!S87-'Catalogo de Variaveis'!S86,'Catalogo de Variaveis'!S86-'Catalogo de Variaveis'!S85,'Catalogo de Variaveis'!S85-'Catalogo de Variaveis'!S84,'Catalogo de Variaveis'!S84-'Catalogo de Variaveis'!S83)),0)</f>
        <v/>
      </c>
      <c r="D82" s="13" t="str">
        <f t="shared" si="18"/>
        <v/>
      </c>
      <c r="E82" s="10" t="str">
        <f t="shared" si="14"/>
        <v/>
      </c>
      <c r="F82" s="10" t="str">
        <f t="shared" si="15"/>
        <v/>
      </c>
      <c r="G82" s="10" t="str">
        <f t="shared" si="19"/>
        <v/>
      </c>
      <c r="H82" s="10" t="str">
        <f t="shared" si="16"/>
        <v/>
      </c>
      <c r="I82" s="10" t="str">
        <f t="shared" si="20"/>
        <v/>
      </c>
      <c r="J82" s="14" t="str">
        <f t="shared" si="17"/>
        <v/>
      </c>
      <c r="K82" s="13" t="str">
        <f t="shared" si="21"/>
        <v/>
      </c>
      <c r="L82" s="10" t="str">
        <f t="shared" si="22"/>
        <v/>
      </c>
      <c r="M82" s="10" t="str">
        <f t="shared" si="23"/>
        <v/>
      </c>
      <c r="N82" s="10" t="str">
        <f t="shared" si="24"/>
        <v/>
      </c>
      <c r="O82" s="10" t="str">
        <f t="shared" si="25"/>
        <v/>
      </c>
      <c r="P82" s="10" t="str">
        <f t="shared" si="26"/>
        <v/>
      </c>
      <c r="Q82" s="14" t="str">
        <f t="shared" si="27"/>
        <v/>
      </c>
    </row>
    <row r="83" spans="1:17" x14ac:dyDescent="0.25">
      <c r="A83" s="4">
        <v>47058</v>
      </c>
      <c r="B83" s="5" t="str">
        <f>IF('Catalogo de Variaveis'!S88="","",SUM('Catalogo de Variaveis'!S85:S88))</f>
        <v/>
      </c>
      <c r="C83" s="15" t="str">
        <f>IFERROR(IF($B83="","",AVERAGE('Catalogo de Variaveis'!S88-'Catalogo de Variaveis'!S87,'Catalogo de Variaveis'!S87-'Catalogo de Variaveis'!S86,'Catalogo de Variaveis'!S86-'Catalogo de Variaveis'!S85,'Catalogo de Variaveis'!S85-'Catalogo de Variaveis'!S84)),0)</f>
        <v/>
      </c>
      <c r="D83" s="13" t="str">
        <f t="shared" si="18"/>
        <v/>
      </c>
      <c r="E83" s="10" t="str">
        <f t="shared" si="14"/>
        <v/>
      </c>
      <c r="F83" s="10" t="str">
        <f t="shared" si="15"/>
        <v/>
      </c>
      <c r="G83" s="10" t="str">
        <f t="shared" si="19"/>
        <v/>
      </c>
      <c r="H83" s="10" t="str">
        <f t="shared" si="16"/>
        <v/>
      </c>
      <c r="I83" s="10" t="str">
        <f t="shared" si="20"/>
        <v/>
      </c>
      <c r="J83" s="14" t="str">
        <f t="shared" si="17"/>
        <v/>
      </c>
      <c r="K83" s="13" t="str">
        <f t="shared" si="21"/>
        <v/>
      </c>
      <c r="L83" s="10" t="str">
        <f t="shared" si="22"/>
        <v/>
      </c>
      <c r="M83" s="10" t="str">
        <f t="shared" si="23"/>
        <v/>
      </c>
      <c r="N83" s="10" t="str">
        <f t="shared" si="24"/>
        <v/>
      </c>
      <c r="O83" s="10" t="str">
        <f t="shared" si="25"/>
        <v/>
      </c>
      <c r="P83" s="10" t="str">
        <f t="shared" si="26"/>
        <v/>
      </c>
      <c r="Q83" s="14" t="str">
        <f t="shared" si="27"/>
        <v/>
      </c>
    </row>
    <row r="84" spans="1:17" x14ac:dyDescent="0.25">
      <c r="A84" s="4">
        <v>47088</v>
      </c>
      <c r="B84" s="5" t="str">
        <f>IF('Catalogo de Variaveis'!S89="","",SUM('Catalogo de Variaveis'!S86:S89))</f>
        <v/>
      </c>
      <c r="C84" s="15" t="str">
        <f>IFERROR(IF($B84="","",AVERAGE('Catalogo de Variaveis'!S89-'Catalogo de Variaveis'!S88,'Catalogo de Variaveis'!S88-'Catalogo de Variaveis'!S87,'Catalogo de Variaveis'!S87-'Catalogo de Variaveis'!S86,'Catalogo de Variaveis'!S86-'Catalogo de Variaveis'!S85)),0)</f>
        <v/>
      </c>
      <c r="D84" s="13" t="str">
        <f t="shared" si="18"/>
        <v/>
      </c>
      <c r="E84" s="10" t="str">
        <f t="shared" si="14"/>
        <v/>
      </c>
      <c r="F84" s="10" t="str">
        <f t="shared" si="15"/>
        <v/>
      </c>
      <c r="G84" s="10" t="str">
        <f t="shared" si="19"/>
        <v/>
      </c>
      <c r="H84" s="10" t="str">
        <f t="shared" si="16"/>
        <v/>
      </c>
      <c r="I84" s="10" t="str">
        <f t="shared" si="20"/>
        <v/>
      </c>
      <c r="J84" s="14" t="str">
        <f t="shared" si="17"/>
        <v/>
      </c>
      <c r="K84" s="13" t="str">
        <f t="shared" si="21"/>
        <v/>
      </c>
      <c r="L84" s="10" t="str">
        <f t="shared" si="22"/>
        <v/>
      </c>
      <c r="M84" s="10" t="str">
        <f t="shared" si="23"/>
        <v/>
      </c>
      <c r="N84" s="10" t="str">
        <f t="shared" si="24"/>
        <v/>
      </c>
      <c r="O84" s="10" t="str">
        <f t="shared" si="25"/>
        <v/>
      </c>
      <c r="P84" s="10" t="str">
        <f t="shared" si="26"/>
        <v/>
      </c>
      <c r="Q84" s="14" t="str">
        <f t="shared" si="27"/>
        <v/>
      </c>
    </row>
    <row r="85" spans="1:17" x14ac:dyDescent="0.25">
      <c r="A85" s="4">
        <v>47119</v>
      </c>
      <c r="B85" s="5" t="str">
        <f>IF('Catalogo de Variaveis'!S90="","",SUM('Catalogo de Variaveis'!S87:S90))</f>
        <v/>
      </c>
      <c r="C85" s="15" t="str">
        <f>IFERROR(IF($B85="","",AVERAGE('Catalogo de Variaveis'!S90-'Catalogo de Variaveis'!S89,'Catalogo de Variaveis'!S89-'Catalogo de Variaveis'!S88,'Catalogo de Variaveis'!S88-'Catalogo de Variaveis'!S87,'Catalogo de Variaveis'!S87-'Catalogo de Variaveis'!S86)),0)</f>
        <v/>
      </c>
      <c r="D85" s="13" t="str">
        <f t="shared" si="18"/>
        <v/>
      </c>
      <c r="E85" s="10" t="str">
        <f t="shared" si="14"/>
        <v/>
      </c>
      <c r="F85" s="10" t="str">
        <f t="shared" si="15"/>
        <v/>
      </c>
      <c r="G85" s="10" t="str">
        <f t="shared" si="19"/>
        <v/>
      </c>
      <c r="H85" s="10" t="str">
        <f t="shared" si="16"/>
        <v/>
      </c>
      <c r="I85" s="10" t="str">
        <f t="shared" si="20"/>
        <v/>
      </c>
      <c r="J85" s="14" t="str">
        <f t="shared" si="17"/>
        <v/>
      </c>
      <c r="K85" s="13" t="str">
        <f t="shared" si="21"/>
        <v/>
      </c>
      <c r="L85" s="10" t="str">
        <f t="shared" si="22"/>
        <v/>
      </c>
      <c r="M85" s="10" t="str">
        <f t="shared" si="23"/>
        <v/>
      </c>
      <c r="N85" s="10" t="str">
        <f t="shared" si="24"/>
        <v/>
      </c>
      <c r="O85" s="10" t="str">
        <f t="shared" si="25"/>
        <v/>
      </c>
      <c r="P85" s="10" t="str">
        <f t="shared" si="26"/>
        <v/>
      </c>
      <c r="Q85" s="14" t="str">
        <f t="shared" si="27"/>
        <v/>
      </c>
    </row>
    <row r="86" spans="1:17" x14ac:dyDescent="0.25">
      <c r="A86" s="4">
        <v>47150</v>
      </c>
      <c r="B86" s="5" t="str">
        <f>IF('Catalogo de Variaveis'!S91="","",SUM('Catalogo de Variaveis'!S88:S91))</f>
        <v/>
      </c>
      <c r="C86" s="15" t="str">
        <f>IFERROR(IF($B86="","",AVERAGE('Catalogo de Variaveis'!S91-'Catalogo de Variaveis'!S90,'Catalogo de Variaveis'!S90-'Catalogo de Variaveis'!S89,'Catalogo de Variaveis'!S89-'Catalogo de Variaveis'!S88,'Catalogo de Variaveis'!S88-'Catalogo de Variaveis'!S87)),0)</f>
        <v/>
      </c>
      <c r="D86" s="13" t="str">
        <f t="shared" si="18"/>
        <v/>
      </c>
      <c r="E86" s="10" t="str">
        <f t="shared" si="14"/>
        <v/>
      </c>
      <c r="F86" s="10" t="str">
        <f t="shared" si="15"/>
        <v/>
      </c>
      <c r="G86" s="10" t="str">
        <f t="shared" si="19"/>
        <v/>
      </c>
      <c r="H86" s="10" t="str">
        <f t="shared" si="16"/>
        <v/>
      </c>
      <c r="I86" s="10" t="str">
        <f t="shared" si="20"/>
        <v/>
      </c>
      <c r="J86" s="14" t="str">
        <f t="shared" si="17"/>
        <v/>
      </c>
      <c r="K86" s="13" t="str">
        <f t="shared" si="21"/>
        <v/>
      </c>
      <c r="L86" s="10" t="str">
        <f t="shared" si="22"/>
        <v/>
      </c>
      <c r="M86" s="10" t="str">
        <f t="shared" si="23"/>
        <v/>
      </c>
      <c r="N86" s="10" t="str">
        <f t="shared" si="24"/>
        <v/>
      </c>
      <c r="O86" s="10" t="str">
        <f t="shared" si="25"/>
        <v/>
      </c>
      <c r="P86" s="10" t="str">
        <f t="shared" si="26"/>
        <v/>
      </c>
      <c r="Q86" s="14" t="str">
        <f t="shared" si="27"/>
        <v/>
      </c>
    </row>
    <row r="87" spans="1:17" x14ac:dyDescent="0.25">
      <c r="A87" s="4">
        <v>47178</v>
      </c>
      <c r="B87" s="5" t="str">
        <f>IF('Catalogo de Variaveis'!S92="","",SUM('Catalogo de Variaveis'!S89:S92))</f>
        <v/>
      </c>
      <c r="C87" s="15" t="str">
        <f>IFERROR(IF($B87="","",AVERAGE('Catalogo de Variaveis'!S92-'Catalogo de Variaveis'!S91,'Catalogo de Variaveis'!S91-'Catalogo de Variaveis'!S90,'Catalogo de Variaveis'!S90-'Catalogo de Variaveis'!S89,'Catalogo de Variaveis'!S89-'Catalogo de Variaveis'!S88)),0)</f>
        <v/>
      </c>
      <c r="D87" s="13" t="str">
        <f t="shared" si="18"/>
        <v/>
      </c>
      <c r="E87" s="10" t="str">
        <f t="shared" si="14"/>
        <v/>
      </c>
      <c r="F87" s="10" t="str">
        <f t="shared" si="15"/>
        <v/>
      </c>
      <c r="G87" s="10" t="str">
        <f t="shared" si="19"/>
        <v/>
      </c>
      <c r="H87" s="10" t="str">
        <f t="shared" si="16"/>
        <v/>
      </c>
      <c r="I87" s="10" t="str">
        <f t="shared" si="20"/>
        <v/>
      </c>
      <c r="J87" s="14" t="str">
        <f t="shared" si="17"/>
        <v/>
      </c>
      <c r="K87" s="13" t="str">
        <f t="shared" si="21"/>
        <v/>
      </c>
      <c r="L87" s="10" t="str">
        <f t="shared" si="22"/>
        <v/>
      </c>
      <c r="M87" s="10" t="str">
        <f t="shared" si="23"/>
        <v/>
      </c>
      <c r="N87" s="10" t="str">
        <f t="shared" si="24"/>
        <v/>
      </c>
      <c r="O87" s="10" t="str">
        <f t="shared" si="25"/>
        <v/>
      </c>
      <c r="P87" s="10" t="str">
        <f t="shared" si="26"/>
        <v/>
      </c>
      <c r="Q87" s="14" t="str">
        <f t="shared" si="27"/>
        <v/>
      </c>
    </row>
    <row r="88" spans="1:17" x14ac:dyDescent="0.25">
      <c r="A88" s="4">
        <v>47209</v>
      </c>
      <c r="B88" s="5" t="str">
        <f>IF('Catalogo de Variaveis'!S93="","",SUM('Catalogo de Variaveis'!S90:S93))</f>
        <v/>
      </c>
      <c r="C88" s="15" t="str">
        <f>IFERROR(IF($B88="","",AVERAGE('Catalogo de Variaveis'!S93-'Catalogo de Variaveis'!S92,'Catalogo de Variaveis'!S92-'Catalogo de Variaveis'!S91,'Catalogo de Variaveis'!S91-'Catalogo de Variaveis'!S90,'Catalogo de Variaveis'!S90-'Catalogo de Variaveis'!S89)),0)</f>
        <v/>
      </c>
      <c r="D88" s="13" t="str">
        <f t="shared" si="18"/>
        <v/>
      </c>
      <c r="E88" s="10" t="str">
        <f t="shared" si="14"/>
        <v/>
      </c>
      <c r="F88" s="10" t="str">
        <f t="shared" si="15"/>
        <v/>
      </c>
      <c r="G88" s="10" t="str">
        <f t="shared" si="19"/>
        <v/>
      </c>
      <c r="H88" s="10" t="str">
        <f t="shared" si="16"/>
        <v/>
      </c>
      <c r="I88" s="10" t="str">
        <f t="shared" si="20"/>
        <v/>
      </c>
      <c r="J88" s="14" t="str">
        <f t="shared" si="17"/>
        <v/>
      </c>
      <c r="K88" s="13" t="str">
        <f t="shared" si="21"/>
        <v/>
      </c>
      <c r="L88" s="10" t="str">
        <f t="shared" si="22"/>
        <v/>
      </c>
      <c r="M88" s="10" t="str">
        <f t="shared" si="23"/>
        <v/>
      </c>
      <c r="N88" s="10" t="str">
        <f t="shared" si="24"/>
        <v/>
      </c>
      <c r="O88" s="10" t="str">
        <f t="shared" si="25"/>
        <v/>
      </c>
      <c r="P88" s="10" t="str">
        <f t="shared" si="26"/>
        <v/>
      </c>
      <c r="Q88" s="14" t="str">
        <f t="shared" si="27"/>
        <v/>
      </c>
    </row>
    <row r="89" spans="1:17" x14ac:dyDescent="0.25">
      <c r="A89" s="4">
        <v>47239</v>
      </c>
      <c r="B89" s="5" t="str">
        <f>IF('Catalogo de Variaveis'!S94="","",SUM('Catalogo de Variaveis'!S91:S94))</f>
        <v/>
      </c>
      <c r="C89" s="15" t="str">
        <f>IFERROR(IF($B89="","",AVERAGE('Catalogo de Variaveis'!S94-'Catalogo de Variaveis'!S93,'Catalogo de Variaveis'!S93-'Catalogo de Variaveis'!S92,'Catalogo de Variaveis'!S92-'Catalogo de Variaveis'!S91,'Catalogo de Variaveis'!S91-'Catalogo de Variaveis'!S90)),0)</f>
        <v/>
      </c>
      <c r="D89" s="13" t="str">
        <f t="shared" si="18"/>
        <v/>
      </c>
      <c r="E89" s="10" t="str">
        <f t="shared" si="14"/>
        <v/>
      </c>
      <c r="F89" s="10" t="str">
        <f t="shared" si="15"/>
        <v/>
      </c>
      <c r="G89" s="10" t="str">
        <f t="shared" si="19"/>
        <v/>
      </c>
      <c r="H89" s="10" t="str">
        <f t="shared" si="16"/>
        <v/>
      </c>
      <c r="I89" s="10" t="str">
        <f t="shared" si="20"/>
        <v/>
      </c>
      <c r="J89" s="14" t="str">
        <f t="shared" si="17"/>
        <v/>
      </c>
      <c r="K89" s="13" t="str">
        <f t="shared" si="21"/>
        <v/>
      </c>
      <c r="L89" s="10" t="str">
        <f t="shared" si="22"/>
        <v/>
      </c>
      <c r="M89" s="10" t="str">
        <f t="shared" si="23"/>
        <v/>
      </c>
      <c r="N89" s="10" t="str">
        <f t="shared" si="24"/>
        <v/>
      </c>
      <c r="O89" s="10" t="str">
        <f t="shared" si="25"/>
        <v/>
      </c>
      <c r="P89" s="10" t="str">
        <f t="shared" si="26"/>
        <v/>
      </c>
      <c r="Q89" s="14" t="str">
        <f t="shared" si="27"/>
        <v/>
      </c>
    </row>
    <row r="90" spans="1:17" x14ac:dyDescent="0.25">
      <c r="A90" s="4">
        <v>47270</v>
      </c>
      <c r="B90" s="5" t="str">
        <f>IF('Catalogo de Variaveis'!S95="","",SUM('Catalogo de Variaveis'!S92:S95))</f>
        <v/>
      </c>
      <c r="C90" s="15" t="str">
        <f>IFERROR(IF($B90="","",AVERAGE('Catalogo de Variaveis'!S95-'Catalogo de Variaveis'!S94,'Catalogo de Variaveis'!S94-'Catalogo de Variaveis'!S93,'Catalogo de Variaveis'!S93-'Catalogo de Variaveis'!S92,'Catalogo de Variaveis'!S92-'Catalogo de Variaveis'!S91)),0)</f>
        <v/>
      </c>
      <c r="D90" s="13" t="str">
        <f t="shared" si="18"/>
        <v/>
      </c>
      <c r="E90" s="10" t="str">
        <f t="shared" si="14"/>
        <v/>
      </c>
      <c r="F90" s="10" t="str">
        <f t="shared" si="15"/>
        <v/>
      </c>
      <c r="G90" s="10" t="str">
        <f t="shared" si="19"/>
        <v/>
      </c>
      <c r="H90" s="10" t="str">
        <f t="shared" si="16"/>
        <v/>
      </c>
      <c r="I90" s="10" t="str">
        <f t="shared" si="20"/>
        <v/>
      </c>
      <c r="J90" s="14" t="str">
        <f t="shared" si="17"/>
        <v/>
      </c>
      <c r="K90" s="13" t="str">
        <f t="shared" si="21"/>
        <v/>
      </c>
      <c r="L90" s="10" t="str">
        <f t="shared" si="22"/>
        <v/>
      </c>
      <c r="M90" s="10" t="str">
        <f t="shared" si="23"/>
        <v/>
      </c>
      <c r="N90" s="10" t="str">
        <f t="shared" si="24"/>
        <v/>
      </c>
      <c r="O90" s="10" t="str">
        <f t="shared" si="25"/>
        <v/>
      </c>
      <c r="P90" s="10" t="str">
        <f t="shared" si="26"/>
        <v/>
      </c>
      <c r="Q90" s="14" t="str">
        <f t="shared" si="27"/>
        <v/>
      </c>
    </row>
    <row r="91" spans="1:17" x14ac:dyDescent="0.25">
      <c r="A91" s="4">
        <v>47300</v>
      </c>
      <c r="B91" s="5" t="str">
        <f>IF('Catalogo de Variaveis'!S96="","",SUM('Catalogo de Variaveis'!S93:S96))</f>
        <v/>
      </c>
      <c r="C91" s="15" t="str">
        <f>IFERROR(IF($B91="","",AVERAGE('Catalogo de Variaveis'!S96-'Catalogo de Variaveis'!S95,'Catalogo de Variaveis'!S95-'Catalogo de Variaveis'!S94,'Catalogo de Variaveis'!S94-'Catalogo de Variaveis'!S93,'Catalogo de Variaveis'!S93-'Catalogo de Variaveis'!S92)),0)</f>
        <v/>
      </c>
      <c r="D91" s="13" t="str">
        <f t="shared" si="18"/>
        <v/>
      </c>
      <c r="E91" s="10" t="str">
        <f t="shared" si="14"/>
        <v/>
      </c>
      <c r="F91" s="10" t="str">
        <f t="shared" si="15"/>
        <v/>
      </c>
      <c r="G91" s="10" t="str">
        <f t="shared" si="19"/>
        <v/>
      </c>
      <c r="H91" s="10" t="str">
        <f t="shared" si="16"/>
        <v/>
      </c>
      <c r="I91" s="10" t="str">
        <f t="shared" si="20"/>
        <v/>
      </c>
      <c r="J91" s="14" t="str">
        <f t="shared" si="17"/>
        <v/>
      </c>
      <c r="K91" s="13" t="str">
        <f t="shared" si="21"/>
        <v/>
      </c>
      <c r="L91" s="10" t="str">
        <f t="shared" si="22"/>
        <v/>
      </c>
      <c r="M91" s="10" t="str">
        <f t="shared" si="23"/>
        <v/>
      </c>
      <c r="N91" s="10" t="str">
        <f t="shared" si="24"/>
        <v/>
      </c>
      <c r="O91" s="10" t="str">
        <f t="shared" si="25"/>
        <v/>
      </c>
      <c r="P91" s="10" t="str">
        <f t="shared" si="26"/>
        <v/>
      </c>
      <c r="Q91" s="14" t="str">
        <f t="shared" si="27"/>
        <v/>
      </c>
    </row>
    <row r="92" spans="1:17" x14ac:dyDescent="0.25">
      <c r="A92" s="4">
        <v>47331</v>
      </c>
      <c r="B92" s="5" t="str">
        <f>IF('Catalogo de Variaveis'!S97="","",SUM('Catalogo de Variaveis'!S94:S97))</f>
        <v/>
      </c>
      <c r="C92" s="15" t="str">
        <f>IFERROR(IF($B92="","",AVERAGE('Catalogo de Variaveis'!S97-'Catalogo de Variaveis'!S96,'Catalogo de Variaveis'!S96-'Catalogo de Variaveis'!S95,'Catalogo de Variaveis'!S95-'Catalogo de Variaveis'!S94,'Catalogo de Variaveis'!S94-'Catalogo de Variaveis'!S93)),0)</f>
        <v/>
      </c>
      <c r="D92" s="13" t="str">
        <f t="shared" si="18"/>
        <v/>
      </c>
      <c r="E92" s="10" t="str">
        <f t="shared" si="14"/>
        <v/>
      </c>
      <c r="F92" s="10" t="str">
        <f t="shared" si="15"/>
        <v/>
      </c>
      <c r="G92" s="10" t="str">
        <f t="shared" si="19"/>
        <v/>
      </c>
      <c r="H92" s="10" t="str">
        <f t="shared" si="16"/>
        <v/>
      </c>
      <c r="I92" s="10" t="str">
        <f t="shared" si="20"/>
        <v/>
      </c>
      <c r="J92" s="14" t="str">
        <f t="shared" si="17"/>
        <v/>
      </c>
      <c r="K92" s="13" t="str">
        <f t="shared" si="21"/>
        <v/>
      </c>
      <c r="L92" s="10" t="str">
        <f t="shared" si="22"/>
        <v/>
      </c>
      <c r="M92" s="10" t="str">
        <f t="shared" si="23"/>
        <v/>
      </c>
      <c r="N92" s="10" t="str">
        <f t="shared" si="24"/>
        <v/>
      </c>
      <c r="O92" s="10" t="str">
        <f t="shared" si="25"/>
        <v/>
      </c>
      <c r="P92" s="10" t="str">
        <f t="shared" si="26"/>
        <v/>
      </c>
      <c r="Q92" s="14" t="str">
        <f t="shared" si="27"/>
        <v/>
      </c>
    </row>
    <row r="93" spans="1:17" x14ac:dyDescent="0.25">
      <c r="A93" s="4">
        <v>47362</v>
      </c>
      <c r="B93" s="5" t="str">
        <f>IF('Catalogo de Variaveis'!S98="","",SUM('Catalogo de Variaveis'!S95:S98))</f>
        <v/>
      </c>
      <c r="C93" s="15" t="str">
        <f>IFERROR(IF($B93="","",AVERAGE('Catalogo de Variaveis'!S98-'Catalogo de Variaveis'!S97,'Catalogo de Variaveis'!S97-'Catalogo de Variaveis'!S96,'Catalogo de Variaveis'!S96-'Catalogo de Variaveis'!S95,'Catalogo de Variaveis'!S95-'Catalogo de Variaveis'!S94)),0)</f>
        <v/>
      </c>
      <c r="D93" s="13" t="str">
        <f t="shared" si="18"/>
        <v/>
      </c>
      <c r="E93" s="10" t="str">
        <f t="shared" si="14"/>
        <v/>
      </c>
      <c r="F93" s="10" t="str">
        <f t="shared" si="15"/>
        <v/>
      </c>
      <c r="G93" s="10" t="str">
        <f t="shared" si="19"/>
        <v/>
      </c>
      <c r="H93" s="10" t="str">
        <f t="shared" si="16"/>
        <v/>
      </c>
      <c r="I93" s="10" t="str">
        <f t="shared" si="20"/>
        <v/>
      </c>
      <c r="J93" s="14" t="str">
        <f t="shared" si="17"/>
        <v/>
      </c>
      <c r="K93" s="13" t="str">
        <f t="shared" si="21"/>
        <v/>
      </c>
      <c r="L93" s="10" t="str">
        <f t="shared" si="22"/>
        <v/>
      </c>
      <c r="M93" s="10" t="str">
        <f t="shared" si="23"/>
        <v/>
      </c>
      <c r="N93" s="10" t="str">
        <f t="shared" si="24"/>
        <v/>
      </c>
      <c r="O93" s="10" t="str">
        <f t="shared" si="25"/>
        <v/>
      </c>
      <c r="P93" s="10" t="str">
        <f t="shared" si="26"/>
        <v/>
      </c>
      <c r="Q93" s="14" t="str">
        <f t="shared" si="27"/>
        <v/>
      </c>
    </row>
    <row r="94" spans="1:17" x14ac:dyDescent="0.25">
      <c r="A94" s="4">
        <v>47392</v>
      </c>
      <c r="B94" s="5" t="str">
        <f>IF('Catalogo de Variaveis'!S99="","",SUM('Catalogo de Variaveis'!S96:S99))</f>
        <v/>
      </c>
      <c r="C94" s="15" t="str">
        <f>IFERROR(IF($B94="","",AVERAGE('Catalogo de Variaveis'!S99-'Catalogo de Variaveis'!S98,'Catalogo de Variaveis'!S98-'Catalogo de Variaveis'!S97,'Catalogo de Variaveis'!S97-'Catalogo de Variaveis'!S96,'Catalogo de Variaveis'!S96-'Catalogo de Variaveis'!S95)),0)</f>
        <v/>
      </c>
      <c r="D94" s="13" t="str">
        <f t="shared" si="18"/>
        <v/>
      </c>
      <c r="E94" s="10" t="str">
        <f t="shared" si="14"/>
        <v/>
      </c>
      <c r="F94" s="10" t="str">
        <f t="shared" si="15"/>
        <v/>
      </c>
      <c r="G94" s="10" t="str">
        <f t="shared" si="19"/>
        <v/>
      </c>
      <c r="H94" s="10" t="str">
        <f t="shared" si="16"/>
        <v/>
      </c>
      <c r="I94" s="10" t="str">
        <f t="shared" si="20"/>
        <v/>
      </c>
      <c r="J94" s="14" t="str">
        <f t="shared" si="17"/>
        <v/>
      </c>
      <c r="K94" s="13" t="str">
        <f t="shared" si="21"/>
        <v/>
      </c>
      <c r="L94" s="10" t="str">
        <f t="shared" si="22"/>
        <v/>
      </c>
      <c r="M94" s="10" t="str">
        <f t="shared" si="23"/>
        <v/>
      </c>
      <c r="N94" s="10" t="str">
        <f t="shared" si="24"/>
        <v/>
      </c>
      <c r="O94" s="10" t="str">
        <f t="shared" si="25"/>
        <v/>
      </c>
      <c r="P94" s="10" t="str">
        <f t="shared" si="26"/>
        <v/>
      </c>
      <c r="Q94" s="14" t="str">
        <f t="shared" si="27"/>
        <v/>
      </c>
    </row>
    <row r="95" spans="1:17" x14ac:dyDescent="0.25">
      <c r="A95" s="4">
        <v>47423</v>
      </c>
      <c r="B95" s="5" t="str">
        <f>IF('Catalogo de Variaveis'!S100="","",SUM('Catalogo de Variaveis'!S97:S100))</f>
        <v/>
      </c>
      <c r="C95" s="15" t="str">
        <f>IFERROR(IF($B95="","",AVERAGE('Catalogo de Variaveis'!S100-'Catalogo de Variaveis'!S99,'Catalogo de Variaveis'!S99-'Catalogo de Variaveis'!S98,'Catalogo de Variaveis'!S98-'Catalogo de Variaveis'!S97,'Catalogo de Variaveis'!S97-'Catalogo de Variaveis'!S96)),0)</f>
        <v/>
      </c>
      <c r="D95" s="13" t="str">
        <f t="shared" si="18"/>
        <v/>
      </c>
      <c r="E95" s="10" t="str">
        <f t="shared" ref="E95:E96" si="28">IF($B95="","",IF(OR($J$1="",$J$2=""),$B$1-2*$B$2,$J$1-2*$J$2))</f>
        <v/>
      </c>
      <c r="F95" s="10" t="str">
        <f t="shared" ref="F95:F96" si="29">IF($B95="","",IF(OR($J$1="",$J$2=""),$B$1-$B$2,$J$1-$J$2))</f>
        <v/>
      </c>
      <c r="G95" s="10" t="str">
        <f t="shared" si="19"/>
        <v/>
      </c>
      <c r="H95" s="10" t="str">
        <f t="shared" ref="H95:H96" si="30">IF($B95="","",IF(OR($J$1="",$J$2=""),$B$1+$B$2,$J$1+$J$2))</f>
        <v/>
      </c>
      <c r="I95" s="10" t="str">
        <f t="shared" si="20"/>
        <v/>
      </c>
      <c r="J95" s="14" t="str">
        <f t="shared" ref="J95:J96" si="31">IF($B95="","",IF(OR($J$1="",$J$2=""),$B$1+3*$B$2,$J$1+3*$J$2))</f>
        <v/>
      </c>
      <c r="K95" s="13" t="str">
        <f t="shared" si="21"/>
        <v/>
      </c>
      <c r="L95" s="10" t="str">
        <f t="shared" si="22"/>
        <v/>
      </c>
      <c r="M95" s="10" t="str">
        <f t="shared" si="23"/>
        <v/>
      </c>
      <c r="N95" s="10" t="str">
        <f t="shared" si="24"/>
        <v/>
      </c>
      <c r="O95" s="10" t="str">
        <f t="shared" si="25"/>
        <v/>
      </c>
      <c r="P95" s="10" t="str">
        <f t="shared" si="26"/>
        <v/>
      </c>
      <c r="Q95" s="14" t="str">
        <f t="shared" si="27"/>
        <v/>
      </c>
    </row>
    <row r="96" spans="1:17" x14ac:dyDescent="0.25">
      <c r="A96" s="4">
        <v>47453</v>
      </c>
      <c r="B96" s="5" t="str">
        <f>IF('Catalogo de Variaveis'!S101="","",SUM('Catalogo de Variaveis'!S98:S101))</f>
        <v/>
      </c>
      <c r="C96" s="15" t="str">
        <f>IFERROR(IF($B96="","",AVERAGE('Catalogo de Variaveis'!S101-'Catalogo de Variaveis'!S100,'Catalogo de Variaveis'!S100-'Catalogo de Variaveis'!S99,'Catalogo de Variaveis'!S99-'Catalogo de Variaveis'!S98,'Catalogo de Variaveis'!S98-'Catalogo de Variaveis'!S97)),0)</f>
        <v/>
      </c>
      <c r="D96" s="13" t="str">
        <f t="shared" si="18"/>
        <v/>
      </c>
      <c r="E96" s="10" t="str">
        <f t="shared" si="28"/>
        <v/>
      </c>
      <c r="F96" s="10" t="str">
        <f t="shared" si="29"/>
        <v/>
      </c>
      <c r="G96" s="10" t="str">
        <f t="shared" si="19"/>
        <v/>
      </c>
      <c r="H96" s="10" t="str">
        <f t="shared" si="30"/>
        <v/>
      </c>
      <c r="I96" s="10" t="str">
        <f t="shared" si="20"/>
        <v/>
      </c>
      <c r="J96" s="14" t="str">
        <f t="shared" si="31"/>
        <v/>
      </c>
      <c r="K96" s="13" t="str">
        <f t="shared" si="21"/>
        <v/>
      </c>
      <c r="L96" s="10" t="str">
        <f t="shared" si="22"/>
        <v/>
      </c>
      <c r="M96" s="10" t="str">
        <f t="shared" si="23"/>
        <v/>
      </c>
      <c r="N96" s="10" t="str">
        <f t="shared" si="24"/>
        <v/>
      </c>
      <c r="O96" s="10" t="str">
        <f t="shared" si="25"/>
        <v/>
      </c>
      <c r="P96" s="10" t="str">
        <f t="shared" si="26"/>
        <v/>
      </c>
      <c r="Q96" s="14" t="str">
        <f t="shared" si="27"/>
        <v/>
      </c>
    </row>
  </sheetData>
  <mergeCells count="4">
    <mergeCell ref="A5:Q6"/>
    <mergeCell ref="A7:C7"/>
    <mergeCell ref="D7:J7"/>
    <mergeCell ref="K7:Q7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96D2-7AD7-416D-96ED-524F6C6B3C87}">
  <dimension ref="A1:Q96"/>
  <sheetViews>
    <sheetView topLeftCell="A5" zoomScale="161" zoomScaleNormal="161" workbookViewId="0">
      <selection activeCell="A5" sqref="A5:Q6"/>
    </sheetView>
  </sheetViews>
  <sheetFormatPr defaultColWidth="0" defaultRowHeight="15" x14ac:dyDescent="0.25"/>
  <cols>
    <col min="1" max="1" width="13.85546875" style="2" bestFit="1" customWidth="1"/>
    <col min="2" max="3" width="10.7109375" customWidth="1"/>
    <col min="4" max="17" width="9.140625" customWidth="1"/>
    <col min="18" max="16384" width="9.140625" hidden="1"/>
  </cols>
  <sheetData>
    <row r="1" spans="1:17" hidden="1" x14ac:dyDescent="0.25">
      <c r="A1" s="7" t="s">
        <v>0</v>
      </c>
      <c r="B1" s="9">
        <f>AVERAGE(B9:B1048576)</f>
        <v>15.052631578947368</v>
      </c>
      <c r="C1" s="9">
        <f>AVERAGE(C9:C1048576)</f>
        <v>1.3157894736842105E-2</v>
      </c>
      <c r="I1" s="7" t="s">
        <v>25</v>
      </c>
      <c r="J1" s="16" t="str">
        <f>IF(LME="","",LME)</f>
        <v/>
      </c>
    </row>
    <row r="2" spans="1:17" hidden="1" x14ac:dyDescent="0.25">
      <c r="A2" s="7" t="s">
        <v>1</v>
      </c>
      <c r="B2" s="9">
        <f>_xlfn.STDEV.S(B9:B1048576)</f>
        <v>6.3286024605627329</v>
      </c>
      <c r="C2" s="9">
        <f>_xlfn.STDEV.S(C9:C1048576)</f>
        <v>0.80737179641023582</v>
      </c>
      <c r="I2" s="7" t="s">
        <v>26</v>
      </c>
      <c r="J2" s="16" t="str">
        <f>IF(VME="","",VME/3)</f>
        <v/>
      </c>
    </row>
    <row r="3" spans="1:17" hidden="1" x14ac:dyDescent="0.25">
      <c r="A3" s="7" t="s">
        <v>2</v>
      </c>
      <c r="B3" s="9">
        <f>MAX(B9:B1048576)</f>
        <v>27</v>
      </c>
      <c r="C3" s="9">
        <f>MAX(C9:C1048576)</f>
        <v>2</v>
      </c>
    </row>
    <row r="4" spans="1:17" hidden="1" x14ac:dyDescent="0.25">
      <c r="A4" s="7" t="s">
        <v>3</v>
      </c>
      <c r="B4" s="9">
        <f>MIN(B9:B1048576)</f>
        <v>2</v>
      </c>
      <c r="C4" s="9">
        <f>MIN(C9:C1048576)</f>
        <v>-1.5</v>
      </c>
    </row>
    <row r="5" spans="1:17" ht="15" customHeight="1" x14ac:dyDescent="0.25">
      <c r="A5" s="22"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ht="15" customHeight="1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>
        <v>44805</v>
      </c>
      <c r="B9" s="5">
        <f>IF('Catalogo de Variaveis'!T14="","",SUM('Catalogo de Variaveis'!T11:T14))</f>
        <v>6</v>
      </c>
      <c r="C9" s="15">
        <f>IFERROR(IF($B9="","",AVERAGE('Catalogo de Variaveis'!T14-'Catalogo de Variaveis'!T13,'Catalogo de Variaveis'!T13-'Catalogo de Variaveis'!T12,'Catalogo de Variaveis'!T12-'Catalogo de Variaveis'!T11,'Catalogo de Variaveis'!T11-'Catalogo de Variaveis'!T10)),0)</f>
        <v>1.5</v>
      </c>
      <c r="D9" s="13">
        <f t="shared" ref="D9:D59" si="0">IF($B9="","",IF(OR($J$1="",$J$2=""),$B$1-3*$B$2,$J$1-3*$J$2))</f>
        <v>-3.9331758027408288</v>
      </c>
      <c r="E9" s="10">
        <f t="shared" ref="E9:E29" si="1">IF($B9="","",IF(OR($J$1="",$J$2=""),$B$1-2*$B$2,$J$1-2*$J$2))</f>
        <v>2.3954266578219023</v>
      </c>
      <c r="F9" s="10">
        <f t="shared" ref="F9:F29" si="2">IF($B9="","",IF(OR($J$1="",$J$2=""),$B$1-$B$2,$J$1-$J$2))</f>
        <v>8.7240291183846352</v>
      </c>
      <c r="G9" s="10">
        <f t="shared" ref="G9:G59" si="3">IF($B9="","",IF(OR($J$1="",$J$2=""),$B$1,$J$1))</f>
        <v>15.052631578947368</v>
      </c>
      <c r="H9" s="10">
        <f t="shared" ref="H9:H29" si="4">IF($B9="","",IF(OR($J$1="",$J$2=""),$B$1+$B$2,$J$1+$J$2))</f>
        <v>21.381234039510101</v>
      </c>
      <c r="I9" s="10">
        <f t="shared" ref="I9:I59" si="5">IF($B9="","",IF(OR($J$1="",$J$2=""),$B$1+2*$B$2,$J$1+2*$J$2))</f>
        <v>27.709836500072832</v>
      </c>
      <c r="J9" s="14">
        <f t="shared" ref="J9:J29" si="6">IF($B9="","",IF(OR($J$1="",$J$2=""),$B$1+3*$B$2,$J$1+3*$J$2))</f>
        <v>34.038438960635567</v>
      </c>
      <c r="K9" s="13">
        <f t="shared" ref="K9:K72" si="7">IF($B9="","",$C$1-3*$C$2)</f>
        <v>-2.4089574944938654</v>
      </c>
      <c r="L9" s="10">
        <f t="shared" ref="L9:L72" si="8">IF($B9="","",$C$1-2*$C$2)</f>
        <v>-1.6015856980836296</v>
      </c>
      <c r="M9" s="10">
        <f t="shared" ref="M9:M72" si="9">IF($B9="","",$C$1-$C$2)</f>
        <v>-0.79421390167339367</v>
      </c>
      <c r="N9" s="10">
        <f t="shared" ref="N9:N72" si="10">IF($B9="","",$C$1)</f>
        <v>1.3157894736842105E-2</v>
      </c>
      <c r="O9" s="10">
        <f t="shared" ref="O9:O72" si="11">IF($B9="","",$C$1+1*$C$2)</f>
        <v>0.82052969114707797</v>
      </c>
      <c r="P9" s="10">
        <f t="shared" ref="P9:P72" si="12">IF($B9="","",$C$1+2*$C$2)</f>
        <v>1.6279014875573137</v>
      </c>
      <c r="Q9" s="14">
        <f t="shared" ref="Q9:Q72" si="13">IF($B9="","",$C$1+3*$C$2)</f>
        <v>2.4352732839675495</v>
      </c>
    </row>
    <row r="10" spans="1:17" x14ac:dyDescent="0.25">
      <c r="A10" s="4">
        <v>44835</v>
      </c>
      <c r="B10" s="5">
        <f>IF('Catalogo de Variaveis'!T15="","",SUM('Catalogo de Variaveis'!T12:T15))</f>
        <v>10</v>
      </c>
      <c r="C10" s="15">
        <f>IFERROR(IF($B10="","",AVERAGE('Catalogo de Variaveis'!T15-'Catalogo de Variaveis'!T14,'Catalogo de Variaveis'!T14-'Catalogo de Variaveis'!T13,'Catalogo de Variaveis'!T13-'Catalogo de Variaveis'!T12,'Catalogo de Variaveis'!T12-'Catalogo de Variaveis'!T11)),0)</f>
        <v>1</v>
      </c>
      <c r="D10" s="13">
        <f t="shared" si="0"/>
        <v>-3.9331758027408288</v>
      </c>
      <c r="E10" s="10">
        <f t="shared" si="1"/>
        <v>2.3954266578219023</v>
      </c>
      <c r="F10" s="10">
        <f t="shared" si="2"/>
        <v>8.7240291183846352</v>
      </c>
      <c r="G10" s="10">
        <f t="shared" si="3"/>
        <v>15.052631578947368</v>
      </c>
      <c r="H10" s="10">
        <f t="shared" si="4"/>
        <v>21.381234039510101</v>
      </c>
      <c r="I10" s="10">
        <f t="shared" si="5"/>
        <v>27.709836500072832</v>
      </c>
      <c r="J10" s="14">
        <f t="shared" si="6"/>
        <v>34.038438960635567</v>
      </c>
      <c r="K10" s="13">
        <f t="shared" si="7"/>
        <v>-2.4089574944938654</v>
      </c>
      <c r="L10" s="10">
        <f t="shared" si="8"/>
        <v>-1.6015856980836296</v>
      </c>
      <c r="M10" s="10">
        <f t="shared" si="9"/>
        <v>-0.79421390167339367</v>
      </c>
      <c r="N10" s="10">
        <f t="shared" si="10"/>
        <v>1.3157894736842105E-2</v>
      </c>
      <c r="O10" s="10">
        <f t="shared" si="11"/>
        <v>0.82052969114707797</v>
      </c>
      <c r="P10" s="10">
        <f t="shared" si="12"/>
        <v>1.6279014875573137</v>
      </c>
      <c r="Q10" s="14">
        <f t="shared" si="13"/>
        <v>2.4352732839675495</v>
      </c>
    </row>
    <row r="11" spans="1:17" x14ac:dyDescent="0.25">
      <c r="A11" s="4">
        <v>44866</v>
      </c>
      <c r="B11" s="5">
        <f>IF('Catalogo de Variaveis'!T16="","",SUM('Catalogo de Variaveis'!T13:T16))</f>
        <v>18</v>
      </c>
      <c r="C11" s="15">
        <f>IFERROR(IF($B11="","",AVERAGE('Catalogo de Variaveis'!T16-'Catalogo de Variaveis'!T15,'Catalogo de Variaveis'!T15-'Catalogo de Variaveis'!T14,'Catalogo de Variaveis'!T14-'Catalogo de Variaveis'!T13,'Catalogo de Variaveis'!T13-'Catalogo de Variaveis'!T12)),0)</f>
        <v>2</v>
      </c>
      <c r="D11" s="13">
        <f t="shared" si="0"/>
        <v>-3.9331758027408288</v>
      </c>
      <c r="E11" s="10">
        <f t="shared" si="1"/>
        <v>2.3954266578219023</v>
      </c>
      <c r="F11" s="10">
        <f t="shared" si="2"/>
        <v>8.7240291183846352</v>
      </c>
      <c r="G11" s="10">
        <f t="shared" si="3"/>
        <v>15.052631578947368</v>
      </c>
      <c r="H11" s="10">
        <f t="shared" si="4"/>
        <v>21.381234039510101</v>
      </c>
      <c r="I11" s="10">
        <f t="shared" si="5"/>
        <v>27.709836500072832</v>
      </c>
      <c r="J11" s="14">
        <f t="shared" si="6"/>
        <v>34.038438960635567</v>
      </c>
      <c r="K11" s="13">
        <f t="shared" si="7"/>
        <v>-2.4089574944938654</v>
      </c>
      <c r="L11" s="10">
        <f t="shared" si="8"/>
        <v>-1.6015856980836296</v>
      </c>
      <c r="M11" s="10">
        <f t="shared" si="9"/>
        <v>-0.79421390167339367</v>
      </c>
      <c r="N11" s="10">
        <f t="shared" si="10"/>
        <v>1.3157894736842105E-2</v>
      </c>
      <c r="O11" s="10">
        <f t="shared" si="11"/>
        <v>0.82052969114707797</v>
      </c>
      <c r="P11" s="10">
        <f t="shared" si="12"/>
        <v>1.6279014875573137</v>
      </c>
      <c r="Q11" s="14">
        <f t="shared" si="13"/>
        <v>2.4352732839675495</v>
      </c>
    </row>
    <row r="12" spans="1:17" x14ac:dyDescent="0.25">
      <c r="A12" s="4">
        <v>44896</v>
      </c>
      <c r="B12" s="5">
        <f>IF('Catalogo de Variaveis'!T17="","",SUM('Catalogo de Variaveis'!T14:T17))</f>
        <v>20</v>
      </c>
      <c r="C12" s="15">
        <f>IFERROR(IF($B12="","",AVERAGE('Catalogo de Variaveis'!T17-'Catalogo de Variaveis'!T16,'Catalogo de Variaveis'!T16-'Catalogo de Variaveis'!T15,'Catalogo de Variaveis'!T15-'Catalogo de Variaveis'!T14,'Catalogo de Variaveis'!T14-'Catalogo de Variaveis'!T13)),0)</f>
        <v>0.5</v>
      </c>
      <c r="D12" s="13">
        <f t="shared" si="0"/>
        <v>-3.9331758027408288</v>
      </c>
      <c r="E12" s="10">
        <f t="shared" si="1"/>
        <v>2.3954266578219023</v>
      </c>
      <c r="F12" s="10">
        <f t="shared" si="2"/>
        <v>8.7240291183846352</v>
      </c>
      <c r="G12" s="10">
        <f t="shared" si="3"/>
        <v>15.052631578947368</v>
      </c>
      <c r="H12" s="10">
        <f t="shared" si="4"/>
        <v>21.381234039510101</v>
      </c>
      <c r="I12" s="10">
        <f t="shared" si="5"/>
        <v>27.709836500072832</v>
      </c>
      <c r="J12" s="14">
        <f t="shared" si="6"/>
        <v>34.038438960635567</v>
      </c>
      <c r="K12" s="13">
        <f t="shared" si="7"/>
        <v>-2.4089574944938654</v>
      </c>
      <c r="L12" s="10">
        <f t="shared" si="8"/>
        <v>-1.6015856980836296</v>
      </c>
      <c r="M12" s="10">
        <f t="shared" si="9"/>
        <v>-0.79421390167339367</v>
      </c>
      <c r="N12" s="10">
        <f t="shared" si="10"/>
        <v>1.3157894736842105E-2</v>
      </c>
      <c r="O12" s="10">
        <f t="shared" si="11"/>
        <v>0.82052969114707797</v>
      </c>
      <c r="P12" s="10">
        <f t="shared" si="12"/>
        <v>1.6279014875573137</v>
      </c>
      <c r="Q12" s="14">
        <f t="shared" si="13"/>
        <v>2.4352732839675495</v>
      </c>
    </row>
    <row r="13" spans="1:17" x14ac:dyDescent="0.25">
      <c r="A13" s="4">
        <v>44927</v>
      </c>
      <c r="B13" s="5">
        <f>IF('Catalogo de Variaveis'!T18="","",SUM('Catalogo de Variaveis'!T15:T18))</f>
        <v>16</v>
      </c>
      <c r="C13" s="15">
        <f>IFERROR(IF($B13="","",AVERAGE('Catalogo de Variaveis'!T18-'Catalogo de Variaveis'!T17,'Catalogo de Variaveis'!T17-'Catalogo de Variaveis'!T16,'Catalogo de Variaveis'!T16-'Catalogo de Variaveis'!T15,'Catalogo de Variaveis'!T15-'Catalogo de Variaveis'!T14)),0)</f>
        <v>-1</v>
      </c>
      <c r="D13" s="13">
        <f t="shared" si="0"/>
        <v>-3.9331758027408288</v>
      </c>
      <c r="E13" s="10">
        <f t="shared" si="1"/>
        <v>2.3954266578219023</v>
      </c>
      <c r="F13" s="10">
        <f t="shared" si="2"/>
        <v>8.7240291183846352</v>
      </c>
      <c r="G13" s="10">
        <f t="shared" si="3"/>
        <v>15.052631578947368</v>
      </c>
      <c r="H13" s="10">
        <f t="shared" si="4"/>
        <v>21.381234039510101</v>
      </c>
      <c r="I13" s="10">
        <f t="shared" si="5"/>
        <v>27.709836500072832</v>
      </c>
      <c r="J13" s="14">
        <f t="shared" si="6"/>
        <v>34.038438960635567</v>
      </c>
      <c r="K13" s="13">
        <f t="shared" si="7"/>
        <v>-2.4089574944938654</v>
      </c>
      <c r="L13" s="10">
        <f t="shared" si="8"/>
        <v>-1.6015856980836296</v>
      </c>
      <c r="M13" s="10">
        <f t="shared" si="9"/>
        <v>-0.79421390167339367</v>
      </c>
      <c r="N13" s="10">
        <f t="shared" si="10"/>
        <v>1.3157894736842105E-2</v>
      </c>
      <c r="O13" s="10">
        <f t="shared" si="11"/>
        <v>0.82052969114707797</v>
      </c>
      <c r="P13" s="10">
        <f t="shared" si="12"/>
        <v>1.6279014875573137</v>
      </c>
      <c r="Q13" s="14">
        <f t="shared" si="13"/>
        <v>2.4352732839675495</v>
      </c>
    </row>
    <row r="14" spans="1:17" x14ac:dyDescent="0.25">
      <c r="A14" s="4">
        <v>44958</v>
      </c>
      <c r="B14" s="5">
        <f>IF('Catalogo de Variaveis'!T19="","",SUM('Catalogo de Variaveis'!T16:T19))</f>
        <v>14</v>
      </c>
      <c r="C14" s="15">
        <f>IFERROR(IF($B14="","",AVERAGE('Catalogo de Variaveis'!T19-'Catalogo de Variaveis'!T18,'Catalogo de Variaveis'!T18-'Catalogo de Variaveis'!T17,'Catalogo de Variaveis'!T17-'Catalogo de Variaveis'!T16,'Catalogo de Variaveis'!T16-'Catalogo de Variaveis'!T15)),0)</f>
        <v>-0.5</v>
      </c>
      <c r="D14" s="13">
        <f t="shared" si="0"/>
        <v>-3.9331758027408288</v>
      </c>
      <c r="E14" s="10">
        <f t="shared" si="1"/>
        <v>2.3954266578219023</v>
      </c>
      <c r="F14" s="10">
        <f t="shared" si="2"/>
        <v>8.7240291183846352</v>
      </c>
      <c r="G14" s="10">
        <f t="shared" si="3"/>
        <v>15.052631578947368</v>
      </c>
      <c r="H14" s="10">
        <f t="shared" si="4"/>
        <v>21.381234039510101</v>
      </c>
      <c r="I14" s="10">
        <f t="shared" si="5"/>
        <v>27.709836500072832</v>
      </c>
      <c r="J14" s="14">
        <f t="shared" si="6"/>
        <v>34.038438960635567</v>
      </c>
      <c r="K14" s="13">
        <f t="shared" si="7"/>
        <v>-2.4089574944938654</v>
      </c>
      <c r="L14" s="10">
        <f t="shared" si="8"/>
        <v>-1.6015856980836296</v>
      </c>
      <c r="M14" s="10">
        <f t="shared" si="9"/>
        <v>-0.79421390167339367</v>
      </c>
      <c r="N14" s="10">
        <f t="shared" si="10"/>
        <v>1.3157894736842105E-2</v>
      </c>
      <c r="O14" s="10">
        <f t="shared" si="11"/>
        <v>0.82052969114707797</v>
      </c>
      <c r="P14" s="10">
        <f t="shared" si="12"/>
        <v>1.6279014875573137</v>
      </c>
      <c r="Q14" s="14">
        <f t="shared" si="13"/>
        <v>2.4352732839675495</v>
      </c>
    </row>
    <row r="15" spans="1:17" x14ac:dyDescent="0.25">
      <c r="A15" s="4">
        <v>44986</v>
      </c>
      <c r="B15" s="5">
        <f>IF('Catalogo de Variaveis'!T20="","",SUM('Catalogo de Variaveis'!T17:T20))</f>
        <v>14</v>
      </c>
      <c r="C15" s="15">
        <f>IFERROR(IF($B15="","",AVERAGE('Catalogo de Variaveis'!T20-'Catalogo de Variaveis'!T19,'Catalogo de Variaveis'!T19-'Catalogo de Variaveis'!T18,'Catalogo de Variaveis'!T18-'Catalogo de Variaveis'!T17,'Catalogo de Variaveis'!T17-'Catalogo de Variaveis'!T16)),0)</f>
        <v>0</v>
      </c>
      <c r="D15" s="13">
        <f t="shared" si="0"/>
        <v>-3.9331758027408288</v>
      </c>
      <c r="E15" s="10">
        <f t="shared" si="1"/>
        <v>2.3954266578219023</v>
      </c>
      <c r="F15" s="10">
        <f t="shared" si="2"/>
        <v>8.7240291183846352</v>
      </c>
      <c r="G15" s="10">
        <f t="shared" si="3"/>
        <v>15.052631578947368</v>
      </c>
      <c r="H15" s="10">
        <f t="shared" si="4"/>
        <v>21.381234039510101</v>
      </c>
      <c r="I15" s="10">
        <f t="shared" si="5"/>
        <v>27.709836500072832</v>
      </c>
      <c r="J15" s="14">
        <f t="shared" si="6"/>
        <v>34.038438960635567</v>
      </c>
      <c r="K15" s="13">
        <f t="shared" si="7"/>
        <v>-2.4089574944938654</v>
      </c>
      <c r="L15" s="10">
        <f t="shared" si="8"/>
        <v>-1.6015856980836296</v>
      </c>
      <c r="M15" s="10">
        <f t="shared" si="9"/>
        <v>-0.79421390167339367</v>
      </c>
      <c r="N15" s="10">
        <f t="shared" si="10"/>
        <v>1.3157894736842105E-2</v>
      </c>
      <c r="O15" s="10">
        <f t="shared" si="11"/>
        <v>0.82052969114707797</v>
      </c>
      <c r="P15" s="10">
        <f t="shared" si="12"/>
        <v>1.6279014875573137</v>
      </c>
      <c r="Q15" s="14">
        <f t="shared" si="13"/>
        <v>2.4352732839675495</v>
      </c>
    </row>
    <row r="16" spans="1:17" x14ac:dyDescent="0.25">
      <c r="A16" s="4">
        <v>45017</v>
      </c>
      <c r="B16" s="5">
        <f>IF('Catalogo de Variaveis'!T21="","",SUM('Catalogo de Variaveis'!T18:T21))</f>
        <v>16</v>
      </c>
      <c r="C16" s="15">
        <f>IFERROR(IF($B16="","",AVERAGE('Catalogo de Variaveis'!T21-'Catalogo de Variaveis'!T20,'Catalogo de Variaveis'!T20-'Catalogo de Variaveis'!T19,'Catalogo de Variaveis'!T19-'Catalogo de Variaveis'!T18,'Catalogo de Variaveis'!T18-'Catalogo de Variaveis'!T17)),0)</f>
        <v>0.5</v>
      </c>
      <c r="D16" s="13">
        <f t="shared" si="0"/>
        <v>-3.9331758027408288</v>
      </c>
      <c r="E16" s="10">
        <f t="shared" si="1"/>
        <v>2.3954266578219023</v>
      </c>
      <c r="F16" s="10">
        <f t="shared" si="2"/>
        <v>8.7240291183846352</v>
      </c>
      <c r="G16" s="10">
        <f t="shared" si="3"/>
        <v>15.052631578947368</v>
      </c>
      <c r="H16" s="10">
        <f t="shared" si="4"/>
        <v>21.381234039510101</v>
      </c>
      <c r="I16" s="10">
        <f t="shared" si="5"/>
        <v>27.709836500072832</v>
      </c>
      <c r="J16" s="14">
        <f t="shared" si="6"/>
        <v>34.038438960635567</v>
      </c>
      <c r="K16" s="13">
        <f t="shared" si="7"/>
        <v>-2.4089574944938654</v>
      </c>
      <c r="L16" s="10">
        <f t="shared" si="8"/>
        <v>-1.6015856980836296</v>
      </c>
      <c r="M16" s="10">
        <f t="shared" si="9"/>
        <v>-0.79421390167339367</v>
      </c>
      <c r="N16" s="10">
        <f t="shared" si="10"/>
        <v>1.3157894736842105E-2</v>
      </c>
      <c r="O16" s="10">
        <f t="shared" si="11"/>
        <v>0.82052969114707797</v>
      </c>
      <c r="P16" s="10">
        <f t="shared" si="12"/>
        <v>1.6279014875573137</v>
      </c>
      <c r="Q16" s="14">
        <f t="shared" si="13"/>
        <v>2.4352732839675495</v>
      </c>
    </row>
    <row r="17" spans="1:17" x14ac:dyDescent="0.25">
      <c r="A17" s="4">
        <v>45047</v>
      </c>
      <c r="B17" s="5">
        <f>IF('Catalogo de Variaveis'!T22="","",SUM('Catalogo de Variaveis'!T19:T22))</f>
        <v>18</v>
      </c>
      <c r="C17" s="15">
        <f>IFERROR(IF($B17="","",AVERAGE('Catalogo de Variaveis'!T22-'Catalogo de Variaveis'!T21,'Catalogo de Variaveis'!T21-'Catalogo de Variaveis'!T20,'Catalogo de Variaveis'!T20-'Catalogo de Variaveis'!T19,'Catalogo de Variaveis'!T19-'Catalogo de Variaveis'!T18)),0)</f>
        <v>0.5</v>
      </c>
      <c r="D17" s="13">
        <f t="shared" si="0"/>
        <v>-3.9331758027408288</v>
      </c>
      <c r="E17" s="10">
        <f t="shared" si="1"/>
        <v>2.3954266578219023</v>
      </c>
      <c r="F17" s="10">
        <f t="shared" si="2"/>
        <v>8.7240291183846352</v>
      </c>
      <c r="G17" s="10">
        <f t="shared" si="3"/>
        <v>15.052631578947368</v>
      </c>
      <c r="H17" s="10">
        <f t="shared" si="4"/>
        <v>21.381234039510101</v>
      </c>
      <c r="I17" s="10">
        <f t="shared" si="5"/>
        <v>27.709836500072832</v>
      </c>
      <c r="J17" s="14">
        <f t="shared" si="6"/>
        <v>34.038438960635567</v>
      </c>
      <c r="K17" s="13">
        <f t="shared" si="7"/>
        <v>-2.4089574944938654</v>
      </c>
      <c r="L17" s="10">
        <f t="shared" si="8"/>
        <v>-1.6015856980836296</v>
      </c>
      <c r="M17" s="10">
        <f t="shared" si="9"/>
        <v>-0.79421390167339367</v>
      </c>
      <c r="N17" s="10">
        <f t="shared" si="10"/>
        <v>1.3157894736842105E-2</v>
      </c>
      <c r="O17" s="10">
        <f t="shared" si="11"/>
        <v>0.82052969114707797</v>
      </c>
      <c r="P17" s="10">
        <f t="shared" si="12"/>
        <v>1.6279014875573137</v>
      </c>
      <c r="Q17" s="14">
        <f t="shared" si="13"/>
        <v>2.4352732839675495</v>
      </c>
    </row>
    <row r="18" spans="1:17" x14ac:dyDescent="0.25">
      <c r="A18" s="4">
        <v>45078</v>
      </c>
      <c r="B18" s="5">
        <f>IF('Catalogo de Variaveis'!T23="","",SUM('Catalogo de Variaveis'!T20:T23))</f>
        <v>23</v>
      </c>
      <c r="C18" s="15">
        <f>IFERROR(IF($B18="","",AVERAGE('Catalogo de Variaveis'!T23-'Catalogo de Variaveis'!T22,'Catalogo de Variaveis'!T22-'Catalogo de Variaveis'!T21,'Catalogo de Variaveis'!T21-'Catalogo de Variaveis'!T20,'Catalogo de Variaveis'!T20-'Catalogo de Variaveis'!T19)),0)</f>
        <v>1.25</v>
      </c>
      <c r="D18" s="13">
        <f t="shared" si="0"/>
        <v>-3.9331758027408288</v>
      </c>
      <c r="E18" s="10">
        <f t="shared" si="1"/>
        <v>2.3954266578219023</v>
      </c>
      <c r="F18" s="10">
        <f t="shared" si="2"/>
        <v>8.7240291183846352</v>
      </c>
      <c r="G18" s="10">
        <f t="shared" si="3"/>
        <v>15.052631578947368</v>
      </c>
      <c r="H18" s="10">
        <f t="shared" si="4"/>
        <v>21.381234039510101</v>
      </c>
      <c r="I18" s="10">
        <f t="shared" si="5"/>
        <v>27.709836500072832</v>
      </c>
      <c r="J18" s="14">
        <f t="shared" si="6"/>
        <v>34.038438960635567</v>
      </c>
      <c r="K18" s="13">
        <f t="shared" si="7"/>
        <v>-2.4089574944938654</v>
      </c>
      <c r="L18" s="10">
        <f t="shared" si="8"/>
        <v>-1.6015856980836296</v>
      </c>
      <c r="M18" s="10">
        <f t="shared" si="9"/>
        <v>-0.79421390167339367</v>
      </c>
      <c r="N18" s="10">
        <f t="shared" si="10"/>
        <v>1.3157894736842105E-2</v>
      </c>
      <c r="O18" s="10">
        <f t="shared" si="11"/>
        <v>0.82052969114707797</v>
      </c>
      <c r="P18" s="10">
        <f t="shared" si="12"/>
        <v>1.6279014875573137</v>
      </c>
      <c r="Q18" s="14">
        <f t="shared" si="13"/>
        <v>2.4352732839675495</v>
      </c>
    </row>
    <row r="19" spans="1:17" x14ac:dyDescent="0.25">
      <c r="A19" s="4">
        <v>45108</v>
      </c>
      <c r="B19" s="5">
        <f>IF('Catalogo de Variaveis'!T24="","",SUM('Catalogo de Variaveis'!T21:T24))</f>
        <v>20</v>
      </c>
      <c r="C19" s="15">
        <f>IFERROR(IF($B19="","",AVERAGE('Catalogo de Variaveis'!T24-'Catalogo de Variaveis'!T23,'Catalogo de Variaveis'!T23-'Catalogo de Variaveis'!T22,'Catalogo de Variaveis'!T22-'Catalogo de Variaveis'!T21,'Catalogo de Variaveis'!T21-'Catalogo de Variaveis'!T20)),0)</f>
        <v>-0.75</v>
      </c>
      <c r="D19" s="13">
        <f t="shared" si="0"/>
        <v>-3.9331758027408288</v>
      </c>
      <c r="E19" s="10">
        <f t="shared" si="1"/>
        <v>2.3954266578219023</v>
      </c>
      <c r="F19" s="10">
        <f t="shared" si="2"/>
        <v>8.7240291183846352</v>
      </c>
      <c r="G19" s="10">
        <f t="shared" si="3"/>
        <v>15.052631578947368</v>
      </c>
      <c r="H19" s="10">
        <f t="shared" si="4"/>
        <v>21.381234039510101</v>
      </c>
      <c r="I19" s="10">
        <f t="shared" si="5"/>
        <v>27.709836500072832</v>
      </c>
      <c r="J19" s="14">
        <f t="shared" si="6"/>
        <v>34.038438960635567</v>
      </c>
      <c r="K19" s="13">
        <f t="shared" si="7"/>
        <v>-2.4089574944938654</v>
      </c>
      <c r="L19" s="10">
        <f t="shared" si="8"/>
        <v>-1.6015856980836296</v>
      </c>
      <c r="M19" s="10">
        <f t="shared" si="9"/>
        <v>-0.79421390167339367</v>
      </c>
      <c r="N19" s="10">
        <f t="shared" si="10"/>
        <v>1.3157894736842105E-2</v>
      </c>
      <c r="O19" s="10">
        <f t="shared" si="11"/>
        <v>0.82052969114707797</v>
      </c>
      <c r="P19" s="10">
        <f t="shared" si="12"/>
        <v>1.6279014875573137</v>
      </c>
      <c r="Q19" s="14">
        <f t="shared" si="13"/>
        <v>2.4352732839675495</v>
      </c>
    </row>
    <row r="20" spans="1:17" x14ac:dyDescent="0.25">
      <c r="A20" s="4">
        <v>45139</v>
      </c>
      <c r="B20" s="5">
        <f>IF('Catalogo de Variaveis'!T25="","",SUM('Catalogo de Variaveis'!T22:T25))</f>
        <v>22</v>
      </c>
      <c r="C20" s="15">
        <f>IFERROR(IF($B20="","",AVERAGE('Catalogo de Variaveis'!T25-'Catalogo de Variaveis'!T24,'Catalogo de Variaveis'!T24-'Catalogo de Variaveis'!T23,'Catalogo de Variaveis'!T23-'Catalogo de Variaveis'!T22,'Catalogo de Variaveis'!T22-'Catalogo de Variaveis'!T21)),0)</f>
        <v>0.5</v>
      </c>
      <c r="D20" s="13">
        <f t="shared" si="0"/>
        <v>-3.9331758027408288</v>
      </c>
      <c r="E20" s="10">
        <f t="shared" si="1"/>
        <v>2.3954266578219023</v>
      </c>
      <c r="F20" s="10">
        <f t="shared" si="2"/>
        <v>8.7240291183846352</v>
      </c>
      <c r="G20" s="10">
        <f t="shared" si="3"/>
        <v>15.052631578947368</v>
      </c>
      <c r="H20" s="10">
        <f t="shared" si="4"/>
        <v>21.381234039510101</v>
      </c>
      <c r="I20" s="10">
        <f t="shared" si="5"/>
        <v>27.709836500072832</v>
      </c>
      <c r="J20" s="14">
        <f t="shared" si="6"/>
        <v>34.038438960635567</v>
      </c>
      <c r="K20" s="13">
        <f t="shared" si="7"/>
        <v>-2.4089574944938654</v>
      </c>
      <c r="L20" s="10">
        <f t="shared" si="8"/>
        <v>-1.6015856980836296</v>
      </c>
      <c r="M20" s="10">
        <f t="shared" si="9"/>
        <v>-0.79421390167339367</v>
      </c>
      <c r="N20" s="10">
        <f t="shared" si="10"/>
        <v>1.3157894736842105E-2</v>
      </c>
      <c r="O20" s="10">
        <f t="shared" si="11"/>
        <v>0.82052969114707797</v>
      </c>
      <c r="P20" s="10">
        <f t="shared" si="12"/>
        <v>1.6279014875573137</v>
      </c>
      <c r="Q20" s="14">
        <f t="shared" si="13"/>
        <v>2.4352732839675495</v>
      </c>
    </row>
    <row r="21" spans="1:17" x14ac:dyDescent="0.25">
      <c r="A21" s="4">
        <v>45170</v>
      </c>
      <c r="B21" s="5">
        <f>IF('Catalogo de Variaveis'!T26="","",SUM('Catalogo de Variaveis'!T23:T26))</f>
        <v>23</v>
      </c>
      <c r="C21" s="15">
        <f>IFERROR(IF($B21="","",AVERAGE('Catalogo de Variaveis'!T26-'Catalogo de Variaveis'!T25,'Catalogo de Variaveis'!T25-'Catalogo de Variaveis'!T24,'Catalogo de Variaveis'!T24-'Catalogo de Variaveis'!T23,'Catalogo de Variaveis'!T23-'Catalogo de Variaveis'!T22)),0)</f>
        <v>0.25</v>
      </c>
      <c r="D21" s="13">
        <f t="shared" si="0"/>
        <v>-3.9331758027408288</v>
      </c>
      <c r="E21" s="10">
        <f t="shared" si="1"/>
        <v>2.3954266578219023</v>
      </c>
      <c r="F21" s="10">
        <f t="shared" si="2"/>
        <v>8.7240291183846352</v>
      </c>
      <c r="G21" s="10">
        <f t="shared" si="3"/>
        <v>15.052631578947368</v>
      </c>
      <c r="H21" s="10">
        <f t="shared" si="4"/>
        <v>21.381234039510101</v>
      </c>
      <c r="I21" s="10">
        <f t="shared" si="5"/>
        <v>27.709836500072832</v>
      </c>
      <c r="J21" s="14">
        <f t="shared" si="6"/>
        <v>34.038438960635567</v>
      </c>
      <c r="K21" s="13">
        <f t="shared" si="7"/>
        <v>-2.4089574944938654</v>
      </c>
      <c r="L21" s="10">
        <f t="shared" si="8"/>
        <v>-1.6015856980836296</v>
      </c>
      <c r="M21" s="10">
        <f t="shared" si="9"/>
        <v>-0.79421390167339367</v>
      </c>
      <c r="N21" s="10">
        <f t="shared" si="10"/>
        <v>1.3157894736842105E-2</v>
      </c>
      <c r="O21" s="10">
        <f t="shared" si="11"/>
        <v>0.82052969114707797</v>
      </c>
      <c r="P21" s="10">
        <f t="shared" si="12"/>
        <v>1.6279014875573137</v>
      </c>
      <c r="Q21" s="14">
        <f t="shared" si="13"/>
        <v>2.4352732839675495</v>
      </c>
    </row>
    <row r="22" spans="1:17" x14ac:dyDescent="0.25">
      <c r="A22" s="4">
        <v>45200</v>
      </c>
      <c r="B22" s="5">
        <f>IF('Catalogo de Variaveis'!T27="","",SUM('Catalogo de Variaveis'!T24:T27))</f>
        <v>22</v>
      </c>
      <c r="C22" s="15">
        <f>IFERROR(IF($B22="","",AVERAGE('Catalogo de Variaveis'!T27-'Catalogo de Variaveis'!T26,'Catalogo de Variaveis'!T26-'Catalogo de Variaveis'!T25,'Catalogo de Variaveis'!T25-'Catalogo de Variaveis'!T24,'Catalogo de Variaveis'!T24-'Catalogo de Variaveis'!T23)),0)</f>
        <v>-0.25</v>
      </c>
      <c r="D22" s="13">
        <f t="shared" si="0"/>
        <v>-3.9331758027408288</v>
      </c>
      <c r="E22" s="10">
        <f t="shared" si="1"/>
        <v>2.3954266578219023</v>
      </c>
      <c r="F22" s="10">
        <f t="shared" si="2"/>
        <v>8.7240291183846352</v>
      </c>
      <c r="G22" s="10">
        <f t="shared" si="3"/>
        <v>15.052631578947368</v>
      </c>
      <c r="H22" s="10">
        <f t="shared" si="4"/>
        <v>21.381234039510101</v>
      </c>
      <c r="I22" s="10">
        <f t="shared" si="5"/>
        <v>27.709836500072832</v>
      </c>
      <c r="J22" s="14">
        <f t="shared" si="6"/>
        <v>34.038438960635567</v>
      </c>
      <c r="K22" s="13">
        <f t="shared" si="7"/>
        <v>-2.4089574944938654</v>
      </c>
      <c r="L22" s="10">
        <f t="shared" si="8"/>
        <v>-1.6015856980836296</v>
      </c>
      <c r="M22" s="10">
        <f t="shared" si="9"/>
        <v>-0.79421390167339367</v>
      </c>
      <c r="N22" s="10">
        <f t="shared" si="10"/>
        <v>1.3157894736842105E-2</v>
      </c>
      <c r="O22" s="10">
        <f t="shared" si="11"/>
        <v>0.82052969114707797</v>
      </c>
      <c r="P22" s="10">
        <f t="shared" si="12"/>
        <v>1.6279014875573137</v>
      </c>
      <c r="Q22" s="14">
        <f t="shared" si="13"/>
        <v>2.4352732839675495</v>
      </c>
    </row>
    <row r="23" spans="1:17" x14ac:dyDescent="0.25">
      <c r="A23" s="4">
        <v>45231</v>
      </c>
      <c r="B23" s="5">
        <f>IF('Catalogo de Variaveis'!T28="","",SUM('Catalogo de Variaveis'!T25:T28))</f>
        <v>23</v>
      </c>
      <c r="C23" s="15">
        <f>IFERROR(IF($B23="","",AVERAGE('Catalogo de Variaveis'!T28-'Catalogo de Variaveis'!T27,'Catalogo de Variaveis'!T27-'Catalogo de Variaveis'!T26,'Catalogo de Variaveis'!T26-'Catalogo de Variaveis'!T25,'Catalogo de Variaveis'!T25-'Catalogo de Variaveis'!T24)),0)</f>
        <v>0.25</v>
      </c>
      <c r="D23" s="13">
        <f t="shared" si="0"/>
        <v>-3.9331758027408288</v>
      </c>
      <c r="E23" s="10">
        <f t="shared" si="1"/>
        <v>2.3954266578219023</v>
      </c>
      <c r="F23" s="10">
        <f t="shared" si="2"/>
        <v>8.7240291183846352</v>
      </c>
      <c r="G23" s="10">
        <f t="shared" si="3"/>
        <v>15.052631578947368</v>
      </c>
      <c r="H23" s="10">
        <f t="shared" si="4"/>
        <v>21.381234039510101</v>
      </c>
      <c r="I23" s="10">
        <f t="shared" si="5"/>
        <v>27.709836500072832</v>
      </c>
      <c r="J23" s="14">
        <f t="shared" si="6"/>
        <v>34.038438960635567</v>
      </c>
      <c r="K23" s="13">
        <f t="shared" si="7"/>
        <v>-2.4089574944938654</v>
      </c>
      <c r="L23" s="10">
        <f t="shared" si="8"/>
        <v>-1.6015856980836296</v>
      </c>
      <c r="M23" s="10">
        <f t="shared" si="9"/>
        <v>-0.79421390167339367</v>
      </c>
      <c r="N23" s="10">
        <f t="shared" si="10"/>
        <v>1.3157894736842105E-2</v>
      </c>
      <c r="O23" s="10">
        <f t="shared" si="11"/>
        <v>0.82052969114707797</v>
      </c>
      <c r="P23" s="10">
        <f t="shared" si="12"/>
        <v>1.6279014875573137</v>
      </c>
      <c r="Q23" s="14">
        <f t="shared" si="13"/>
        <v>2.4352732839675495</v>
      </c>
    </row>
    <row r="24" spans="1:17" x14ac:dyDescent="0.25">
      <c r="A24" s="4">
        <v>45261</v>
      </c>
      <c r="B24" s="5">
        <f>IF('Catalogo de Variaveis'!T29="","",SUM('Catalogo de Variaveis'!T26:T29))</f>
        <v>24</v>
      </c>
      <c r="C24" s="15">
        <f>IFERROR(IF($B24="","",AVERAGE('Catalogo de Variaveis'!T29-'Catalogo de Variaveis'!T28,'Catalogo de Variaveis'!T28-'Catalogo de Variaveis'!T27,'Catalogo de Variaveis'!T27-'Catalogo de Variaveis'!T26,'Catalogo de Variaveis'!T26-'Catalogo de Variaveis'!T25)),0)</f>
        <v>0.25</v>
      </c>
      <c r="D24" s="13">
        <f t="shared" si="0"/>
        <v>-3.9331758027408288</v>
      </c>
      <c r="E24" s="10">
        <f t="shared" si="1"/>
        <v>2.3954266578219023</v>
      </c>
      <c r="F24" s="10">
        <f t="shared" si="2"/>
        <v>8.7240291183846352</v>
      </c>
      <c r="G24" s="10">
        <f t="shared" si="3"/>
        <v>15.052631578947368</v>
      </c>
      <c r="H24" s="10">
        <f t="shared" si="4"/>
        <v>21.381234039510101</v>
      </c>
      <c r="I24" s="10">
        <f t="shared" si="5"/>
        <v>27.709836500072832</v>
      </c>
      <c r="J24" s="14">
        <f t="shared" si="6"/>
        <v>34.038438960635567</v>
      </c>
      <c r="K24" s="13">
        <f t="shared" si="7"/>
        <v>-2.4089574944938654</v>
      </c>
      <c r="L24" s="10">
        <f t="shared" si="8"/>
        <v>-1.6015856980836296</v>
      </c>
      <c r="M24" s="10">
        <f t="shared" si="9"/>
        <v>-0.79421390167339367</v>
      </c>
      <c r="N24" s="10">
        <f t="shared" si="10"/>
        <v>1.3157894736842105E-2</v>
      </c>
      <c r="O24" s="10">
        <f t="shared" si="11"/>
        <v>0.82052969114707797</v>
      </c>
      <c r="P24" s="10">
        <f t="shared" si="12"/>
        <v>1.6279014875573137</v>
      </c>
      <c r="Q24" s="14">
        <f t="shared" si="13"/>
        <v>2.4352732839675495</v>
      </c>
    </row>
    <row r="25" spans="1:17" x14ac:dyDescent="0.25">
      <c r="A25" s="4">
        <v>45292</v>
      </c>
      <c r="B25" s="5">
        <f>IF('Catalogo de Variaveis'!T30="","",SUM('Catalogo de Variaveis'!T27:T30))</f>
        <v>27</v>
      </c>
      <c r="C25" s="15">
        <f>IFERROR(IF($B25="","",AVERAGE('Catalogo de Variaveis'!T30-'Catalogo de Variaveis'!T29,'Catalogo de Variaveis'!T29-'Catalogo de Variaveis'!T28,'Catalogo de Variaveis'!T28-'Catalogo de Variaveis'!T27,'Catalogo de Variaveis'!T27-'Catalogo de Variaveis'!T26)),0)</f>
        <v>0.75</v>
      </c>
      <c r="D25" s="13">
        <f t="shared" si="0"/>
        <v>-3.9331758027408288</v>
      </c>
      <c r="E25" s="10">
        <f t="shared" si="1"/>
        <v>2.3954266578219023</v>
      </c>
      <c r="F25" s="10">
        <f t="shared" si="2"/>
        <v>8.7240291183846352</v>
      </c>
      <c r="G25" s="10">
        <f t="shared" si="3"/>
        <v>15.052631578947368</v>
      </c>
      <c r="H25" s="10">
        <f t="shared" si="4"/>
        <v>21.381234039510101</v>
      </c>
      <c r="I25" s="10">
        <f t="shared" si="5"/>
        <v>27.709836500072832</v>
      </c>
      <c r="J25" s="14">
        <f t="shared" si="6"/>
        <v>34.038438960635567</v>
      </c>
      <c r="K25" s="13">
        <f t="shared" si="7"/>
        <v>-2.4089574944938654</v>
      </c>
      <c r="L25" s="10">
        <f t="shared" si="8"/>
        <v>-1.6015856980836296</v>
      </c>
      <c r="M25" s="10">
        <f t="shared" si="9"/>
        <v>-0.79421390167339367</v>
      </c>
      <c r="N25" s="10">
        <f t="shared" si="10"/>
        <v>1.3157894736842105E-2</v>
      </c>
      <c r="O25" s="10">
        <f t="shared" si="11"/>
        <v>0.82052969114707797</v>
      </c>
      <c r="P25" s="10">
        <f t="shared" si="12"/>
        <v>1.6279014875573137</v>
      </c>
      <c r="Q25" s="14">
        <f t="shared" si="13"/>
        <v>2.4352732839675495</v>
      </c>
    </row>
    <row r="26" spans="1:17" x14ac:dyDescent="0.25">
      <c r="A26" s="4">
        <v>45323</v>
      </c>
      <c r="B26" s="5">
        <f>IF('Catalogo de Variaveis'!T31="","",SUM('Catalogo de Variaveis'!T28:T31))</f>
        <v>23</v>
      </c>
      <c r="C26" s="15">
        <f>IFERROR(IF($B26="","",AVERAGE('Catalogo de Variaveis'!T31-'Catalogo de Variaveis'!T30,'Catalogo de Variaveis'!T30-'Catalogo de Variaveis'!T29,'Catalogo de Variaveis'!T29-'Catalogo de Variaveis'!T28,'Catalogo de Variaveis'!T28-'Catalogo de Variaveis'!T27)),0)</f>
        <v>-1</v>
      </c>
      <c r="D26" s="13">
        <f t="shared" si="0"/>
        <v>-3.9331758027408288</v>
      </c>
      <c r="E26" s="10">
        <f t="shared" si="1"/>
        <v>2.3954266578219023</v>
      </c>
      <c r="F26" s="10">
        <f t="shared" si="2"/>
        <v>8.7240291183846352</v>
      </c>
      <c r="G26" s="10">
        <f t="shared" si="3"/>
        <v>15.052631578947368</v>
      </c>
      <c r="H26" s="10">
        <f t="shared" si="4"/>
        <v>21.381234039510101</v>
      </c>
      <c r="I26" s="10">
        <f t="shared" si="5"/>
        <v>27.709836500072832</v>
      </c>
      <c r="J26" s="14">
        <f t="shared" si="6"/>
        <v>34.038438960635567</v>
      </c>
      <c r="K26" s="13">
        <f t="shared" si="7"/>
        <v>-2.4089574944938654</v>
      </c>
      <c r="L26" s="10">
        <f t="shared" si="8"/>
        <v>-1.6015856980836296</v>
      </c>
      <c r="M26" s="10">
        <f t="shared" si="9"/>
        <v>-0.79421390167339367</v>
      </c>
      <c r="N26" s="10">
        <f t="shared" si="10"/>
        <v>1.3157894736842105E-2</v>
      </c>
      <c r="O26" s="10">
        <f t="shared" si="11"/>
        <v>0.82052969114707797</v>
      </c>
      <c r="P26" s="10">
        <f t="shared" si="12"/>
        <v>1.6279014875573137</v>
      </c>
      <c r="Q26" s="14">
        <f t="shared" si="13"/>
        <v>2.4352732839675495</v>
      </c>
    </row>
    <row r="27" spans="1:17" x14ac:dyDescent="0.25">
      <c r="A27" s="4">
        <v>45352</v>
      </c>
      <c r="B27" s="5">
        <f>IF('Catalogo de Variaveis'!T32="","",SUM('Catalogo de Variaveis'!T29:T32))</f>
        <v>21</v>
      </c>
      <c r="C27" s="15">
        <f>IFERROR(IF($B27="","",AVERAGE('Catalogo de Variaveis'!T32-'Catalogo de Variaveis'!T31,'Catalogo de Variaveis'!T31-'Catalogo de Variaveis'!T30,'Catalogo de Variaveis'!T30-'Catalogo de Variaveis'!T29,'Catalogo de Variaveis'!T29-'Catalogo de Variaveis'!T28)),0)</f>
        <v>-0.5</v>
      </c>
      <c r="D27" s="13">
        <f t="shared" si="0"/>
        <v>-3.9331758027408288</v>
      </c>
      <c r="E27" s="10">
        <f t="shared" si="1"/>
        <v>2.3954266578219023</v>
      </c>
      <c r="F27" s="10">
        <f t="shared" si="2"/>
        <v>8.7240291183846352</v>
      </c>
      <c r="G27" s="10">
        <f t="shared" si="3"/>
        <v>15.052631578947368</v>
      </c>
      <c r="H27" s="10">
        <f t="shared" si="4"/>
        <v>21.381234039510101</v>
      </c>
      <c r="I27" s="10">
        <f t="shared" si="5"/>
        <v>27.709836500072832</v>
      </c>
      <c r="J27" s="14">
        <f t="shared" si="6"/>
        <v>34.038438960635567</v>
      </c>
      <c r="K27" s="13">
        <f t="shared" si="7"/>
        <v>-2.4089574944938654</v>
      </c>
      <c r="L27" s="10">
        <f t="shared" si="8"/>
        <v>-1.6015856980836296</v>
      </c>
      <c r="M27" s="10">
        <f t="shared" si="9"/>
        <v>-0.79421390167339367</v>
      </c>
      <c r="N27" s="10">
        <f t="shared" si="10"/>
        <v>1.3157894736842105E-2</v>
      </c>
      <c r="O27" s="10">
        <f t="shared" si="11"/>
        <v>0.82052969114707797</v>
      </c>
      <c r="P27" s="10">
        <f t="shared" si="12"/>
        <v>1.6279014875573137</v>
      </c>
      <c r="Q27" s="14">
        <f t="shared" si="13"/>
        <v>2.4352732839675495</v>
      </c>
    </row>
    <row r="28" spans="1:17" x14ac:dyDescent="0.25">
      <c r="A28" s="4">
        <v>45383</v>
      </c>
      <c r="B28" s="5">
        <f>IF('Catalogo de Variaveis'!T33="","",SUM('Catalogo de Variaveis'!T30:T33))</f>
        <v>17</v>
      </c>
      <c r="C28" s="15">
        <f>IFERROR(IF($B28="","",AVERAGE('Catalogo de Variaveis'!T33-'Catalogo de Variaveis'!T32,'Catalogo de Variaveis'!T32-'Catalogo de Variaveis'!T31,'Catalogo de Variaveis'!T31-'Catalogo de Variaveis'!T30,'Catalogo de Variaveis'!T30-'Catalogo de Variaveis'!T29)),0)</f>
        <v>-1</v>
      </c>
      <c r="D28" s="13">
        <f t="shared" si="0"/>
        <v>-3.9331758027408288</v>
      </c>
      <c r="E28" s="10">
        <f t="shared" si="1"/>
        <v>2.3954266578219023</v>
      </c>
      <c r="F28" s="10">
        <f t="shared" si="2"/>
        <v>8.7240291183846352</v>
      </c>
      <c r="G28" s="10">
        <f t="shared" si="3"/>
        <v>15.052631578947368</v>
      </c>
      <c r="H28" s="10">
        <f t="shared" si="4"/>
        <v>21.381234039510101</v>
      </c>
      <c r="I28" s="10">
        <f t="shared" si="5"/>
        <v>27.709836500072832</v>
      </c>
      <c r="J28" s="14">
        <f t="shared" si="6"/>
        <v>34.038438960635567</v>
      </c>
      <c r="K28" s="13">
        <f t="shared" si="7"/>
        <v>-2.4089574944938654</v>
      </c>
      <c r="L28" s="10">
        <f t="shared" si="8"/>
        <v>-1.6015856980836296</v>
      </c>
      <c r="M28" s="10">
        <f t="shared" si="9"/>
        <v>-0.79421390167339367</v>
      </c>
      <c r="N28" s="10">
        <f t="shared" si="10"/>
        <v>1.3157894736842105E-2</v>
      </c>
      <c r="O28" s="10">
        <f t="shared" si="11"/>
        <v>0.82052969114707797</v>
      </c>
      <c r="P28" s="10">
        <f t="shared" si="12"/>
        <v>1.6279014875573137</v>
      </c>
      <c r="Q28" s="14">
        <f t="shared" si="13"/>
        <v>2.4352732839675495</v>
      </c>
    </row>
    <row r="29" spans="1:17" x14ac:dyDescent="0.25">
      <c r="A29" s="4">
        <v>45413</v>
      </c>
      <c r="B29" s="5">
        <f>IF('Catalogo de Variaveis'!T34="","",SUM('Catalogo de Variaveis'!T31:T34))</f>
        <v>15</v>
      </c>
      <c r="C29" s="15">
        <f>IFERROR(IF($B29="","",AVERAGE('Catalogo de Variaveis'!T34-'Catalogo de Variaveis'!T33,'Catalogo de Variaveis'!T33-'Catalogo de Variaveis'!T32,'Catalogo de Variaveis'!T32-'Catalogo de Variaveis'!T31,'Catalogo de Variaveis'!T31-'Catalogo de Variaveis'!T30)),0)</f>
        <v>-0.5</v>
      </c>
      <c r="D29" s="13">
        <f t="shared" si="0"/>
        <v>-3.9331758027408288</v>
      </c>
      <c r="E29" s="10">
        <f t="shared" si="1"/>
        <v>2.3954266578219023</v>
      </c>
      <c r="F29" s="10">
        <f t="shared" si="2"/>
        <v>8.7240291183846352</v>
      </c>
      <c r="G29" s="10">
        <f t="shared" si="3"/>
        <v>15.052631578947368</v>
      </c>
      <c r="H29" s="10">
        <f t="shared" si="4"/>
        <v>21.381234039510101</v>
      </c>
      <c r="I29" s="10">
        <f t="shared" si="5"/>
        <v>27.709836500072832</v>
      </c>
      <c r="J29" s="14">
        <f t="shared" si="6"/>
        <v>34.038438960635567</v>
      </c>
      <c r="K29" s="13">
        <f t="shared" si="7"/>
        <v>-2.4089574944938654</v>
      </c>
      <c r="L29" s="10">
        <f t="shared" si="8"/>
        <v>-1.6015856980836296</v>
      </c>
      <c r="M29" s="10">
        <f t="shared" si="9"/>
        <v>-0.79421390167339367</v>
      </c>
      <c r="N29" s="10">
        <f t="shared" si="10"/>
        <v>1.3157894736842105E-2</v>
      </c>
      <c r="O29" s="10">
        <f t="shared" si="11"/>
        <v>0.82052969114707797</v>
      </c>
      <c r="P29" s="10">
        <f t="shared" si="12"/>
        <v>1.6279014875573137</v>
      </c>
      <c r="Q29" s="14">
        <f t="shared" si="13"/>
        <v>2.4352732839675495</v>
      </c>
    </row>
    <row r="30" spans="1:17" x14ac:dyDescent="0.25">
      <c r="A30" s="4">
        <v>45444</v>
      </c>
      <c r="B30" s="5">
        <f>IF('Catalogo de Variaveis'!T35="","",SUM('Catalogo de Variaveis'!T32:T35))</f>
        <v>16</v>
      </c>
      <c r="C30" s="15">
        <f>IFERROR(IF($B30="","",AVERAGE('Catalogo de Variaveis'!T35-'Catalogo de Variaveis'!T34,'Catalogo de Variaveis'!T34-'Catalogo de Variaveis'!T33,'Catalogo de Variaveis'!T33-'Catalogo de Variaveis'!T32,'Catalogo de Variaveis'!T32-'Catalogo de Variaveis'!T31)),0)</f>
        <v>0.25</v>
      </c>
      <c r="D30" s="13">
        <f>IF($B30="","",IF(OR($J$1="",$J$2=""),$B$1-3*$B$2,$J$1-3*$J$2))</f>
        <v>-3.9331758027408288</v>
      </c>
      <c r="E30" s="10">
        <f>IF($B30="","",IF(OR($J$1="",$J$2=""),$B$1-2*$B$2,$J$1-2*$J$2))</f>
        <v>2.3954266578219023</v>
      </c>
      <c r="F30" s="10">
        <f>IF($B30="","",IF(OR($J$1="",$J$2=""),$B$1-$B$2,$J$1-$J$2))</f>
        <v>8.7240291183846352</v>
      </c>
      <c r="G30" s="10">
        <f>IF($B30="","",IF(OR($J$1="",$J$2=""),$B$1,$J$1))</f>
        <v>15.052631578947368</v>
      </c>
      <c r="H30" s="10">
        <f>IF($B30="","",IF(OR($J$1="",$J$2=""),$B$1+$B$2,$J$1+$J$2))</f>
        <v>21.381234039510101</v>
      </c>
      <c r="I30" s="10">
        <f>IF($B30="","",IF(OR($J$1="",$J$2=""),$B$1+2*$B$2,$J$1+2*$J$2))</f>
        <v>27.709836500072832</v>
      </c>
      <c r="J30" s="14">
        <f>IF($B30="","",IF(OR($J$1="",$J$2=""),$B$1+3*$B$2,$J$1+3*$J$2))</f>
        <v>34.038438960635567</v>
      </c>
      <c r="K30" s="13">
        <f t="shared" si="7"/>
        <v>-2.4089574944938654</v>
      </c>
      <c r="L30" s="10">
        <f t="shared" si="8"/>
        <v>-1.6015856980836296</v>
      </c>
      <c r="M30" s="10">
        <f t="shared" si="9"/>
        <v>-0.79421390167339367</v>
      </c>
      <c r="N30" s="10">
        <f t="shared" si="10"/>
        <v>1.3157894736842105E-2</v>
      </c>
      <c r="O30" s="10">
        <f t="shared" si="11"/>
        <v>0.82052969114707797</v>
      </c>
      <c r="P30" s="10">
        <f t="shared" si="12"/>
        <v>1.6279014875573137</v>
      </c>
      <c r="Q30" s="14">
        <f t="shared" si="13"/>
        <v>2.4352732839675495</v>
      </c>
    </row>
    <row r="31" spans="1:17" x14ac:dyDescent="0.25">
      <c r="A31" s="4">
        <v>45474</v>
      </c>
      <c r="B31" s="5">
        <f>IF('Catalogo de Variaveis'!T36="","",SUM('Catalogo de Variaveis'!T33:T36))</f>
        <v>15</v>
      </c>
      <c r="C31" s="15">
        <f>IFERROR(IF($B31="","",AVERAGE('Catalogo de Variaveis'!T36-'Catalogo de Variaveis'!T35,'Catalogo de Variaveis'!T35-'Catalogo de Variaveis'!T34,'Catalogo de Variaveis'!T34-'Catalogo de Variaveis'!T33,'Catalogo de Variaveis'!T33-'Catalogo de Variaveis'!T32)),0)</f>
        <v>-0.25</v>
      </c>
      <c r="D31" s="13">
        <f t="shared" si="0"/>
        <v>-3.9331758027408288</v>
      </c>
      <c r="E31" s="10">
        <f t="shared" ref="E31:E94" si="14">IF($B31="","",IF(OR($J$1="",$J$2=""),$B$1-2*$B$2,$J$1-2*$J$2))</f>
        <v>2.3954266578219023</v>
      </c>
      <c r="F31" s="10">
        <f t="shared" ref="F31:F94" si="15">IF($B31="","",IF(OR($J$1="",$J$2=""),$B$1-$B$2,$J$1-$J$2))</f>
        <v>8.7240291183846352</v>
      </c>
      <c r="G31" s="10">
        <f t="shared" si="3"/>
        <v>15.052631578947368</v>
      </c>
      <c r="H31" s="10">
        <f t="shared" ref="H31:H94" si="16">IF($B31="","",IF(OR($J$1="",$J$2=""),$B$1+$B$2,$J$1+$J$2))</f>
        <v>21.381234039510101</v>
      </c>
      <c r="I31" s="10">
        <f t="shared" si="5"/>
        <v>27.709836500072832</v>
      </c>
      <c r="J31" s="14">
        <f t="shared" ref="J31:J94" si="17">IF($B31="","",IF(OR($J$1="",$J$2=""),$B$1+3*$B$2,$J$1+3*$J$2))</f>
        <v>34.038438960635567</v>
      </c>
      <c r="K31" s="13">
        <f t="shared" si="7"/>
        <v>-2.4089574944938654</v>
      </c>
      <c r="L31" s="10">
        <f t="shared" si="8"/>
        <v>-1.6015856980836296</v>
      </c>
      <c r="M31" s="10">
        <f t="shared" si="9"/>
        <v>-0.79421390167339367</v>
      </c>
      <c r="N31" s="10">
        <f t="shared" si="10"/>
        <v>1.3157894736842105E-2</v>
      </c>
      <c r="O31" s="10">
        <f t="shared" si="11"/>
        <v>0.82052969114707797</v>
      </c>
      <c r="P31" s="10">
        <f t="shared" si="12"/>
        <v>1.6279014875573137</v>
      </c>
      <c r="Q31" s="14">
        <f t="shared" si="13"/>
        <v>2.4352732839675495</v>
      </c>
    </row>
    <row r="32" spans="1:17" x14ac:dyDescent="0.25">
      <c r="A32" s="4">
        <v>45505</v>
      </c>
      <c r="B32" s="5">
        <f>IF('Catalogo de Variaveis'!T37="","",SUM('Catalogo de Variaveis'!T34:T37))</f>
        <v>15</v>
      </c>
      <c r="C32" s="15">
        <f>IFERROR(IF($B32="","",AVERAGE('Catalogo de Variaveis'!T37-'Catalogo de Variaveis'!T36,'Catalogo de Variaveis'!T36-'Catalogo de Variaveis'!T35,'Catalogo de Variaveis'!T35-'Catalogo de Variaveis'!T34,'Catalogo de Variaveis'!T34-'Catalogo de Variaveis'!T33)),0)</f>
        <v>0</v>
      </c>
      <c r="D32" s="13">
        <f t="shared" si="0"/>
        <v>-3.9331758027408288</v>
      </c>
      <c r="E32" s="10">
        <f t="shared" si="14"/>
        <v>2.3954266578219023</v>
      </c>
      <c r="F32" s="10">
        <f t="shared" si="15"/>
        <v>8.7240291183846352</v>
      </c>
      <c r="G32" s="10">
        <f t="shared" si="3"/>
        <v>15.052631578947368</v>
      </c>
      <c r="H32" s="10">
        <f t="shared" si="16"/>
        <v>21.381234039510101</v>
      </c>
      <c r="I32" s="10">
        <f t="shared" si="5"/>
        <v>27.709836500072832</v>
      </c>
      <c r="J32" s="14">
        <f t="shared" si="17"/>
        <v>34.038438960635567</v>
      </c>
      <c r="K32" s="13">
        <f t="shared" si="7"/>
        <v>-2.4089574944938654</v>
      </c>
      <c r="L32" s="10">
        <f t="shared" si="8"/>
        <v>-1.6015856980836296</v>
      </c>
      <c r="M32" s="10">
        <f t="shared" si="9"/>
        <v>-0.79421390167339367</v>
      </c>
      <c r="N32" s="10">
        <f t="shared" si="10"/>
        <v>1.3157894736842105E-2</v>
      </c>
      <c r="O32" s="10">
        <f t="shared" si="11"/>
        <v>0.82052969114707797</v>
      </c>
      <c r="P32" s="10">
        <f t="shared" si="12"/>
        <v>1.6279014875573137</v>
      </c>
      <c r="Q32" s="14">
        <f t="shared" si="13"/>
        <v>2.4352732839675495</v>
      </c>
    </row>
    <row r="33" spans="1:17" x14ac:dyDescent="0.25">
      <c r="A33" s="4">
        <v>45536</v>
      </c>
      <c r="B33" s="5">
        <f>IF('Catalogo de Variaveis'!T38="","",SUM('Catalogo de Variaveis'!T35:T38))</f>
        <v>12</v>
      </c>
      <c r="C33" s="15">
        <f>IFERROR(IF($B33="","",AVERAGE('Catalogo de Variaveis'!T38-'Catalogo de Variaveis'!T37,'Catalogo de Variaveis'!T37-'Catalogo de Variaveis'!T36,'Catalogo de Variaveis'!T36-'Catalogo de Variaveis'!T35,'Catalogo de Variaveis'!T35-'Catalogo de Variaveis'!T34)),0)</f>
        <v>-0.75</v>
      </c>
      <c r="D33" s="13">
        <f t="shared" si="0"/>
        <v>-3.9331758027408288</v>
      </c>
      <c r="E33" s="10">
        <f t="shared" si="14"/>
        <v>2.3954266578219023</v>
      </c>
      <c r="F33" s="10">
        <f t="shared" si="15"/>
        <v>8.7240291183846352</v>
      </c>
      <c r="G33" s="10">
        <f t="shared" si="3"/>
        <v>15.052631578947368</v>
      </c>
      <c r="H33" s="10">
        <f t="shared" si="16"/>
        <v>21.381234039510101</v>
      </c>
      <c r="I33" s="10">
        <f t="shared" si="5"/>
        <v>27.709836500072832</v>
      </c>
      <c r="J33" s="14">
        <f t="shared" si="17"/>
        <v>34.038438960635567</v>
      </c>
      <c r="K33" s="13">
        <f t="shared" si="7"/>
        <v>-2.4089574944938654</v>
      </c>
      <c r="L33" s="10">
        <f t="shared" si="8"/>
        <v>-1.6015856980836296</v>
      </c>
      <c r="M33" s="10">
        <f t="shared" si="9"/>
        <v>-0.79421390167339367</v>
      </c>
      <c r="N33" s="10">
        <f t="shared" si="10"/>
        <v>1.3157894736842105E-2</v>
      </c>
      <c r="O33" s="10">
        <f t="shared" si="11"/>
        <v>0.82052969114707797</v>
      </c>
      <c r="P33" s="10">
        <f t="shared" si="12"/>
        <v>1.6279014875573137</v>
      </c>
      <c r="Q33" s="14">
        <f t="shared" si="13"/>
        <v>2.4352732839675495</v>
      </c>
    </row>
    <row r="34" spans="1:17" x14ac:dyDescent="0.25">
      <c r="A34" s="4">
        <v>45566</v>
      </c>
      <c r="B34" s="5">
        <f>IF('Catalogo de Variaveis'!T39="","",SUM('Catalogo de Variaveis'!T36:T39))</f>
        <v>10</v>
      </c>
      <c r="C34" s="15">
        <f>IFERROR(IF($B34="","",AVERAGE('Catalogo de Variaveis'!T39-'Catalogo de Variaveis'!T38,'Catalogo de Variaveis'!T38-'Catalogo de Variaveis'!T37,'Catalogo de Variaveis'!T37-'Catalogo de Variaveis'!T36,'Catalogo de Variaveis'!T36-'Catalogo de Variaveis'!T35)),0)</f>
        <v>-0.5</v>
      </c>
      <c r="D34" s="13">
        <f t="shared" si="0"/>
        <v>-3.9331758027408288</v>
      </c>
      <c r="E34" s="10">
        <f t="shared" si="14"/>
        <v>2.3954266578219023</v>
      </c>
      <c r="F34" s="10">
        <f t="shared" si="15"/>
        <v>8.7240291183846352</v>
      </c>
      <c r="G34" s="10">
        <f t="shared" si="3"/>
        <v>15.052631578947368</v>
      </c>
      <c r="H34" s="10">
        <f t="shared" si="16"/>
        <v>21.381234039510101</v>
      </c>
      <c r="I34" s="10">
        <f t="shared" si="5"/>
        <v>27.709836500072832</v>
      </c>
      <c r="J34" s="14">
        <f t="shared" si="17"/>
        <v>34.038438960635567</v>
      </c>
      <c r="K34" s="13">
        <f t="shared" si="7"/>
        <v>-2.4089574944938654</v>
      </c>
      <c r="L34" s="10">
        <f t="shared" si="8"/>
        <v>-1.6015856980836296</v>
      </c>
      <c r="M34" s="10">
        <f t="shared" si="9"/>
        <v>-0.79421390167339367</v>
      </c>
      <c r="N34" s="10">
        <f t="shared" si="10"/>
        <v>1.3157894736842105E-2</v>
      </c>
      <c r="O34" s="10">
        <f t="shared" si="11"/>
        <v>0.82052969114707797</v>
      </c>
      <c r="P34" s="10">
        <f t="shared" si="12"/>
        <v>1.6279014875573137</v>
      </c>
      <c r="Q34" s="14">
        <f t="shared" si="13"/>
        <v>2.4352732839675495</v>
      </c>
    </row>
    <row r="35" spans="1:17" x14ac:dyDescent="0.25">
      <c r="A35" s="4">
        <v>45597</v>
      </c>
      <c r="B35" s="5">
        <f>IF('Catalogo de Variaveis'!T40="","",SUM('Catalogo de Variaveis'!T37:T40))</f>
        <v>8</v>
      </c>
      <c r="C35" s="15">
        <f>IFERROR(IF($B35="","",AVERAGE('Catalogo de Variaveis'!T40-'Catalogo de Variaveis'!T39,'Catalogo de Variaveis'!T39-'Catalogo de Variaveis'!T38,'Catalogo de Variaveis'!T38-'Catalogo de Variaveis'!T37,'Catalogo de Variaveis'!T37-'Catalogo de Variaveis'!T36)),0)</f>
        <v>-0.5</v>
      </c>
      <c r="D35" s="13">
        <f t="shared" si="0"/>
        <v>-3.9331758027408288</v>
      </c>
      <c r="E35" s="10">
        <f t="shared" si="14"/>
        <v>2.3954266578219023</v>
      </c>
      <c r="F35" s="10">
        <f t="shared" si="15"/>
        <v>8.7240291183846352</v>
      </c>
      <c r="G35" s="10">
        <f t="shared" si="3"/>
        <v>15.052631578947368</v>
      </c>
      <c r="H35" s="10">
        <f t="shared" si="16"/>
        <v>21.381234039510101</v>
      </c>
      <c r="I35" s="10">
        <f t="shared" si="5"/>
        <v>27.709836500072832</v>
      </c>
      <c r="J35" s="14">
        <f t="shared" si="17"/>
        <v>34.038438960635567</v>
      </c>
      <c r="K35" s="13">
        <f t="shared" si="7"/>
        <v>-2.4089574944938654</v>
      </c>
      <c r="L35" s="10">
        <f t="shared" si="8"/>
        <v>-1.6015856980836296</v>
      </c>
      <c r="M35" s="10">
        <f t="shared" si="9"/>
        <v>-0.79421390167339367</v>
      </c>
      <c r="N35" s="10">
        <f t="shared" si="10"/>
        <v>1.3157894736842105E-2</v>
      </c>
      <c r="O35" s="10">
        <f t="shared" si="11"/>
        <v>0.82052969114707797</v>
      </c>
      <c r="P35" s="10">
        <f t="shared" si="12"/>
        <v>1.6279014875573137</v>
      </c>
      <c r="Q35" s="14">
        <f t="shared" si="13"/>
        <v>2.4352732839675495</v>
      </c>
    </row>
    <row r="36" spans="1:17" x14ac:dyDescent="0.25">
      <c r="A36" s="4">
        <v>45627</v>
      </c>
      <c r="B36" s="5">
        <f>IF('Catalogo de Variaveis'!T41="","",SUM('Catalogo de Variaveis'!T38:T41))</f>
        <v>5</v>
      </c>
      <c r="C36" s="15">
        <f>IFERROR(IF($B36="","",AVERAGE('Catalogo de Variaveis'!T41-'Catalogo de Variaveis'!T40,'Catalogo de Variaveis'!T40-'Catalogo de Variaveis'!T39,'Catalogo de Variaveis'!T39-'Catalogo de Variaveis'!T38,'Catalogo de Variaveis'!T38-'Catalogo de Variaveis'!T37)),0)</f>
        <v>-0.75</v>
      </c>
      <c r="D36" s="13">
        <f t="shared" si="0"/>
        <v>-3.9331758027408288</v>
      </c>
      <c r="E36" s="10">
        <f t="shared" si="14"/>
        <v>2.3954266578219023</v>
      </c>
      <c r="F36" s="10">
        <f t="shared" si="15"/>
        <v>8.7240291183846352</v>
      </c>
      <c r="G36" s="10">
        <f t="shared" si="3"/>
        <v>15.052631578947368</v>
      </c>
      <c r="H36" s="10">
        <f t="shared" si="16"/>
        <v>21.381234039510101</v>
      </c>
      <c r="I36" s="10">
        <f t="shared" si="5"/>
        <v>27.709836500072832</v>
      </c>
      <c r="J36" s="14">
        <f t="shared" si="17"/>
        <v>34.038438960635567</v>
      </c>
      <c r="K36" s="13">
        <f t="shared" si="7"/>
        <v>-2.4089574944938654</v>
      </c>
      <c r="L36" s="10">
        <f t="shared" si="8"/>
        <v>-1.6015856980836296</v>
      </c>
      <c r="M36" s="10">
        <f t="shared" si="9"/>
        <v>-0.79421390167339367</v>
      </c>
      <c r="N36" s="10">
        <f t="shared" si="10"/>
        <v>1.3157894736842105E-2</v>
      </c>
      <c r="O36" s="10">
        <f t="shared" si="11"/>
        <v>0.82052969114707797</v>
      </c>
      <c r="P36" s="10">
        <f t="shared" si="12"/>
        <v>1.6279014875573137</v>
      </c>
      <c r="Q36" s="14">
        <f t="shared" si="13"/>
        <v>2.4352732839675495</v>
      </c>
    </row>
    <row r="37" spans="1:17" x14ac:dyDescent="0.25">
      <c r="A37" s="4">
        <v>45658</v>
      </c>
      <c r="B37" s="5">
        <f>IF('Catalogo de Variaveis'!T42="","",SUM('Catalogo de Variaveis'!T39:T42))</f>
        <v>11</v>
      </c>
      <c r="C37" s="15">
        <f>IFERROR(IF($B37="","",AVERAGE('Catalogo de Variaveis'!T42-'Catalogo de Variaveis'!T41,'Catalogo de Variaveis'!T41-'Catalogo de Variaveis'!T40,'Catalogo de Variaveis'!T40-'Catalogo de Variaveis'!T39,'Catalogo de Variaveis'!T39-'Catalogo de Variaveis'!T38)),0)</f>
        <v>1.5</v>
      </c>
      <c r="D37" s="13">
        <f t="shared" si="0"/>
        <v>-3.9331758027408288</v>
      </c>
      <c r="E37" s="10">
        <f t="shared" si="14"/>
        <v>2.3954266578219023</v>
      </c>
      <c r="F37" s="10">
        <f t="shared" si="15"/>
        <v>8.7240291183846352</v>
      </c>
      <c r="G37" s="10">
        <f t="shared" si="3"/>
        <v>15.052631578947368</v>
      </c>
      <c r="H37" s="10">
        <f t="shared" si="16"/>
        <v>21.381234039510101</v>
      </c>
      <c r="I37" s="10">
        <f t="shared" si="5"/>
        <v>27.709836500072832</v>
      </c>
      <c r="J37" s="14">
        <f t="shared" si="17"/>
        <v>34.038438960635567</v>
      </c>
      <c r="K37" s="13">
        <f t="shared" si="7"/>
        <v>-2.4089574944938654</v>
      </c>
      <c r="L37" s="10">
        <f t="shared" si="8"/>
        <v>-1.6015856980836296</v>
      </c>
      <c r="M37" s="10">
        <f t="shared" si="9"/>
        <v>-0.79421390167339367</v>
      </c>
      <c r="N37" s="10">
        <f t="shared" si="10"/>
        <v>1.3157894736842105E-2</v>
      </c>
      <c r="O37" s="10">
        <f t="shared" si="11"/>
        <v>0.82052969114707797</v>
      </c>
      <c r="P37" s="10">
        <f t="shared" si="12"/>
        <v>1.6279014875573137</v>
      </c>
      <c r="Q37" s="14">
        <f t="shared" si="13"/>
        <v>2.4352732839675495</v>
      </c>
    </row>
    <row r="38" spans="1:17" x14ac:dyDescent="0.25">
      <c r="A38" s="4">
        <v>45689</v>
      </c>
      <c r="B38" s="5">
        <f>IF('Catalogo de Variaveis'!T43="","",SUM('Catalogo de Variaveis'!T40:T43))</f>
        <v>14</v>
      </c>
      <c r="C38" s="15">
        <f>IFERROR(IF($B38="","",AVERAGE('Catalogo de Variaveis'!T43-'Catalogo de Variaveis'!T42,'Catalogo de Variaveis'!T42-'Catalogo de Variaveis'!T41,'Catalogo de Variaveis'!T41-'Catalogo de Variaveis'!T40,'Catalogo de Variaveis'!T40-'Catalogo de Variaveis'!T39)),0)</f>
        <v>0.75</v>
      </c>
      <c r="D38" s="13">
        <f t="shared" si="0"/>
        <v>-3.9331758027408288</v>
      </c>
      <c r="E38" s="10">
        <f t="shared" si="14"/>
        <v>2.3954266578219023</v>
      </c>
      <c r="F38" s="10">
        <f t="shared" si="15"/>
        <v>8.7240291183846352</v>
      </c>
      <c r="G38" s="10">
        <f t="shared" si="3"/>
        <v>15.052631578947368</v>
      </c>
      <c r="H38" s="10">
        <f t="shared" si="16"/>
        <v>21.381234039510101</v>
      </c>
      <c r="I38" s="10">
        <f t="shared" si="5"/>
        <v>27.709836500072832</v>
      </c>
      <c r="J38" s="14">
        <f t="shared" si="17"/>
        <v>34.038438960635567</v>
      </c>
      <c r="K38" s="13">
        <f t="shared" si="7"/>
        <v>-2.4089574944938654</v>
      </c>
      <c r="L38" s="10">
        <f t="shared" si="8"/>
        <v>-1.6015856980836296</v>
      </c>
      <c r="M38" s="10">
        <f t="shared" si="9"/>
        <v>-0.79421390167339367</v>
      </c>
      <c r="N38" s="10">
        <f t="shared" si="10"/>
        <v>1.3157894736842105E-2</v>
      </c>
      <c r="O38" s="10">
        <f t="shared" si="11"/>
        <v>0.82052969114707797</v>
      </c>
      <c r="P38" s="10">
        <f t="shared" si="12"/>
        <v>1.6279014875573137</v>
      </c>
      <c r="Q38" s="14">
        <f t="shared" si="13"/>
        <v>2.4352732839675495</v>
      </c>
    </row>
    <row r="39" spans="1:17" x14ac:dyDescent="0.25">
      <c r="A39" s="4">
        <v>45717</v>
      </c>
      <c r="B39" s="5">
        <f>IF('Catalogo de Variaveis'!T44="","",SUM('Catalogo de Variaveis'!T41:T44))</f>
        <v>15</v>
      </c>
      <c r="C39" s="15">
        <f>IFERROR(IF($B39="","",AVERAGE('Catalogo de Variaveis'!T44-'Catalogo de Variaveis'!T43,'Catalogo de Variaveis'!T43-'Catalogo de Variaveis'!T42,'Catalogo de Variaveis'!T42-'Catalogo de Variaveis'!T41,'Catalogo de Variaveis'!T41-'Catalogo de Variaveis'!T40)),0)</f>
        <v>0.25</v>
      </c>
      <c r="D39" s="13">
        <f t="shared" si="0"/>
        <v>-3.9331758027408288</v>
      </c>
      <c r="E39" s="10">
        <f t="shared" si="14"/>
        <v>2.3954266578219023</v>
      </c>
      <c r="F39" s="10">
        <f t="shared" si="15"/>
        <v>8.7240291183846352</v>
      </c>
      <c r="G39" s="10">
        <f t="shared" si="3"/>
        <v>15.052631578947368</v>
      </c>
      <c r="H39" s="10">
        <f t="shared" si="16"/>
        <v>21.381234039510101</v>
      </c>
      <c r="I39" s="10">
        <f t="shared" si="5"/>
        <v>27.709836500072832</v>
      </c>
      <c r="J39" s="14">
        <f t="shared" si="17"/>
        <v>34.038438960635567</v>
      </c>
      <c r="K39" s="13">
        <f t="shared" si="7"/>
        <v>-2.4089574944938654</v>
      </c>
      <c r="L39" s="10">
        <f t="shared" si="8"/>
        <v>-1.6015856980836296</v>
      </c>
      <c r="M39" s="10">
        <f t="shared" si="9"/>
        <v>-0.79421390167339367</v>
      </c>
      <c r="N39" s="10">
        <f t="shared" si="10"/>
        <v>1.3157894736842105E-2</v>
      </c>
      <c r="O39" s="10">
        <f t="shared" si="11"/>
        <v>0.82052969114707797</v>
      </c>
      <c r="P39" s="10">
        <f t="shared" si="12"/>
        <v>1.6279014875573137</v>
      </c>
      <c r="Q39" s="14">
        <f t="shared" si="13"/>
        <v>2.4352732839675495</v>
      </c>
    </row>
    <row r="40" spans="1:17" x14ac:dyDescent="0.25">
      <c r="A40" s="4">
        <v>45748</v>
      </c>
      <c r="B40" s="5">
        <f>IF('Catalogo de Variaveis'!T45="","",SUM('Catalogo de Variaveis'!T42:T45))</f>
        <v>18</v>
      </c>
      <c r="C40" s="15">
        <f>IFERROR(IF($B40="","",AVERAGE('Catalogo de Variaveis'!T45-'Catalogo de Variaveis'!T44,'Catalogo de Variaveis'!T44-'Catalogo de Variaveis'!T43,'Catalogo de Variaveis'!T43-'Catalogo de Variaveis'!T42,'Catalogo de Variaveis'!T42-'Catalogo de Variaveis'!T41)),0)</f>
        <v>0.75</v>
      </c>
      <c r="D40" s="13">
        <f t="shared" si="0"/>
        <v>-3.9331758027408288</v>
      </c>
      <c r="E40" s="10">
        <f t="shared" si="14"/>
        <v>2.3954266578219023</v>
      </c>
      <c r="F40" s="10">
        <f t="shared" si="15"/>
        <v>8.7240291183846352</v>
      </c>
      <c r="G40" s="10">
        <f t="shared" si="3"/>
        <v>15.052631578947368</v>
      </c>
      <c r="H40" s="10">
        <f t="shared" si="16"/>
        <v>21.381234039510101</v>
      </c>
      <c r="I40" s="10">
        <f t="shared" si="5"/>
        <v>27.709836500072832</v>
      </c>
      <c r="J40" s="14">
        <f t="shared" si="17"/>
        <v>34.038438960635567</v>
      </c>
      <c r="K40" s="13">
        <f t="shared" si="7"/>
        <v>-2.4089574944938654</v>
      </c>
      <c r="L40" s="10">
        <f t="shared" si="8"/>
        <v>-1.6015856980836296</v>
      </c>
      <c r="M40" s="10">
        <f t="shared" si="9"/>
        <v>-0.79421390167339367</v>
      </c>
      <c r="N40" s="10">
        <f t="shared" si="10"/>
        <v>1.3157894736842105E-2</v>
      </c>
      <c r="O40" s="10">
        <f t="shared" si="11"/>
        <v>0.82052969114707797</v>
      </c>
      <c r="P40" s="10">
        <f t="shared" si="12"/>
        <v>1.6279014875573137</v>
      </c>
      <c r="Q40" s="14">
        <f t="shared" si="13"/>
        <v>2.4352732839675495</v>
      </c>
    </row>
    <row r="41" spans="1:17" x14ac:dyDescent="0.25">
      <c r="A41" s="4">
        <v>45778</v>
      </c>
      <c r="B41" s="5">
        <f>IF('Catalogo de Variaveis'!T46="","",SUM('Catalogo de Variaveis'!T43:T46))</f>
        <v>12</v>
      </c>
      <c r="C41" s="15">
        <f>IFERROR(IF($B41="","",AVERAGE('Catalogo de Variaveis'!T46-'Catalogo de Variaveis'!T45,'Catalogo de Variaveis'!T45-'Catalogo de Variaveis'!T44,'Catalogo de Variaveis'!T44-'Catalogo de Variaveis'!T43,'Catalogo de Variaveis'!T43-'Catalogo de Variaveis'!T42)),0)</f>
        <v>-1.5</v>
      </c>
      <c r="D41" s="13">
        <f t="shared" si="0"/>
        <v>-3.9331758027408288</v>
      </c>
      <c r="E41" s="10">
        <f t="shared" si="14"/>
        <v>2.3954266578219023</v>
      </c>
      <c r="F41" s="10">
        <f t="shared" si="15"/>
        <v>8.7240291183846352</v>
      </c>
      <c r="G41" s="10">
        <f t="shared" si="3"/>
        <v>15.052631578947368</v>
      </c>
      <c r="H41" s="10">
        <f t="shared" si="16"/>
        <v>21.381234039510101</v>
      </c>
      <c r="I41" s="10">
        <f t="shared" si="5"/>
        <v>27.709836500072832</v>
      </c>
      <c r="J41" s="14">
        <f t="shared" si="17"/>
        <v>34.038438960635567</v>
      </c>
      <c r="K41" s="13">
        <f t="shared" si="7"/>
        <v>-2.4089574944938654</v>
      </c>
      <c r="L41" s="10">
        <f t="shared" si="8"/>
        <v>-1.6015856980836296</v>
      </c>
      <c r="M41" s="10">
        <f t="shared" si="9"/>
        <v>-0.79421390167339367</v>
      </c>
      <c r="N41" s="10">
        <f t="shared" si="10"/>
        <v>1.3157894736842105E-2</v>
      </c>
      <c r="O41" s="10">
        <f t="shared" si="11"/>
        <v>0.82052969114707797</v>
      </c>
      <c r="P41" s="10">
        <f t="shared" si="12"/>
        <v>1.6279014875573137</v>
      </c>
      <c r="Q41" s="14">
        <f t="shared" si="13"/>
        <v>2.4352732839675495</v>
      </c>
    </row>
    <row r="42" spans="1:17" x14ac:dyDescent="0.25">
      <c r="A42" s="4">
        <v>45809</v>
      </c>
      <c r="B42" s="5">
        <f>IF('Catalogo de Variaveis'!T47="","",SUM('Catalogo de Variaveis'!T44:T47))</f>
        <v>9</v>
      </c>
      <c r="C42" s="15">
        <f>IFERROR(IF($B42="","",AVERAGE('Catalogo de Variaveis'!T47-'Catalogo de Variaveis'!T46,'Catalogo de Variaveis'!T46-'Catalogo de Variaveis'!T45,'Catalogo de Variaveis'!T45-'Catalogo de Variaveis'!T44,'Catalogo de Variaveis'!T44-'Catalogo de Variaveis'!T43)),0)</f>
        <v>-0.75</v>
      </c>
      <c r="D42" s="13">
        <f t="shared" si="0"/>
        <v>-3.9331758027408288</v>
      </c>
      <c r="E42" s="10">
        <f t="shared" si="14"/>
        <v>2.3954266578219023</v>
      </c>
      <c r="F42" s="10">
        <f t="shared" si="15"/>
        <v>8.7240291183846352</v>
      </c>
      <c r="G42" s="10">
        <f t="shared" si="3"/>
        <v>15.052631578947368</v>
      </c>
      <c r="H42" s="10">
        <f t="shared" si="16"/>
        <v>21.381234039510101</v>
      </c>
      <c r="I42" s="10">
        <f t="shared" si="5"/>
        <v>27.709836500072832</v>
      </c>
      <c r="J42" s="14">
        <f t="shared" si="17"/>
        <v>34.038438960635567</v>
      </c>
      <c r="K42" s="13">
        <f t="shared" si="7"/>
        <v>-2.4089574944938654</v>
      </c>
      <c r="L42" s="10">
        <f t="shared" si="8"/>
        <v>-1.6015856980836296</v>
      </c>
      <c r="M42" s="10">
        <f t="shared" si="9"/>
        <v>-0.79421390167339367</v>
      </c>
      <c r="N42" s="10">
        <f t="shared" si="10"/>
        <v>1.3157894736842105E-2</v>
      </c>
      <c r="O42" s="10">
        <f t="shared" si="11"/>
        <v>0.82052969114707797</v>
      </c>
      <c r="P42" s="10">
        <f t="shared" si="12"/>
        <v>1.6279014875573137</v>
      </c>
      <c r="Q42" s="14">
        <f t="shared" si="13"/>
        <v>2.4352732839675495</v>
      </c>
    </row>
    <row r="43" spans="1:17" x14ac:dyDescent="0.25">
      <c r="A43" s="4">
        <v>45839</v>
      </c>
      <c r="B43" s="5">
        <f>IF('Catalogo de Variaveis'!T48="","",SUM('Catalogo de Variaveis'!T45:T48))</f>
        <v>9</v>
      </c>
      <c r="C43" s="15">
        <f>IFERROR(IF($B43="","",AVERAGE('Catalogo de Variaveis'!T48-'Catalogo de Variaveis'!T47,'Catalogo de Variaveis'!T47-'Catalogo de Variaveis'!T46,'Catalogo de Variaveis'!T46-'Catalogo de Variaveis'!T45,'Catalogo de Variaveis'!T45-'Catalogo de Variaveis'!T44)),0)</f>
        <v>0</v>
      </c>
      <c r="D43" s="13">
        <f t="shared" si="0"/>
        <v>-3.9331758027408288</v>
      </c>
      <c r="E43" s="10">
        <f t="shared" si="14"/>
        <v>2.3954266578219023</v>
      </c>
      <c r="F43" s="10">
        <f t="shared" si="15"/>
        <v>8.7240291183846352</v>
      </c>
      <c r="G43" s="10">
        <f t="shared" si="3"/>
        <v>15.052631578947368</v>
      </c>
      <c r="H43" s="10">
        <f t="shared" si="16"/>
        <v>21.381234039510101</v>
      </c>
      <c r="I43" s="10">
        <f t="shared" si="5"/>
        <v>27.709836500072832</v>
      </c>
      <c r="J43" s="14">
        <f t="shared" si="17"/>
        <v>34.038438960635567</v>
      </c>
      <c r="K43" s="13">
        <f t="shared" si="7"/>
        <v>-2.4089574944938654</v>
      </c>
      <c r="L43" s="10">
        <f t="shared" si="8"/>
        <v>-1.6015856980836296</v>
      </c>
      <c r="M43" s="10">
        <f t="shared" si="9"/>
        <v>-0.79421390167339367</v>
      </c>
      <c r="N43" s="10">
        <f t="shared" si="10"/>
        <v>1.3157894736842105E-2</v>
      </c>
      <c r="O43" s="10">
        <f t="shared" si="11"/>
        <v>0.82052969114707797</v>
      </c>
      <c r="P43" s="10">
        <f t="shared" si="12"/>
        <v>1.6279014875573137</v>
      </c>
      <c r="Q43" s="14">
        <f t="shared" si="13"/>
        <v>2.4352732839675495</v>
      </c>
    </row>
    <row r="44" spans="1:17" x14ac:dyDescent="0.25">
      <c r="A44" s="4">
        <v>45870</v>
      </c>
      <c r="B44" s="5">
        <f>IF('Catalogo de Variaveis'!T49="","",SUM('Catalogo de Variaveis'!T46:T49))</f>
        <v>6</v>
      </c>
      <c r="C44" s="15">
        <f>IFERROR(IF($B44="","",AVERAGE('Catalogo de Variaveis'!T49-'Catalogo de Variaveis'!T48,'Catalogo de Variaveis'!T48-'Catalogo de Variaveis'!T47,'Catalogo de Variaveis'!T47-'Catalogo de Variaveis'!T46,'Catalogo de Variaveis'!T46-'Catalogo de Variaveis'!T45)),0)</f>
        <v>-0.75</v>
      </c>
      <c r="D44" s="13">
        <f t="shared" si="0"/>
        <v>-3.9331758027408288</v>
      </c>
      <c r="E44" s="10">
        <f t="shared" si="14"/>
        <v>2.3954266578219023</v>
      </c>
      <c r="F44" s="10">
        <f t="shared" si="15"/>
        <v>8.7240291183846352</v>
      </c>
      <c r="G44" s="10">
        <f t="shared" si="3"/>
        <v>15.052631578947368</v>
      </c>
      <c r="H44" s="10">
        <f t="shared" si="16"/>
        <v>21.381234039510101</v>
      </c>
      <c r="I44" s="10">
        <f t="shared" si="5"/>
        <v>27.709836500072832</v>
      </c>
      <c r="J44" s="14">
        <f t="shared" si="17"/>
        <v>34.038438960635567</v>
      </c>
      <c r="K44" s="13">
        <f t="shared" si="7"/>
        <v>-2.4089574944938654</v>
      </c>
      <c r="L44" s="10">
        <f t="shared" si="8"/>
        <v>-1.6015856980836296</v>
      </c>
      <c r="M44" s="10">
        <f t="shared" si="9"/>
        <v>-0.79421390167339367</v>
      </c>
      <c r="N44" s="10">
        <f t="shared" si="10"/>
        <v>1.3157894736842105E-2</v>
      </c>
      <c r="O44" s="10">
        <f t="shared" si="11"/>
        <v>0.82052969114707797</v>
      </c>
      <c r="P44" s="10">
        <f t="shared" si="12"/>
        <v>1.6279014875573137</v>
      </c>
      <c r="Q44" s="14">
        <f t="shared" si="13"/>
        <v>2.4352732839675495</v>
      </c>
    </row>
    <row r="45" spans="1:17" x14ac:dyDescent="0.25">
      <c r="A45" s="4">
        <v>45901</v>
      </c>
      <c r="B45" s="5">
        <f>IF('Catalogo de Variaveis'!T50="","",SUM('Catalogo de Variaveis'!T47:T50))</f>
        <v>3</v>
      </c>
      <c r="C45" s="15">
        <f>IFERROR(IF($B45="","",AVERAGE('Catalogo de Variaveis'!T50-'Catalogo de Variaveis'!T49,'Catalogo de Variaveis'!T49-'Catalogo de Variaveis'!T48,'Catalogo de Variaveis'!T48-'Catalogo de Variaveis'!T47,'Catalogo de Variaveis'!T47-'Catalogo de Variaveis'!T46)),0)</f>
        <v>-0.75</v>
      </c>
      <c r="D45" s="13">
        <f t="shared" si="0"/>
        <v>-3.9331758027408288</v>
      </c>
      <c r="E45" s="10">
        <f t="shared" si="14"/>
        <v>2.3954266578219023</v>
      </c>
      <c r="F45" s="10">
        <f t="shared" si="15"/>
        <v>8.7240291183846352</v>
      </c>
      <c r="G45" s="10">
        <f t="shared" si="3"/>
        <v>15.052631578947368</v>
      </c>
      <c r="H45" s="10">
        <f t="shared" si="16"/>
        <v>21.381234039510101</v>
      </c>
      <c r="I45" s="10">
        <f t="shared" si="5"/>
        <v>27.709836500072832</v>
      </c>
      <c r="J45" s="14">
        <f t="shared" si="17"/>
        <v>34.038438960635567</v>
      </c>
      <c r="K45" s="13">
        <f t="shared" si="7"/>
        <v>-2.4089574944938654</v>
      </c>
      <c r="L45" s="10">
        <f t="shared" si="8"/>
        <v>-1.6015856980836296</v>
      </c>
      <c r="M45" s="10">
        <f t="shared" si="9"/>
        <v>-0.79421390167339367</v>
      </c>
      <c r="N45" s="10">
        <f t="shared" si="10"/>
        <v>1.3157894736842105E-2</v>
      </c>
      <c r="O45" s="10">
        <f t="shared" si="11"/>
        <v>0.82052969114707797</v>
      </c>
      <c r="P45" s="10">
        <f t="shared" si="12"/>
        <v>1.6279014875573137</v>
      </c>
      <c r="Q45" s="14">
        <f t="shared" si="13"/>
        <v>2.4352732839675495</v>
      </c>
    </row>
    <row r="46" spans="1:17" x14ac:dyDescent="0.25">
      <c r="A46" s="4">
        <v>45931</v>
      </c>
      <c r="B46" s="5">
        <f>IF('Catalogo de Variaveis'!T51="","",SUM('Catalogo de Variaveis'!T48:T51))</f>
        <v>2</v>
      </c>
      <c r="C46" s="15">
        <f>IFERROR(IF($B46="","",AVERAGE('Catalogo de Variaveis'!T51-'Catalogo de Variaveis'!T50,'Catalogo de Variaveis'!T50-'Catalogo de Variaveis'!T49,'Catalogo de Variaveis'!T49-'Catalogo de Variaveis'!T48,'Catalogo de Variaveis'!T48-'Catalogo de Variaveis'!T47)),0)</f>
        <v>-0.25</v>
      </c>
      <c r="D46" s="13">
        <f t="shared" si="0"/>
        <v>-3.9331758027408288</v>
      </c>
      <c r="E46" s="10">
        <f t="shared" si="14"/>
        <v>2.3954266578219023</v>
      </c>
      <c r="F46" s="10">
        <f t="shared" si="15"/>
        <v>8.7240291183846352</v>
      </c>
      <c r="G46" s="10">
        <f t="shared" si="3"/>
        <v>15.052631578947368</v>
      </c>
      <c r="H46" s="10">
        <f t="shared" si="16"/>
        <v>21.381234039510101</v>
      </c>
      <c r="I46" s="10">
        <f t="shared" si="5"/>
        <v>27.709836500072832</v>
      </c>
      <c r="J46" s="14">
        <f t="shared" si="17"/>
        <v>34.038438960635567</v>
      </c>
      <c r="K46" s="13">
        <f t="shared" si="7"/>
        <v>-2.4089574944938654</v>
      </c>
      <c r="L46" s="10">
        <f t="shared" si="8"/>
        <v>-1.6015856980836296</v>
      </c>
      <c r="M46" s="10">
        <f t="shared" si="9"/>
        <v>-0.79421390167339367</v>
      </c>
      <c r="N46" s="10">
        <f t="shared" si="10"/>
        <v>1.3157894736842105E-2</v>
      </c>
      <c r="O46" s="10">
        <f t="shared" si="11"/>
        <v>0.82052969114707797</v>
      </c>
      <c r="P46" s="10">
        <f t="shared" si="12"/>
        <v>1.6279014875573137</v>
      </c>
      <c r="Q46" s="14">
        <f t="shared" si="13"/>
        <v>2.4352732839675495</v>
      </c>
    </row>
    <row r="47" spans="1:17" x14ac:dyDescent="0.25">
      <c r="A47" s="4">
        <v>45962</v>
      </c>
      <c r="B47" s="5" t="str">
        <f>IF('Catalogo de Variaveis'!T52="","",SUM('Catalogo de Variaveis'!T49:T52))</f>
        <v/>
      </c>
      <c r="C47" s="15" t="str">
        <f>IFERROR(IF($B47="","",AVERAGE('Catalogo de Variaveis'!T52-'Catalogo de Variaveis'!T51,'Catalogo de Variaveis'!T51-'Catalogo de Variaveis'!T50,'Catalogo de Variaveis'!T50-'Catalogo de Variaveis'!T49,'Catalogo de Variaveis'!T49-'Catalogo de Variaveis'!T48)),0)</f>
        <v/>
      </c>
      <c r="D47" s="13" t="str">
        <f t="shared" si="0"/>
        <v/>
      </c>
      <c r="E47" s="10" t="str">
        <f t="shared" si="14"/>
        <v/>
      </c>
      <c r="F47" s="10" t="str">
        <f t="shared" si="15"/>
        <v/>
      </c>
      <c r="G47" s="10" t="str">
        <f t="shared" si="3"/>
        <v/>
      </c>
      <c r="H47" s="10" t="str">
        <f t="shared" si="16"/>
        <v/>
      </c>
      <c r="I47" s="10" t="str">
        <f t="shared" si="5"/>
        <v/>
      </c>
      <c r="J47" s="14" t="str">
        <f t="shared" si="17"/>
        <v/>
      </c>
      <c r="K47" s="13" t="str">
        <f t="shared" si="7"/>
        <v/>
      </c>
      <c r="L47" s="10" t="str">
        <f t="shared" si="8"/>
        <v/>
      </c>
      <c r="M47" s="10" t="str">
        <f t="shared" si="9"/>
        <v/>
      </c>
      <c r="N47" s="10" t="str">
        <f t="shared" si="10"/>
        <v/>
      </c>
      <c r="O47" s="10" t="str">
        <f t="shared" si="11"/>
        <v/>
      </c>
      <c r="P47" s="10" t="str">
        <f t="shared" si="12"/>
        <v/>
      </c>
      <c r="Q47" s="14" t="str">
        <f t="shared" si="13"/>
        <v/>
      </c>
    </row>
    <row r="48" spans="1:17" x14ac:dyDescent="0.25">
      <c r="A48" s="4">
        <v>45992</v>
      </c>
      <c r="B48" s="5" t="str">
        <f>IF('Catalogo de Variaveis'!T53="","",SUM('Catalogo de Variaveis'!T50:T53))</f>
        <v/>
      </c>
      <c r="C48" s="15" t="str">
        <f>IFERROR(IF($B48="","",AVERAGE('Catalogo de Variaveis'!T53-'Catalogo de Variaveis'!T52,'Catalogo de Variaveis'!T52-'Catalogo de Variaveis'!T51,'Catalogo de Variaveis'!T51-'Catalogo de Variaveis'!T50,'Catalogo de Variaveis'!T50-'Catalogo de Variaveis'!T49)),0)</f>
        <v/>
      </c>
      <c r="D48" s="13" t="str">
        <f t="shared" si="0"/>
        <v/>
      </c>
      <c r="E48" s="10" t="str">
        <f t="shared" si="14"/>
        <v/>
      </c>
      <c r="F48" s="10" t="str">
        <f t="shared" si="15"/>
        <v/>
      </c>
      <c r="G48" s="10" t="str">
        <f t="shared" si="3"/>
        <v/>
      </c>
      <c r="H48" s="10" t="str">
        <f t="shared" si="16"/>
        <v/>
      </c>
      <c r="I48" s="10" t="str">
        <f t="shared" si="5"/>
        <v/>
      </c>
      <c r="J48" s="14" t="str">
        <f t="shared" si="17"/>
        <v/>
      </c>
      <c r="K48" s="13" t="str">
        <f t="shared" si="7"/>
        <v/>
      </c>
      <c r="L48" s="10" t="str">
        <f t="shared" si="8"/>
        <v/>
      </c>
      <c r="M48" s="10" t="str">
        <f t="shared" si="9"/>
        <v/>
      </c>
      <c r="N48" s="10" t="str">
        <f t="shared" si="10"/>
        <v/>
      </c>
      <c r="O48" s="10" t="str">
        <f t="shared" si="11"/>
        <v/>
      </c>
      <c r="P48" s="10" t="str">
        <f t="shared" si="12"/>
        <v/>
      </c>
      <c r="Q48" s="14" t="str">
        <f t="shared" si="13"/>
        <v/>
      </c>
    </row>
    <row r="49" spans="1:17" x14ac:dyDescent="0.25">
      <c r="A49" s="4">
        <v>46023</v>
      </c>
      <c r="B49" s="5" t="str">
        <f>IF('Catalogo de Variaveis'!T54="","",SUM('Catalogo de Variaveis'!T51:T54))</f>
        <v/>
      </c>
      <c r="C49" s="15" t="str">
        <f>IFERROR(IF($B49="","",AVERAGE('Catalogo de Variaveis'!T54-'Catalogo de Variaveis'!T53,'Catalogo de Variaveis'!T53-'Catalogo de Variaveis'!T52,'Catalogo de Variaveis'!T52-'Catalogo de Variaveis'!T51,'Catalogo de Variaveis'!T51-'Catalogo de Variaveis'!T50)),0)</f>
        <v/>
      </c>
      <c r="D49" s="13" t="str">
        <f t="shared" si="0"/>
        <v/>
      </c>
      <c r="E49" s="10" t="str">
        <f t="shared" si="14"/>
        <v/>
      </c>
      <c r="F49" s="10" t="str">
        <f t="shared" si="15"/>
        <v/>
      </c>
      <c r="G49" s="10" t="str">
        <f t="shared" si="3"/>
        <v/>
      </c>
      <c r="H49" s="10" t="str">
        <f t="shared" si="16"/>
        <v/>
      </c>
      <c r="I49" s="10" t="str">
        <f t="shared" si="5"/>
        <v/>
      </c>
      <c r="J49" s="14" t="str">
        <f t="shared" si="17"/>
        <v/>
      </c>
      <c r="K49" s="13" t="str">
        <f t="shared" si="7"/>
        <v/>
      </c>
      <c r="L49" s="10" t="str">
        <f t="shared" si="8"/>
        <v/>
      </c>
      <c r="M49" s="10" t="str">
        <f t="shared" si="9"/>
        <v/>
      </c>
      <c r="N49" s="10" t="str">
        <f t="shared" si="10"/>
        <v/>
      </c>
      <c r="O49" s="10" t="str">
        <f t="shared" si="11"/>
        <v/>
      </c>
      <c r="P49" s="10" t="str">
        <f t="shared" si="12"/>
        <v/>
      </c>
      <c r="Q49" s="14" t="str">
        <f t="shared" si="13"/>
        <v/>
      </c>
    </row>
    <row r="50" spans="1:17" x14ac:dyDescent="0.25">
      <c r="A50" s="4">
        <v>46054</v>
      </c>
      <c r="B50" s="5" t="str">
        <f>IF('Catalogo de Variaveis'!T55="","",SUM('Catalogo de Variaveis'!T52:T55))</f>
        <v/>
      </c>
      <c r="C50" s="15" t="str">
        <f>IFERROR(IF($B50="","",AVERAGE('Catalogo de Variaveis'!T55-'Catalogo de Variaveis'!T54,'Catalogo de Variaveis'!T54-'Catalogo de Variaveis'!T53,'Catalogo de Variaveis'!T53-'Catalogo de Variaveis'!T52,'Catalogo de Variaveis'!T52-'Catalogo de Variaveis'!T51)),0)</f>
        <v/>
      </c>
      <c r="D50" s="13" t="str">
        <f t="shared" si="0"/>
        <v/>
      </c>
      <c r="E50" s="10" t="str">
        <f t="shared" si="14"/>
        <v/>
      </c>
      <c r="F50" s="10" t="str">
        <f t="shared" si="15"/>
        <v/>
      </c>
      <c r="G50" s="10" t="str">
        <f t="shared" si="3"/>
        <v/>
      </c>
      <c r="H50" s="10" t="str">
        <f t="shared" si="16"/>
        <v/>
      </c>
      <c r="I50" s="10" t="str">
        <f t="shared" si="5"/>
        <v/>
      </c>
      <c r="J50" s="14" t="str">
        <f t="shared" si="17"/>
        <v/>
      </c>
      <c r="K50" s="13" t="str">
        <f t="shared" si="7"/>
        <v/>
      </c>
      <c r="L50" s="10" t="str">
        <f t="shared" si="8"/>
        <v/>
      </c>
      <c r="M50" s="10" t="str">
        <f t="shared" si="9"/>
        <v/>
      </c>
      <c r="N50" s="10" t="str">
        <f t="shared" si="10"/>
        <v/>
      </c>
      <c r="O50" s="10" t="str">
        <f t="shared" si="11"/>
        <v/>
      </c>
      <c r="P50" s="10" t="str">
        <f t="shared" si="12"/>
        <v/>
      </c>
      <c r="Q50" s="14" t="str">
        <f t="shared" si="13"/>
        <v/>
      </c>
    </row>
    <row r="51" spans="1:17" x14ac:dyDescent="0.25">
      <c r="A51" s="4">
        <v>46082</v>
      </c>
      <c r="B51" s="5" t="str">
        <f>IF('Catalogo de Variaveis'!T56="","",SUM('Catalogo de Variaveis'!T53:T56))</f>
        <v/>
      </c>
      <c r="C51" s="15" t="str">
        <f>IFERROR(IF($B51="","",AVERAGE('Catalogo de Variaveis'!T56-'Catalogo de Variaveis'!T55,'Catalogo de Variaveis'!T55-'Catalogo de Variaveis'!T54,'Catalogo de Variaveis'!T54-'Catalogo de Variaveis'!T53,'Catalogo de Variaveis'!T53-'Catalogo de Variaveis'!T52)),0)</f>
        <v/>
      </c>
      <c r="D51" s="13" t="str">
        <f t="shared" si="0"/>
        <v/>
      </c>
      <c r="E51" s="10" t="str">
        <f t="shared" si="14"/>
        <v/>
      </c>
      <c r="F51" s="10" t="str">
        <f t="shared" si="15"/>
        <v/>
      </c>
      <c r="G51" s="10" t="str">
        <f t="shared" si="3"/>
        <v/>
      </c>
      <c r="H51" s="10" t="str">
        <f t="shared" si="16"/>
        <v/>
      </c>
      <c r="I51" s="10" t="str">
        <f t="shared" si="5"/>
        <v/>
      </c>
      <c r="J51" s="14" t="str">
        <f t="shared" si="17"/>
        <v/>
      </c>
      <c r="K51" s="13" t="str">
        <f t="shared" si="7"/>
        <v/>
      </c>
      <c r="L51" s="10" t="str">
        <f t="shared" si="8"/>
        <v/>
      </c>
      <c r="M51" s="10" t="str">
        <f t="shared" si="9"/>
        <v/>
      </c>
      <c r="N51" s="10" t="str">
        <f t="shared" si="10"/>
        <v/>
      </c>
      <c r="O51" s="10" t="str">
        <f t="shared" si="11"/>
        <v/>
      </c>
      <c r="P51" s="10" t="str">
        <f t="shared" si="12"/>
        <v/>
      </c>
      <c r="Q51" s="14" t="str">
        <f t="shared" si="13"/>
        <v/>
      </c>
    </row>
    <row r="52" spans="1:17" x14ac:dyDescent="0.25">
      <c r="A52" s="4">
        <v>46113</v>
      </c>
      <c r="B52" s="5" t="str">
        <f>IF('Catalogo de Variaveis'!T57="","",SUM('Catalogo de Variaveis'!T54:T57))</f>
        <v/>
      </c>
      <c r="C52" s="15" t="str">
        <f>IFERROR(IF($B52="","",AVERAGE('Catalogo de Variaveis'!T57-'Catalogo de Variaveis'!T56,'Catalogo de Variaveis'!T56-'Catalogo de Variaveis'!T55,'Catalogo de Variaveis'!T55-'Catalogo de Variaveis'!T54,'Catalogo de Variaveis'!T54-'Catalogo de Variaveis'!T53)),0)</f>
        <v/>
      </c>
      <c r="D52" s="13" t="str">
        <f t="shared" si="0"/>
        <v/>
      </c>
      <c r="E52" s="10" t="str">
        <f t="shared" si="14"/>
        <v/>
      </c>
      <c r="F52" s="10" t="str">
        <f t="shared" si="15"/>
        <v/>
      </c>
      <c r="G52" s="10" t="str">
        <f t="shared" si="3"/>
        <v/>
      </c>
      <c r="H52" s="10" t="str">
        <f t="shared" si="16"/>
        <v/>
      </c>
      <c r="I52" s="10" t="str">
        <f t="shared" si="5"/>
        <v/>
      </c>
      <c r="J52" s="14" t="str">
        <f t="shared" si="17"/>
        <v/>
      </c>
      <c r="K52" s="13" t="str">
        <f t="shared" si="7"/>
        <v/>
      </c>
      <c r="L52" s="10" t="str">
        <f t="shared" si="8"/>
        <v/>
      </c>
      <c r="M52" s="10" t="str">
        <f t="shared" si="9"/>
        <v/>
      </c>
      <c r="N52" s="10" t="str">
        <f t="shared" si="10"/>
        <v/>
      </c>
      <c r="O52" s="10" t="str">
        <f t="shared" si="11"/>
        <v/>
      </c>
      <c r="P52" s="10" t="str">
        <f t="shared" si="12"/>
        <v/>
      </c>
      <c r="Q52" s="14" t="str">
        <f t="shared" si="13"/>
        <v/>
      </c>
    </row>
    <row r="53" spans="1:17" x14ac:dyDescent="0.25">
      <c r="A53" s="4">
        <v>46143</v>
      </c>
      <c r="B53" s="5" t="str">
        <f>IF('Catalogo de Variaveis'!T58="","",SUM('Catalogo de Variaveis'!T55:T58))</f>
        <v/>
      </c>
      <c r="C53" s="15" t="str">
        <f>IFERROR(IF($B53="","",AVERAGE('Catalogo de Variaveis'!T58-'Catalogo de Variaveis'!T57,'Catalogo de Variaveis'!T57-'Catalogo de Variaveis'!T56,'Catalogo de Variaveis'!T56-'Catalogo de Variaveis'!T55,'Catalogo de Variaveis'!T55-'Catalogo de Variaveis'!T54)),0)</f>
        <v/>
      </c>
      <c r="D53" s="13" t="str">
        <f t="shared" si="0"/>
        <v/>
      </c>
      <c r="E53" s="10" t="str">
        <f t="shared" si="14"/>
        <v/>
      </c>
      <c r="F53" s="10" t="str">
        <f t="shared" si="15"/>
        <v/>
      </c>
      <c r="G53" s="10" t="str">
        <f t="shared" si="3"/>
        <v/>
      </c>
      <c r="H53" s="10" t="str">
        <f t="shared" si="16"/>
        <v/>
      </c>
      <c r="I53" s="10" t="str">
        <f t="shared" si="5"/>
        <v/>
      </c>
      <c r="J53" s="14" t="str">
        <f t="shared" si="17"/>
        <v/>
      </c>
      <c r="K53" s="13" t="str">
        <f t="shared" si="7"/>
        <v/>
      </c>
      <c r="L53" s="10" t="str">
        <f t="shared" si="8"/>
        <v/>
      </c>
      <c r="M53" s="10" t="str">
        <f t="shared" si="9"/>
        <v/>
      </c>
      <c r="N53" s="10" t="str">
        <f t="shared" si="10"/>
        <v/>
      </c>
      <c r="O53" s="10" t="str">
        <f t="shared" si="11"/>
        <v/>
      </c>
      <c r="P53" s="10" t="str">
        <f t="shared" si="12"/>
        <v/>
      </c>
      <c r="Q53" s="14" t="str">
        <f t="shared" si="13"/>
        <v/>
      </c>
    </row>
    <row r="54" spans="1:17" x14ac:dyDescent="0.25">
      <c r="A54" s="4">
        <v>46174</v>
      </c>
      <c r="B54" s="5" t="str">
        <f>IF('Catalogo de Variaveis'!T59="","",SUM('Catalogo de Variaveis'!T56:T59))</f>
        <v/>
      </c>
      <c r="C54" s="15" t="str">
        <f>IFERROR(IF($B54="","",AVERAGE('Catalogo de Variaveis'!T59-'Catalogo de Variaveis'!T58,'Catalogo de Variaveis'!T58-'Catalogo de Variaveis'!T57,'Catalogo de Variaveis'!T57-'Catalogo de Variaveis'!T56,'Catalogo de Variaveis'!T56-'Catalogo de Variaveis'!T55)),0)</f>
        <v/>
      </c>
      <c r="D54" s="13" t="str">
        <f t="shared" si="0"/>
        <v/>
      </c>
      <c r="E54" s="10" t="str">
        <f t="shared" si="14"/>
        <v/>
      </c>
      <c r="F54" s="10" t="str">
        <f t="shared" si="15"/>
        <v/>
      </c>
      <c r="G54" s="10" t="str">
        <f t="shared" si="3"/>
        <v/>
      </c>
      <c r="H54" s="10" t="str">
        <f t="shared" si="16"/>
        <v/>
      </c>
      <c r="I54" s="10" t="str">
        <f t="shared" si="5"/>
        <v/>
      </c>
      <c r="J54" s="14" t="str">
        <f t="shared" si="17"/>
        <v/>
      </c>
      <c r="K54" s="13" t="str">
        <f t="shared" si="7"/>
        <v/>
      </c>
      <c r="L54" s="10" t="str">
        <f t="shared" si="8"/>
        <v/>
      </c>
      <c r="M54" s="10" t="str">
        <f t="shared" si="9"/>
        <v/>
      </c>
      <c r="N54" s="10" t="str">
        <f t="shared" si="10"/>
        <v/>
      </c>
      <c r="O54" s="10" t="str">
        <f t="shared" si="11"/>
        <v/>
      </c>
      <c r="P54" s="10" t="str">
        <f t="shared" si="12"/>
        <v/>
      </c>
      <c r="Q54" s="14" t="str">
        <f t="shared" si="13"/>
        <v/>
      </c>
    </row>
    <row r="55" spans="1:17" x14ac:dyDescent="0.25">
      <c r="A55" s="4">
        <v>46204</v>
      </c>
      <c r="B55" s="5" t="str">
        <f>IF('Catalogo de Variaveis'!T60="","",SUM('Catalogo de Variaveis'!T57:T60))</f>
        <v/>
      </c>
      <c r="C55" s="15" t="str">
        <f>IFERROR(IF($B55="","",AVERAGE('Catalogo de Variaveis'!T60-'Catalogo de Variaveis'!T59,'Catalogo de Variaveis'!T59-'Catalogo de Variaveis'!T58,'Catalogo de Variaveis'!T58-'Catalogo de Variaveis'!T57,'Catalogo de Variaveis'!T57-'Catalogo de Variaveis'!T56)),0)</f>
        <v/>
      </c>
      <c r="D55" s="13" t="str">
        <f t="shared" si="0"/>
        <v/>
      </c>
      <c r="E55" s="10" t="str">
        <f t="shared" si="14"/>
        <v/>
      </c>
      <c r="F55" s="10" t="str">
        <f t="shared" si="15"/>
        <v/>
      </c>
      <c r="G55" s="10" t="str">
        <f t="shared" si="3"/>
        <v/>
      </c>
      <c r="H55" s="10" t="str">
        <f t="shared" si="16"/>
        <v/>
      </c>
      <c r="I55" s="10" t="str">
        <f t="shared" si="5"/>
        <v/>
      </c>
      <c r="J55" s="14" t="str">
        <f t="shared" si="17"/>
        <v/>
      </c>
      <c r="K55" s="13" t="str">
        <f t="shared" si="7"/>
        <v/>
      </c>
      <c r="L55" s="10" t="str">
        <f t="shared" si="8"/>
        <v/>
      </c>
      <c r="M55" s="10" t="str">
        <f t="shared" si="9"/>
        <v/>
      </c>
      <c r="N55" s="10" t="str">
        <f t="shared" si="10"/>
        <v/>
      </c>
      <c r="O55" s="10" t="str">
        <f t="shared" si="11"/>
        <v/>
      </c>
      <c r="P55" s="10" t="str">
        <f t="shared" si="12"/>
        <v/>
      </c>
      <c r="Q55" s="14" t="str">
        <f t="shared" si="13"/>
        <v/>
      </c>
    </row>
    <row r="56" spans="1:17" x14ac:dyDescent="0.25">
      <c r="A56" s="4">
        <v>46235</v>
      </c>
      <c r="B56" s="5" t="str">
        <f>IF('Catalogo de Variaveis'!T61="","",SUM('Catalogo de Variaveis'!T58:T61))</f>
        <v/>
      </c>
      <c r="C56" s="15" t="str">
        <f>IFERROR(IF($B56="","",AVERAGE('Catalogo de Variaveis'!T61-'Catalogo de Variaveis'!T60,'Catalogo de Variaveis'!T60-'Catalogo de Variaveis'!T59,'Catalogo de Variaveis'!T59-'Catalogo de Variaveis'!T58,'Catalogo de Variaveis'!T58-'Catalogo de Variaveis'!T57)),0)</f>
        <v/>
      </c>
      <c r="D56" s="13" t="str">
        <f t="shared" si="0"/>
        <v/>
      </c>
      <c r="E56" s="10" t="str">
        <f t="shared" si="14"/>
        <v/>
      </c>
      <c r="F56" s="10" t="str">
        <f t="shared" si="15"/>
        <v/>
      </c>
      <c r="G56" s="10" t="str">
        <f t="shared" si="3"/>
        <v/>
      </c>
      <c r="H56" s="10" t="str">
        <f t="shared" si="16"/>
        <v/>
      </c>
      <c r="I56" s="10" t="str">
        <f t="shared" si="5"/>
        <v/>
      </c>
      <c r="J56" s="14" t="str">
        <f t="shared" si="17"/>
        <v/>
      </c>
      <c r="K56" s="13" t="str">
        <f t="shared" si="7"/>
        <v/>
      </c>
      <c r="L56" s="10" t="str">
        <f t="shared" si="8"/>
        <v/>
      </c>
      <c r="M56" s="10" t="str">
        <f t="shared" si="9"/>
        <v/>
      </c>
      <c r="N56" s="10" t="str">
        <f t="shared" si="10"/>
        <v/>
      </c>
      <c r="O56" s="10" t="str">
        <f t="shared" si="11"/>
        <v/>
      </c>
      <c r="P56" s="10" t="str">
        <f t="shared" si="12"/>
        <v/>
      </c>
      <c r="Q56" s="14" t="str">
        <f t="shared" si="13"/>
        <v/>
      </c>
    </row>
    <row r="57" spans="1:17" x14ac:dyDescent="0.25">
      <c r="A57" s="4">
        <v>46266</v>
      </c>
      <c r="B57" s="5" t="str">
        <f>IF('Catalogo de Variaveis'!T62="","",SUM('Catalogo de Variaveis'!T59:T62))</f>
        <v/>
      </c>
      <c r="C57" s="15" t="str">
        <f>IFERROR(IF($B57="","",AVERAGE('Catalogo de Variaveis'!T62-'Catalogo de Variaveis'!T61,'Catalogo de Variaveis'!T61-'Catalogo de Variaveis'!T60,'Catalogo de Variaveis'!T60-'Catalogo de Variaveis'!T59,'Catalogo de Variaveis'!T59-'Catalogo de Variaveis'!T58)),0)</f>
        <v/>
      </c>
      <c r="D57" s="13" t="str">
        <f t="shared" si="0"/>
        <v/>
      </c>
      <c r="E57" s="10" t="str">
        <f t="shared" si="14"/>
        <v/>
      </c>
      <c r="F57" s="10" t="str">
        <f t="shared" si="15"/>
        <v/>
      </c>
      <c r="G57" s="10" t="str">
        <f t="shared" si="3"/>
        <v/>
      </c>
      <c r="H57" s="10" t="str">
        <f t="shared" si="16"/>
        <v/>
      </c>
      <c r="I57" s="10" t="str">
        <f t="shared" si="5"/>
        <v/>
      </c>
      <c r="J57" s="14" t="str">
        <f t="shared" si="17"/>
        <v/>
      </c>
      <c r="K57" s="13" t="str">
        <f t="shared" si="7"/>
        <v/>
      </c>
      <c r="L57" s="10" t="str">
        <f t="shared" si="8"/>
        <v/>
      </c>
      <c r="M57" s="10" t="str">
        <f t="shared" si="9"/>
        <v/>
      </c>
      <c r="N57" s="10" t="str">
        <f t="shared" si="10"/>
        <v/>
      </c>
      <c r="O57" s="10" t="str">
        <f t="shared" si="11"/>
        <v/>
      </c>
      <c r="P57" s="10" t="str">
        <f t="shared" si="12"/>
        <v/>
      </c>
      <c r="Q57" s="14" t="str">
        <f t="shared" si="13"/>
        <v/>
      </c>
    </row>
    <row r="58" spans="1:17" x14ac:dyDescent="0.25">
      <c r="A58" s="4">
        <v>46296</v>
      </c>
      <c r="B58" s="5" t="str">
        <f>IF('Catalogo de Variaveis'!T63="","",SUM('Catalogo de Variaveis'!T60:T63))</f>
        <v/>
      </c>
      <c r="C58" s="15" t="str">
        <f>IFERROR(IF($B58="","",AVERAGE('Catalogo de Variaveis'!T63-'Catalogo de Variaveis'!T62,'Catalogo de Variaveis'!T62-'Catalogo de Variaveis'!T61,'Catalogo de Variaveis'!T61-'Catalogo de Variaveis'!T60,'Catalogo de Variaveis'!T60-'Catalogo de Variaveis'!T59)),0)</f>
        <v/>
      </c>
      <c r="D58" s="13" t="str">
        <f t="shared" si="0"/>
        <v/>
      </c>
      <c r="E58" s="10" t="str">
        <f t="shared" si="14"/>
        <v/>
      </c>
      <c r="F58" s="10" t="str">
        <f t="shared" si="15"/>
        <v/>
      </c>
      <c r="G58" s="10" t="str">
        <f t="shared" si="3"/>
        <v/>
      </c>
      <c r="H58" s="10" t="str">
        <f t="shared" si="16"/>
        <v/>
      </c>
      <c r="I58" s="10" t="str">
        <f t="shared" si="5"/>
        <v/>
      </c>
      <c r="J58" s="14" t="str">
        <f t="shared" si="17"/>
        <v/>
      </c>
      <c r="K58" s="13" t="str">
        <f t="shared" si="7"/>
        <v/>
      </c>
      <c r="L58" s="10" t="str">
        <f t="shared" si="8"/>
        <v/>
      </c>
      <c r="M58" s="10" t="str">
        <f t="shared" si="9"/>
        <v/>
      </c>
      <c r="N58" s="10" t="str">
        <f t="shared" si="10"/>
        <v/>
      </c>
      <c r="O58" s="10" t="str">
        <f t="shared" si="11"/>
        <v/>
      </c>
      <c r="P58" s="10" t="str">
        <f t="shared" si="12"/>
        <v/>
      </c>
      <c r="Q58" s="14" t="str">
        <f t="shared" si="13"/>
        <v/>
      </c>
    </row>
    <row r="59" spans="1:17" x14ac:dyDescent="0.25">
      <c r="A59" s="4">
        <v>46327</v>
      </c>
      <c r="B59" s="5" t="str">
        <f>IF('Catalogo de Variaveis'!T64="","",SUM('Catalogo de Variaveis'!T61:T64))</f>
        <v/>
      </c>
      <c r="C59" s="15" t="str">
        <f>IFERROR(IF($B59="","",AVERAGE('Catalogo de Variaveis'!T64-'Catalogo de Variaveis'!T63,'Catalogo de Variaveis'!T63-'Catalogo de Variaveis'!T62,'Catalogo de Variaveis'!T62-'Catalogo de Variaveis'!T61,'Catalogo de Variaveis'!T61-'Catalogo de Variaveis'!T60)),0)</f>
        <v/>
      </c>
      <c r="D59" s="13" t="str">
        <f t="shared" si="0"/>
        <v/>
      </c>
      <c r="E59" s="10" t="str">
        <f t="shared" si="14"/>
        <v/>
      </c>
      <c r="F59" s="10" t="str">
        <f t="shared" si="15"/>
        <v/>
      </c>
      <c r="G59" s="10" t="str">
        <f t="shared" si="3"/>
        <v/>
      </c>
      <c r="H59" s="10" t="str">
        <f t="shared" si="16"/>
        <v/>
      </c>
      <c r="I59" s="10" t="str">
        <f t="shared" si="5"/>
        <v/>
      </c>
      <c r="J59" s="14" t="str">
        <f t="shared" si="17"/>
        <v/>
      </c>
      <c r="K59" s="13" t="str">
        <f t="shared" si="7"/>
        <v/>
      </c>
      <c r="L59" s="10" t="str">
        <f t="shared" si="8"/>
        <v/>
      </c>
      <c r="M59" s="10" t="str">
        <f t="shared" si="9"/>
        <v/>
      </c>
      <c r="N59" s="10" t="str">
        <f t="shared" si="10"/>
        <v/>
      </c>
      <c r="O59" s="10" t="str">
        <f t="shared" si="11"/>
        <v/>
      </c>
      <c r="P59" s="10" t="str">
        <f t="shared" si="12"/>
        <v/>
      </c>
      <c r="Q59" s="14" t="str">
        <f t="shared" si="13"/>
        <v/>
      </c>
    </row>
    <row r="60" spans="1:17" x14ac:dyDescent="0.25">
      <c r="A60" s="4">
        <v>46357</v>
      </c>
      <c r="B60" s="5" t="str">
        <f>IF('Catalogo de Variaveis'!T65="","",SUM('Catalogo de Variaveis'!T62:T65))</f>
        <v/>
      </c>
      <c r="C60" s="15" t="str">
        <f>IFERROR(IF($B60="","",AVERAGE('Catalogo de Variaveis'!T65-'Catalogo de Variaveis'!T64,'Catalogo de Variaveis'!T64-'Catalogo de Variaveis'!T63,'Catalogo de Variaveis'!T63-'Catalogo de Variaveis'!T62,'Catalogo de Variaveis'!T62-'Catalogo de Variaveis'!T61)),0)</f>
        <v/>
      </c>
      <c r="D60" s="13" t="str">
        <f>IF($B60="","",IF(OR($J$1="",$J$2=""),$B$1-3*$B$2,$J$1-3*$J$2))</f>
        <v/>
      </c>
      <c r="E60" s="10" t="str">
        <f t="shared" si="14"/>
        <v/>
      </c>
      <c r="F60" s="10" t="str">
        <f t="shared" si="15"/>
        <v/>
      </c>
      <c r="G60" s="10" t="str">
        <f>IF($B60="","",IF(OR($J$1="",$J$2=""),$B$1,$J$1))</f>
        <v/>
      </c>
      <c r="H60" s="10" t="str">
        <f t="shared" si="16"/>
        <v/>
      </c>
      <c r="I60" s="10" t="str">
        <f>IF($B60="","",IF(OR($J$1="",$J$2=""),$B$1+2*$B$2,$J$1+2*$J$2))</f>
        <v/>
      </c>
      <c r="J60" s="14" t="str">
        <f t="shared" si="17"/>
        <v/>
      </c>
      <c r="K60" s="13" t="str">
        <f t="shared" si="7"/>
        <v/>
      </c>
      <c r="L60" s="10" t="str">
        <f t="shared" si="8"/>
        <v/>
      </c>
      <c r="M60" s="10" t="str">
        <f t="shared" si="9"/>
        <v/>
      </c>
      <c r="N60" s="10" t="str">
        <f t="shared" si="10"/>
        <v/>
      </c>
      <c r="O60" s="10" t="str">
        <f t="shared" si="11"/>
        <v/>
      </c>
      <c r="P60" s="10" t="str">
        <f t="shared" si="12"/>
        <v/>
      </c>
      <c r="Q60" s="14" t="str">
        <f t="shared" si="13"/>
        <v/>
      </c>
    </row>
    <row r="61" spans="1:17" x14ac:dyDescent="0.25">
      <c r="A61" s="4">
        <v>46388</v>
      </c>
      <c r="B61" s="5" t="str">
        <f>IF('Catalogo de Variaveis'!T66="","",SUM('Catalogo de Variaveis'!T63:T66))</f>
        <v/>
      </c>
      <c r="C61" s="15" t="str">
        <f>IFERROR(IF($B61="","",AVERAGE('Catalogo de Variaveis'!T66-'Catalogo de Variaveis'!T65,'Catalogo de Variaveis'!T65-'Catalogo de Variaveis'!T64,'Catalogo de Variaveis'!T64-'Catalogo de Variaveis'!T63,'Catalogo de Variaveis'!T63-'Catalogo de Variaveis'!T62)),0)</f>
        <v/>
      </c>
      <c r="D61" s="13" t="str">
        <f t="shared" ref="D61:D96" si="18">IF($B61="","",IF(OR($J$1="",$J$2=""),$B$1-3*$B$2,$J$1-3*$J$2))</f>
        <v/>
      </c>
      <c r="E61" s="10" t="str">
        <f t="shared" si="14"/>
        <v/>
      </c>
      <c r="F61" s="10" t="str">
        <f t="shared" si="15"/>
        <v/>
      </c>
      <c r="G61" s="10" t="str">
        <f t="shared" ref="G61:G96" si="19">IF($B61="","",IF(OR($J$1="",$J$2=""),$B$1,$J$1))</f>
        <v/>
      </c>
      <c r="H61" s="10" t="str">
        <f t="shared" si="16"/>
        <v/>
      </c>
      <c r="I61" s="10" t="str">
        <f t="shared" ref="I61:I96" si="20">IF($B61="","",IF(OR($J$1="",$J$2=""),$B$1+2*$B$2,$J$1+2*$J$2))</f>
        <v/>
      </c>
      <c r="J61" s="14" t="str">
        <f t="shared" si="17"/>
        <v/>
      </c>
      <c r="K61" s="13" t="str">
        <f t="shared" si="7"/>
        <v/>
      </c>
      <c r="L61" s="10" t="str">
        <f t="shared" si="8"/>
        <v/>
      </c>
      <c r="M61" s="10" t="str">
        <f t="shared" si="9"/>
        <v/>
      </c>
      <c r="N61" s="10" t="str">
        <f t="shared" si="10"/>
        <v/>
      </c>
      <c r="O61" s="10" t="str">
        <f t="shared" si="11"/>
        <v/>
      </c>
      <c r="P61" s="10" t="str">
        <f t="shared" si="12"/>
        <v/>
      </c>
      <c r="Q61" s="14" t="str">
        <f t="shared" si="13"/>
        <v/>
      </c>
    </row>
    <row r="62" spans="1:17" x14ac:dyDescent="0.25">
      <c r="A62" s="4">
        <v>46419</v>
      </c>
      <c r="B62" s="5" t="str">
        <f>IF('Catalogo de Variaveis'!T67="","",SUM('Catalogo de Variaveis'!T64:T67))</f>
        <v/>
      </c>
      <c r="C62" s="15" t="str">
        <f>IFERROR(IF($B62="","",AVERAGE('Catalogo de Variaveis'!T67-'Catalogo de Variaveis'!T66,'Catalogo de Variaveis'!T66-'Catalogo de Variaveis'!T65,'Catalogo de Variaveis'!T65-'Catalogo de Variaveis'!T64,'Catalogo de Variaveis'!T64-'Catalogo de Variaveis'!T63)),0)</f>
        <v/>
      </c>
      <c r="D62" s="13" t="str">
        <f t="shared" si="18"/>
        <v/>
      </c>
      <c r="E62" s="10" t="str">
        <f t="shared" si="14"/>
        <v/>
      </c>
      <c r="F62" s="10" t="str">
        <f t="shared" si="15"/>
        <v/>
      </c>
      <c r="G62" s="10" t="str">
        <f t="shared" si="19"/>
        <v/>
      </c>
      <c r="H62" s="10" t="str">
        <f t="shared" si="16"/>
        <v/>
      </c>
      <c r="I62" s="10" t="str">
        <f t="shared" si="20"/>
        <v/>
      </c>
      <c r="J62" s="14" t="str">
        <f t="shared" si="17"/>
        <v/>
      </c>
      <c r="K62" s="13" t="str">
        <f t="shared" si="7"/>
        <v/>
      </c>
      <c r="L62" s="10" t="str">
        <f t="shared" si="8"/>
        <v/>
      </c>
      <c r="M62" s="10" t="str">
        <f t="shared" si="9"/>
        <v/>
      </c>
      <c r="N62" s="10" t="str">
        <f t="shared" si="10"/>
        <v/>
      </c>
      <c r="O62" s="10" t="str">
        <f t="shared" si="11"/>
        <v/>
      </c>
      <c r="P62" s="10" t="str">
        <f t="shared" si="12"/>
        <v/>
      </c>
      <c r="Q62" s="14" t="str">
        <f t="shared" si="13"/>
        <v/>
      </c>
    </row>
    <row r="63" spans="1:17" x14ac:dyDescent="0.25">
      <c r="A63" s="4">
        <v>46447</v>
      </c>
      <c r="B63" s="5" t="str">
        <f>IF('Catalogo de Variaveis'!T68="","",SUM('Catalogo de Variaveis'!T65:T68))</f>
        <v/>
      </c>
      <c r="C63" s="15" t="str">
        <f>IFERROR(IF($B63="","",AVERAGE('Catalogo de Variaveis'!T68-'Catalogo de Variaveis'!T67,'Catalogo de Variaveis'!T67-'Catalogo de Variaveis'!T66,'Catalogo de Variaveis'!T66-'Catalogo de Variaveis'!T65,'Catalogo de Variaveis'!T65-'Catalogo de Variaveis'!T64)),0)</f>
        <v/>
      </c>
      <c r="D63" s="13" t="str">
        <f t="shared" si="18"/>
        <v/>
      </c>
      <c r="E63" s="10" t="str">
        <f t="shared" si="14"/>
        <v/>
      </c>
      <c r="F63" s="10" t="str">
        <f t="shared" si="15"/>
        <v/>
      </c>
      <c r="G63" s="10" t="str">
        <f t="shared" si="19"/>
        <v/>
      </c>
      <c r="H63" s="10" t="str">
        <f t="shared" si="16"/>
        <v/>
      </c>
      <c r="I63" s="10" t="str">
        <f t="shared" si="20"/>
        <v/>
      </c>
      <c r="J63" s="14" t="str">
        <f t="shared" si="17"/>
        <v/>
      </c>
      <c r="K63" s="13" t="str">
        <f t="shared" si="7"/>
        <v/>
      </c>
      <c r="L63" s="10" t="str">
        <f t="shared" si="8"/>
        <v/>
      </c>
      <c r="M63" s="10" t="str">
        <f t="shared" si="9"/>
        <v/>
      </c>
      <c r="N63" s="10" t="str">
        <f t="shared" si="10"/>
        <v/>
      </c>
      <c r="O63" s="10" t="str">
        <f t="shared" si="11"/>
        <v/>
      </c>
      <c r="P63" s="10" t="str">
        <f t="shared" si="12"/>
        <v/>
      </c>
      <c r="Q63" s="14" t="str">
        <f t="shared" si="13"/>
        <v/>
      </c>
    </row>
    <row r="64" spans="1:17" x14ac:dyDescent="0.25">
      <c r="A64" s="4">
        <v>46478</v>
      </c>
      <c r="B64" s="5" t="str">
        <f>IF('Catalogo de Variaveis'!T69="","",SUM('Catalogo de Variaveis'!T66:T69))</f>
        <v/>
      </c>
      <c r="C64" s="15" t="str">
        <f>IFERROR(IF($B64="","",AVERAGE('Catalogo de Variaveis'!T69-'Catalogo de Variaveis'!T68,'Catalogo de Variaveis'!T68-'Catalogo de Variaveis'!T67,'Catalogo de Variaveis'!T67-'Catalogo de Variaveis'!T66,'Catalogo de Variaveis'!T66-'Catalogo de Variaveis'!T65)),0)</f>
        <v/>
      </c>
      <c r="D64" s="13" t="str">
        <f t="shared" si="18"/>
        <v/>
      </c>
      <c r="E64" s="10" t="str">
        <f t="shared" si="14"/>
        <v/>
      </c>
      <c r="F64" s="10" t="str">
        <f t="shared" si="15"/>
        <v/>
      </c>
      <c r="G64" s="10" t="str">
        <f t="shared" si="19"/>
        <v/>
      </c>
      <c r="H64" s="10" t="str">
        <f t="shared" si="16"/>
        <v/>
      </c>
      <c r="I64" s="10" t="str">
        <f t="shared" si="20"/>
        <v/>
      </c>
      <c r="J64" s="14" t="str">
        <f t="shared" si="17"/>
        <v/>
      </c>
      <c r="K64" s="13" t="str">
        <f t="shared" si="7"/>
        <v/>
      </c>
      <c r="L64" s="10" t="str">
        <f t="shared" si="8"/>
        <v/>
      </c>
      <c r="M64" s="10" t="str">
        <f t="shared" si="9"/>
        <v/>
      </c>
      <c r="N64" s="10" t="str">
        <f t="shared" si="10"/>
        <v/>
      </c>
      <c r="O64" s="10" t="str">
        <f t="shared" si="11"/>
        <v/>
      </c>
      <c r="P64" s="10" t="str">
        <f t="shared" si="12"/>
        <v/>
      </c>
      <c r="Q64" s="14" t="str">
        <f t="shared" si="13"/>
        <v/>
      </c>
    </row>
    <row r="65" spans="1:17" x14ac:dyDescent="0.25">
      <c r="A65" s="4">
        <v>46508</v>
      </c>
      <c r="B65" s="5" t="str">
        <f>IF('Catalogo de Variaveis'!T70="","",SUM('Catalogo de Variaveis'!T67:T70))</f>
        <v/>
      </c>
      <c r="C65" s="15" t="str">
        <f>IFERROR(IF($B65="","",AVERAGE('Catalogo de Variaveis'!T70-'Catalogo de Variaveis'!T69,'Catalogo de Variaveis'!T69-'Catalogo de Variaveis'!T68,'Catalogo de Variaveis'!T68-'Catalogo de Variaveis'!T67,'Catalogo de Variaveis'!T67-'Catalogo de Variaveis'!T66)),0)</f>
        <v/>
      </c>
      <c r="D65" s="13" t="str">
        <f t="shared" si="18"/>
        <v/>
      </c>
      <c r="E65" s="10" t="str">
        <f t="shared" si="14"/>
        <v/>
      </c>
      <c r="F65" s="10" t="str">
        <f t="shared" si="15"/>
        <v/>
      </c>
      <c r="G65" s="10" t="str">
        <f t="shared" si="19"/>
        <v/>
      </c>
      <c r="H65" s="10" t="str">
        <f t="shared" si="16"/>
        <v/>
      </c>
      <c r="I65" s="10" t="str">
        <f t="shared" si="20"/>
        <v/>
      </c>
      <c r="J65" s="14" t="str">
        <f t="shared" si="17"/>
        <v/>
      </c>
      <c r="K65" s="13" t="str">
        <f t="shared" si="7"/>
        <v/>
      </c>
      <c r="L65" s="10" t="str">
        <f t="shared" si="8"/>
        <v/>
      </c>
      <c r="M65" s="10" t="str">
        <f t="shared" si="9"/>
        <v/>
      </c>
      <c r="N65" s="10" t="str">
        <f t="shared" si="10"/>
        <v/>
      </c>
      <c r="O65" s="10" t="str">
        <f t="shared" si="11"/>
        <v/>
      </c>
      <c r="P65" s="10" t="str">
        <f t="shared" si="12"/>
        <v/>
      </c>
      <c r="Q65" s="14" t="str">
        <f t="shared" si="13"/>
        <v/>
      </c>
    </row>
    <row r="66" spans="1:17" x14ac:dyDescent="0.25">
      <c r="A66" s="4">
        <v>46539</v>
      </c>
      <c r="B66" s="5" t="str">
        <f>IF('Catalogo de Variaveis'!T71="","",SUM('Catalogo de Variaveis'!T68:T71))</f>
        <v/>
      </c>
      <c r="C66" s="15" t="str">
        <f>IFERROR(IF($B66="","",AVERAGE('Catalogo de Variaveis'!T71-'Catalogo de Variaveis'!T70,'Catalogo de Variaveis'!T70-'Catalogo de Variaveis'!T69,'Catalogo de Variaveis'!T69-'Catalogo de Variaveis'!T68,'Catalogo de Variaveis'!T68-'Catalogo de Variaveis'!T67)),0)</f>
        <v/>
      </c>
      <c r="D66" s="13" t="str">
        <f t="shared" si="18"/>
        <v/>
      </c>
      <c r="E66" s="10" t="str">
        <f t="shared" si="14"/>
        <v/>
      </c>
      <c r="F66" s="10" t="str">
        <f t="shared" si="15"/>
        <v/>
      </c>
      <c r="G66" s="10" t="str">
        <f t="shared" si="19"/>
        <v/>
      </c>
      <c r="H66" s="10" t="str">
        <f t="shared" si="16"/>
        <v/>
      </c>
      <c r="I66" s="10" t="str">
        <f t="shared" si="20"/>
        <v/>
      </c>
      <c r="J66" s="14" t="str">
        <f t="shared" si="17"/>
        <v/>
      </c>
      <c r="K66" s="13" t="str">
        <f t="shared" si="7"/>
        <v/>
      </c>
      <c r="L66" s="10" t="str">
        <f t="shared" si="8"/>
        <v/>
      </c>
      <c r="M66" s="10" t="str">
        <f t="shared" si="9"/>
        <v/>
      </c>
      <c r="N66" s="10" t="str">
        <f t="shared" si="10"/>
        <v/>
      </c>
      <c r="O66" s="10" t="str">
        <f t="shared" si="11"/>
        <v/>
      </c>
      <c r="P66" s="10" t="str">
        <f t="shared" si="12"/>
        <v/>
      </c>
      <c r="Q66" s="14" t="str">
        <f t="shared" si="13"/>
        <v/>
      </c>
    </row>
    <row r="67" spans="1:17" x14ac:dyDescent="0.25">
      <c r="A67" s="4">
        <v>46569</v>
      </c>
      <c r="B67" s="5" t="str">
        <f>IF('Catalogo de Variaveis'!T72="","",SUM('Catalogo de Variaveis'!T69:T72))</f>
        <v/>
      </c>
      <c r="C67" s="15" t="str">
        <f>IFERROR(IF($B67="","",AVERAGE('Catalogo de Variaveis'!T72-'Catalogo de Variaveis'!T71,'Catalogo de Variaveis'!T71-'Catalogo de Variaveis'!T70,'Catalogo de Variaveis'!T70-'Catalogo de Variaveis'!T69,'Catalogo de Variaveis'!T69-'Catalogo de Variaveis'!T68)),0)</f>
        <v/>
      </c>
      <c r="D67" s="13" t="str">
        <f t="shared" si="18"/>
        <v/>
      </c>
      <c r="E67" s="10" t="str">
        <f t="shared" si="14"/>
        <v/>
      </c>
      <c r="F67" s="10" t="str">
        <f t="shared" si="15"/>
        <v/>
      </c>
      <c r="G67" s="10" t="str">
        <f t="shared" si="19"/>
        <v/>
      </c>
      <c r="H67" s="10" t="str">
        <f t="shared" si="16"/>
        <v/>
      </c>
      <c r="I67" s="10" t="str">
        <f t="shared" si="20"/>
        <v/>
      </c>
      <c r="J67" s="14" t="str">
        <f t="shared" si="17"/>
        <v/>
      </c>
      <c r="K67" s="13" t="str">
        <f t="shared" si="7"/>
        <v/>
      </c>
      <c r="L67" s="10" t="str">
        <f t="shared" si="8"/>
        <v/>
      </c>
      <c r="M67" s="10" t="str">
        <f t="shared" si="9"/>
        <v/>
      </c>
      <c r="N67" s="10" t="str">
        <f t="shared" si="10"/>
        <v/>
      </c>
      <c r="O67" s="10" t="str">
        <f t="shared" si="11"/>
        <v/>
      </c>
      <c r="P67" s="10" t="str">
        <f t="shared" si="12"/>
        <v/>
      </c>
      <c r="Q67" s="14" t="str">
        <f t="shared" si="13"/>
        <v/>
      </c>
    </row>
    <row r="68" spans="1:17" x14ac:dyDescent="0.25">
      <c r="A68" s="4">
        <v>46600</v>
      </c>
      <c r="B68" s="5" t="str">
        <f>IF('Catalogo de Variaveis'!T73="","",SUM('Catalogo de Variaveis'!T70:T73))</f>
        <v/>
      </c>
      <c r="C68" s="15" t="str">
        <f>IFERROR(IF($B68="","",AVERAGE('Catalogo de Variaveis'!T73-'Catalogo de Variaveis'!T72,'Catalogo de Variaveis'!T72-'Catalogo de Variaveis'!T71,'Catalogo de Variaveis'!T71-'Catalogo de Variaveis'!T70,'Catalogo de Variaveis'!T70-'Catalogo de Variaveis'!T69)),0)</f>
        <v/>
      </c>
      <c r="D68" s="13" t="str">
        <f t="shared" si="18"/>
        <v/>
      </c>
      <c r="E68" s="10" t="str">
        <f t="shared" si="14"/>
        <v/>
      </c>
      <c r="F68" s="10" t="str">
        <f t="shared" si="15"/>
        <v/>
      </c>
      <c r="G68" s="10" t="str">
        <f t="shared" si="19"/>
        <v/>
      </c>
      <c r="H68" s="10" t="str">
        <f t="shared" si="16"/>
        <v/>
      </c>
      <c r="I68" s="10" t="str">
        <f t="shared" si="20"/>
        <v/>
      </c>
      <c r="J68" s="14" t="str">
        <f t="shared" si="17"/>
        <v/>
      </c>
      <c r="K68" s="13" t="str">
        <f t="shared" si="7"/>
        <v/>
      </c>
      <c r="L68" s="10" t="str">
        <f t="shared" si="8"/>
        <v/>
      </c>
      <c r="M68" s="10" t="str">
        <f t="shared" si="9"/>
        <v/>
      </c>
      <c r="N68" s="10" t="str">
        <f t="shared" si="10"/>
        <v/>
      </c>
      <c r="O68" s="10" t="str">
        <f t="shared" si="11"/>
        <v/>
      </c>
      <c r="P68" s="10" t="str">
        <f t="shared" si="12"/>
        <v/>
      </c>
      <c r="Q68" s="14" t="str">
        <f t="shared" si="13"/>
        <v/>
      </c>
    </row>
    <row r="69" spans="1:17" x14ac:dyDescent="0.25">
      <c r="A69" s="4">
        <v>46631</v>
      </c>
      <c r="B69" s="5" t="str">
        <f>IF('Catalogo de Variaveis'!T74="","",SUM('Catalogo de Variaveis'!T71:T74))</f>
        <v/>
      </c>
      <c r="C69" s="15" t="str">
        <f>IFERROR(IF($B69="","",AVERAGE('Catalogo de Variaveis'!T74-'Catalogo de Variaveis'!T73,'Catalogo de Variaveis'!T73-'Catalogo de Variaveis'!T72,'Catalogo de Variaveis'!T72-'Catalogo de Variaveis'!T71,'Catalogo de Variaveis'!T71-'Catalogo de Variaveis'!T70)),0)</f>
        <v/>
      </c>
      <c r="D69" s="13" t="str">
        <f t="shared" si="18"/>
        <v/>
      </c>
      <c r="E69" s="10" t="str">
        <f t="shared" si="14"/>
        <v/>
      </c>
      <c r="F69" s="10" t="str">
        <f t="shared" si="15"/>
        <v/>
      </c>
      <c r="G69" s="10" t="str">
        <f t="shared" si="19"/>
        <v/>
      </c>
      <c r="H69" s="10" t="str">
        <f t="shared" si="16"/>
        <v/>
      </c>
      <c r="I69" s="10" t="str">
        <f t="shared" si="20"/>
        <v/>
      </c>
      <c r="J69" s="14" t="str">
        <f t="shared" si="17"/>
        <v/>
      </c>
      <c r="K69" s="13" t="str">
        <f t="shared" si="7"/>
        <v/>
      </c>
      <c r="L69" s="10" t="str">
        <f t="shared" si="8"/>
        <v/>
      </c>
      <c r="M69" s="10" t="str">
        <f t="shared" si="9"/>
        <v/>
      </c>
      <c r="N69" s="10" t="str">
        <f t="shared" si="10"/>
        <v/>
      </c>
      <c r="O69" s="10" t="str">
        <f t="shared" si="11"/>
        <v/>
      </c>
      <c r="P69" s="10" t="str">
        <f t="shared" si="12"/>
        <v/>
      </c>
      <c r="Q69" s="14" t="str">
        <f t="shared" si="13"/>
        <v/>
      </c>
    </row>
    <row r="70" spans="1:17" x14ac:dyDescent="0.25">
      <c r="A70" s="4">
        <v>46661</v>
      </c>
      <c r="B70" s="5" t="str">
        <f>IF('Catalogo de Variaveis'!T75="","",SUM('Catalogo de Variaveis'!T72:T75))</f>
        <v/>
      </c>
      <c r="C70" s="15" t="str">
        <f>IFERROR(IF($B70="","",AVERAGE('Catalogo de Variaveis'!T75-'Catalogo de Variaveis'!T74,'Catalogo de Variaveis'!T74-'Catalogo de Variaveis'!T73,'Catalogo de Variaveis'!T73-'Catalogo de Variaveis'!T72,'Catalogo de Variaveis'!T72-'Catalogo de Variaveis'!T71)),0)</f>
        <v/>
      </c>
      <c r="D70" s="13" t="str">
        <f t="shared" si="18"/>
        <v/>
      </c>
      <c r="E70" s="10" t="str">
        <f t="shared" si="14"/>
        <v/>
      </c>
      <c r="F70" s="10" t="str">
        <f t="shared" si="15"/>
        <v/>
      </c>
      <c r="G70" s="10" t="str">
        <f t="shared" si="19"/>
        <v/>
      </c>
      <c r="H70" s="10" t="str">
        <f t="shared" si="16"/>
        <v/>
      </c>
      <c r="I70" s="10" t="str">
        <f t="shared" si="20"/>
        <v/>
      </c>
      <c r="J70" s="14" t="str">
        <f t="shared" si="17"/>
        <v/>
      </c>
      <c r="K70" s="13" t="str">
        <f t="shared" si="7"/>
        <v/>
      </c>
      <c r="L70" s="10" t="str">
        <f t="shared" si="8"/>
        <v/>
      </c>
      <c r="M70" s="10" t="str">
        <f t="shared" si="9"/>
        <v/>
      </c>
      <c r="N70" s="10" t="str">
        <f t="shared" si="10"/>
        <v/>
      </c>
      <c r="O70" s="10" t="str">
        <f t="shared" si="11"/>
        <v/>
      </c>
      <c r="P70" s="10" t="str">
        <f t="shared" si="12"/>
        <v/>
      </c>
      <c r="Q70" s="14" t="str">
        <f t="shared" si="13"/>
        <v/>
      </c>
    </row>
    <row r="71" spans="1:17" x14ac:dyDescent="0.25">
      <c r="A71" s="4">
        <v>46692</v>
      </c>
      <c r="B71" s="5" t="str">
        <f>IF('Catalogo de Variaveis'!T76="","",SUM('Catalogo de Variaveis'!T73:T76))</f>
        <v/>
      </c>
      <c r="C71" s="15" t="str">
        <f>IFERROR(IF($B71="","",AVERAGE('Catalogo de Variaveis'!T76-'Catalogo de Variaveis'!T75,'Catalogo de Variaveis'!T75-'Catalogo de Variaveis'!T74,'Catalogo de Variaveis'!T74-'Catalogo de Variaveis'!T73,'Catalogo de Variaveis'!T73-'Catalogo de Variaveis'!T72)),0)</f>
        <v/>
      </c>
      <c r="D71" s="13" t="str">
        <f t="shared" si="18"/>
        <v/>
      </c>
      <c r="E71" s="10" t="str">
        <f t="shared" si="14"/>
        <v/>
      </c>
      <c r="F71" s="10" t="str">
        <f t="shared" si="15"/>
        <v/>
      </c>
      <c r="G71" s="10" t="str">
        <f t="shared" si="19"/>
        <v/>
      </c>
      <c r="H71" s="10" t="str">
        <f t="shared" si="16"/>
        <v/>
      </c>
      <c r="I71" s="10" t="str">
        <f t="shared" si="20"/>
        <v/>
      </c>
      <c r="J71" s="14" t="str">
        <f t="shared" si="17"/>
        <v/>
      </c>
      <c r="K71" s="13" t="str">
        <f t="shared" si="7"/>
        <v/>
      </c>
      <c r="L71" s="10" t="str">
        <f t="shared" si="8"/>
        <v/>
      </c>
      <c r="M71" s="10" t="str">
        <f t="shared" si="9"/>
        <v/>
      </c>
      <c r="N71" s="10" t="str">
        <f t="shared" si="10"/>
        <v/>
      </c>
      <c r="O71" s="10" t="str">
        <f t="shared" si="11"/>
        <v/>
      </c>
      <c r="P71" s="10" t="str">
        <f t="shared" si="12"/>
        <v/>
      </c>
      <c r="Q71" s="14" t="str">
        <f t="shared" si="13"/>
        <v/>
      </c>
    </row>
    <row r="72" spans="1:17" x14ac:dyDescent="0.25">
      <c r="A72" s="4">
        <v>46722</v>
      </c>
      <c r="B72" s="5" t="str">
        <f>IF('Catalogo de Variaveis'!T77="","",SUM('Catalogo de Variaveis'!T74:T77))</f>
        <v/>
      </c>
      <c r="C72" s="15" t="str">
        <f>IFERROR(IF($B72="","",AVERAGE('Catalogo de Variaveis'!T77-'Catalogo de Variaveis'!T76,'Catalogo de Variaveis'!T76-'Catalogo de Variaveis'!T75,'Catalogo de Variaveis'!T75-'Catalogo de Variaveis'!T74,'Catalogo de Variaveis'!T74-'Catalogo de Variaveis'!T73)),0)</f>
        <v/>
      </c>
      <c r="D72" s="13" t="str">
        <f t="shared" si="18"/>
        <v/>
      </c>
      <c r="E72" s="10" t="str">
        <f t="shared" si="14"/>
        <v/>
      </c>
      <c r="F72" s="10" t="str">
        <f t="shared" si="15"/>
        <v/>
      </c>
      <c r="G72" s="10" t="str">
        <f t="shared" si="19"/>
        <v/>
      </c>
      <c r="H72" s="10" t="str">
        <f t="shared" si="16"/>
        <v/>
      </c>
      <c r="I72" s="10" t="str">
        <f t="shared" si="20"/>
        <v/>
      </c>
      <c r="J72" s="14" t="str">
        <f t="shared" si="17"/>
        <v/>
      </c>
      <c r="K72" s="13" t="str">
        <f t="shared" si="7"/>
        <v/>
      </c>
      <c r="L72" s="10" t="str">
        <f t="shared" si="8"/>
        <v/>
      </c>
      <c r="M72" s="10" t="str">
        <f t="shared" si="9"/>
        <v/>
      </c>
      <c r="N72" s="10" t="str">
        <f t="shared" si="10"/>
        <v/>
      </c>
      <c r="O72" s="10" t="str">
        <f t="shared" si="11"/>
        <v/>
      </c>
      <c r="P72" s="10" t="str">
        <f t="shared" si="12"/>
        <v/>
      </c>
      <c r="Q72" s="14" t="str">
        <f t="shared" si="13"/>
        <v/>
      </c>
    </row>
    <row r="73" spans="1:17" x14ac:dyDescent="0.25">
      <c r="A73" s="4">
        <v>46753</v>
      </c>
      <c r="B73" s="5" t="str">
        <f>IF('Catalogo de Variaveis'!T78="","",SUM('Catalogo de Variaveis'!T75:T78))</f>
        <v/>
      </c>
      <c r="C73" s="15" t="str">
        <f>IFERROR(IF($B73="","",AVERAGE('Catalogo de Variaveis'!T78-'Catalogo de Variaveis'!T77,'Catalogo de Variaveis'!T77-'Catalogo de Variaveis'!T76,'Catalogo de Variaveis'!T76-'Catalogo de Variaveis'!T75,'Catalogo de Variaveis'!T75-'Catalogo de Variaveis'!T74)),0)</f>
        <v/>
      </c>
      <c r="D73" s="13" t="str">
        <f t="shared" si="18"/>
        <v/>
      </c>
      <c r="E73" s="10" t="str">
        <f t="shared" si="14"/>
        <v/>
      </c>
      <c r="F73" s="10" t="str">
        <f t="shared" si="15"/>
        <v/>
      </c>
      <c r="G73" s="10" t="str">
        <f t="shared" si="19"/>
        <v/>
      </c>
      <c r="H73" s="10" t="str">
        <f t="shared" si="16"/>
        <v/>
      </c>
      <c r="I73" s="10" t="str">
        <f t="shared" si="20"/>
        <v/>
      </c>
      <c r="J73" s="14" t="str">
        <f t="shared" si="17"/>
        <v/>
      </c>
      <c r="K73" s="13" t="str">
        <f t="shared" ref="K73:K96" si="21">IF($B73="","",$C$1-3*$C$2)</f>
        <v/>
      </c>
      <c r="L73" s="10" t="str">
        <f t="shared" ref="L73:L96" si="22">IF($B73="","",$C$1-2*$C$2)</f>
        <v/>
      </c>
      <c r="M73" s="10" t="str">
        <f t="shared" ref="M73:M96" si="23">IF($B73="","",$C$1-$C$2)</f>
        <v/>
      </c>
      <c r="N73" s="10" t="str">
        <f t="shared" ref="N73:N96" si="24">IF($B73="","",$C$1)</f>
        <v/>
      </c>
      <c r="O73" s="10" t="str">
        <f t="shared" ref="O73:O96" si="25">IF($B73="","",$C$1+1*$C$2)</f>
        <v/>
      </c>
      <c r="P73" s="10" t="str">
        <f t="shared" ref="P73:P96" si="26">IF($B73="","",$C$1+2*$C$2)</f>
        <v/>
      </c>
      <c r="Q73" s="14" t="str">
        <f t="shared" ref="Q73:Q96" si="27">IF($B73="","",$C$1+3*$C$2)</f>
        <v/>
      </c>
    </row>
    <row r="74" spans="1:17" x14ac:dyDescent="0.25">
      <c r="A74" s="4">
        <v>46784</v>
      </c>
      <c r="B74" s="5" t="str">
        <f>IF('Catalogo de Variaveis'!T79="","",SUM('Catalogo de Variaveis'!T76:T79))</f>
        <v/>
      </c>
      <c r="C74" s="15" t="str">
        <f>IFERROR(IF($B74="","",AVERAGE('Catalogo de Variaveis'!T79-'Catalogo de Variaveis'!T78,'Catalogo de Variaveis'!T78-'Catalogo de Variaveis'!T77,'Catalogo de Variaveis'!T77-'Catalogo de Variaveis'!T76,'Catalogo de Variaveis'!T76-'Catalogo de Variaveis'!T75)),0)</f>
        <v/>
      </c>
      <c r="D74" s="13" t="str">
        <f t="shared" si="18"/>
        <v/>
      </c>
      <c r="E74" s="10" t="str">
        <f t="shared" si="14"/>
        <v/>
      </c>
      <c r="F74" s="10" t="str">
        <f t="shared" si="15"/>
        <v/>
      </c>
      <c r="G74" s="10" t="str">
        <f t="shared" si="19"/>
        <v/>
      </c>
      <c r="H74" s="10" t="str">
        <f t="shared" si="16"/>
        <v/>
      </c>
      <c r="I74" s="10" t="str">
        <f t="shared" si="20"/>
        <v/>
      </c>
      <c r="J74" s="14" t="str">
        <f t="shared" si="17"/>
        <v/>
      </c>
      <c r="K74" s="13" t="str">
        <f t="shared" si="21"/>
        <v/>
      </c>
      <c r="L74" s="10" t="str">
        <f t="shared" si="22"/>
        <v/>
      </c>
      <c r="M74" s="10" t="str">
        <f t="shared" si="23"/>
        <v/>
      </c>
      <c r="N74" s="10" t="str">
        <f t="shared" si="24"/>
        <v/>
      </c>
      <c r="O74" s="10" t="str">
        <f t="shared" si="25"/>
        <v/>
      </c>
      <c r="P74" s="10" t="str">
        <f t="shared" si="26"/>
        <v/>
      </c>
      <c r="Q74" s="14" t="str">
        <f t="shared" si="27"/>
        <v/>
      </c>
    </row>
    <row r="75" spans="1:17" x14ac:dyDescent="0.25">
      <c r="A75" s="4">
        <v>46813</v>
      </c>
      <c r="B75" s="5" t="str">
        <f>IF('Catalogo de Variaveis'!T80="","",SUM('Catalogo de Variaveis'!T77:T80))</f>
        <v/>
      </c>
      <c r="C75" s="15" t="str">
        <f>IFERROR(IF($B75="","",AVERAGE('Catalogo de Variaveis'!T80-'Catalogo de Variaveis'!T79,'Catalogo de Variaveis'!T79-'Catalogo de Variaveis'!T78,'Catalogo de Variaveis'!T78-'Catalogo de Variaveis'!T77,'Catalogo de Variaveis'!T77-'Catalogo de Variaveis'!T76)),0)</f>
        <v/>
      </c>
      <c r="D75" s="13" t="str">
        <f t="shared" si="18"/>
        <v/>
      </c>
      <c r="E75" s="10" t="str">
        <f t="shared" si="14"/>
        <v/>
      </c>
      <c r="F75" s="10" t="str">
        <f t="shared" si="15"/>
        <v/>
      </c>
      <c r="G75" s="10" t="str">
        <f t="shared" si="19"/>
        <v/>
      </c>
      <c r="H75" s="10" t="str">
        <f t="shared" si="16"/>
        <v/>
      </c>
      <c r="I75" s="10" t="str">
        <f t="shared" si="20"/>
        <v/>
      </c>
      <c r="J75" s="14" t="str">
        <f t="shared" si="17"/>
        <v/>
      </c>
      <c r="K75" s="13" t="str">
        <f t="shared" si="21"/>
        <v/>
      </c>
      <c r="L75" s="10" t="str">
        <f t="shared" si="22"/>
        <v/>
      </c>
      <c r="M75" s="10" t="str">
        <f t="shared" si="23"/>
        <v/>
      </c>
      <c r="N75" s="10" t="str">
        <f t="shared" si="24"/>
        <v/>
      </c>
      <c r="O75" s="10" t="str">
        <f t="shared" si="25"/>
        <v/>
      </c>
      <c r="P75" s="10" t="str">
        <f t="shared" si="26"/>
        <v/>
      </c>
      <c r="Q75" s="14" t="str">
        <f t="shared" si="27"/>
        <v/>
      </c>
    </row>
    <row r="76" spans="1:17" x14ac:dyDescent="0.25">
      <c r="A76" s="4">
        <v>46844</v>
      </c>
      <c r="B76" s="5" t="str">
        <f>IF('Catalogo de Variaveis'!T81="","",SUM('Catalogo de Variaveis'!T78:T81))</f>
        <v/>
      </c>
      <c r="C76" s="15" t="str">
        <f>IFERROR(IF($B76="","",AVERAGE('Catalogo de Variaveis'!T81-'Catalogo de Variaveis'!T80,'Catalogo de Variaveis'!T80-'Catalogo de Variaveis'!T79,'Catalogo de Variaveis'!T79-'Catalogo de Variaveis'!T78,'Catalogo de Variaveis'!T78-'Catalogo de Variaveis'!T77)),0)</f>
        <v/>
      </c>
      <c r="D76" s="13" t="str">
        <f t="shared" si="18"/>
        <v/>
      </c>
      <c r="E76" s="10" t="str">
        <f t="shared" si="14"/>
        <v/>
      </c>
      <c r="F76" s="10" t="str">
        <f t="shared" si="15"/>
        <v/>
      </c>
      <c r="G76" s="10" t="str">
        <f t="shared" si="19"/>
        <v/>
      </c>
      <c r="H76" s="10" t="str">
        <f t="shared" si="16"/>
        <v/>
      </c>
      <c r="I76" s="10" t="str">
        <f t="shared" si="20"/>
        <v/>
      </c>
      <c r="J76" s="14" t="str">
        <f t="shared" si="17"/>
        <v/>
      </c>
      <c r="K76" s="13" t="str">
        <f t="shared" si="21"/>
        <v/>
      </c>
      <c r="L76" s="10" t="str">
        <f t="shared" si="22"/>
        <v/>
      </c>
      <c r="M76" s="10" t="str">
        <f t="shared" si="23"/>
        <v/>
      </c>
      <c r="N76" s="10" t="str">
        <f t="shared" si="24"/>
        <v/>
      </c>
      <c r="O76" s="10" t="str">
        <f t="shared" si="25"/>
        <v/>
      </c>
      <c r="P76" s="10" t="str">
        <f t="shared" si="26"/>
        <v/>
      </c>
      <c r="Q76" s="14" t="str">
        <f t="shared" si="27"/>
        <v/>
      </c>
    </row>
    <row r="77" spans="1:17" x14ac:dyDescent="0.25">
      <c r="A77" s="4">
        <v>46874</v>
      </c>
      <c r="B77" s="5" t="str">
        <f>IF('Catalogo de Variaveis'!T82="","",SUM('Catalogo de Variaveis'!T79:T82))</f>
        <v/>
      </c>
      <c r="C77" s="15" t="str">
        <f>IFERROR(IF($B77="","",AVERAGE('Catalogo de Variaveis'!T82-'Catalogo de Variaveis'!T81,'Catalogo de Variaveis'!T81-'Catalogo de Variaveis'!T80,'Catalogo de Variaveis'!T80-'Catalogo de Variaveis'!T79,'Catalogo de Variaveis'!T79-'Catalogo de Variaveis'!T78)),0)</f>
        <v/>
      </c>
      <c r="D77" s="13" t="str">
        <f t="shared" si="18"/>
        <v/>
      </c>
      <c r="E77" s="10" t="str">
        <f t="shared" si="14"/>
        <v/>
      </c>
      <c r="F77" s="10" t="str">
        <f t="shared" si="15"/>
        <v/>
      </c>
      <c r="G77" s="10" t="str">
        <f t="shared" si="19"/>
        <v/>
      </c>
      <c r="H77" s="10" t="str">
        <f t="shared" si="16"/>
        <v/>
      </c>
      <c r="I77" s="10" t="str">
        <f t="shared" si="20"/>
        <v/>
      </c>
      <c r="J77" s="14" t="str">
        <f t="shared" si="17"/>
        <v/>
      </c>
      <c r="K77" s="13" t="str">
        <f t="shared" si="21"/>
        <v/>
      </c>
      <c r="L77" s="10" t="str">
        <f t="shared" si="22"/>
        <v/>
      </c>
      <c r="M77" s="10" t="str">
        <f t="shared" si="23"/>
        <v/>
      </c>
      <c r="N77" s="10" t="str">
        <f t="shared" si="24"/>
        <v/>
      </c>
      <c r="O77" s="10" t="str">
        <f t="shared" si="25"/>
        <v/>
      </c>
      <c r="P77" s="10" t="str">
        <f t="shared" si="26"/>
        <v/>
      </c>
      <c r="Q77" s="14" t="str">
        <f t="shared" si="27"/>
        <v/>
      </c>
    </row>
    <row r="78" spans="1:17" x14ac:dyDescent="0.25">
      <c r="A78" s="4">
        <v>46905</v>
      </c>
      <c r="B78" s="5" t="str">
        <f>IF('Catalogo de Variaveis'!T83="","",SUM('Catalogo de Variaveis'!T80:T83))</f>
        <v/>
      </c>
      <c r="C78" s="15" t="str">
        <f>IFERROR(IF($B78="","",AVERAGE('Catalogo de Variaveis'!T83-'Catalogo de Variaveis'!T82,'Catalogo de Variaveis'!T82-'Catalogo de Variaveis'!T81,'Catalogo de Variaveis'!T81-'Catalogo de Variaveis'!T80,'Catalogo de Variaveis'!T80-'Catalogo de Variaveis'!T79)),0)</f>
        <v/>
      </c>
      <c r="D78" s="13" t="str">
        <f t="shared" si="18"/>
        <v/>
      </c>
      <c r="E78" s="10" t="str">
        <f t="shared" si="14"/>
        <v/>
      </c>
      <c r="F78" s="10" t="str">
        <f t="shared" si="15"/>
        <v/>
      </c>
      <c r="G78" s="10" t="str">
        <f t="shared" si="19"/>
        <v/>
      </c>
      <c r="H78" s="10" t="str">
        <f t="shared" si="16"/>
        <v/>
      </c>
      <c r="I78" s="10" t="str">
        <f t="shared" si="20"/>
        <v/>
      </c>
      <c r="J78" s="14" t="str">
        <f t="shared" si="17"/>
        <v/>
      </c>
      <c r="K78" s="13" t="str">
        <f t="shared" si="21"/>
        <v/>
      </c>
      <c r="L78" s="10" t="str">
        <f t="shared" si="22"/>
        <v/>
      </c>
      <c r="M78" s="10" t="str">
        <f t="shared" si="23"/>
        <v/>
      </c>
      <c r="N78" s="10" t="str">
        <f t="shared" si="24"/>
        <v/>
      </c>
      <c r="O78" s="10" t="str">
        <f t="shared" si="25"/>
        <v/>
      </c>
      <c r="P78" s="10" t="str">
        <f t="shared" si="26"/>
        <v/>
      </c>
      <c r="Q78" s="14" t="str">
        <f t="shared" si="27"/>
        <v/>
      </c>
    </row>
    <row r="79" spans="1:17" x14ac:dyDescent="0.25">
      <c r="A79" s="4">
        <v>46935</v>
      </c>
      <c r="B79" s="5" t="str">
        <f>IF('Catalogo de Variaveis'!T84="","",SUM('Catalogo de Variaveis'!T81:T84))</f>
        <v/>
      </c>
      <c r="C79" s="15" t="str">
        <f>IFERROR(IF($B79="","",AVERAGE('Catalogo de Variaveis'!T84-'Catalogo de Variaveis'!T83,'Catalogo de Variaveis'!T83-'Catalogo de Variaveis'!T82,'Catalogo de Variaveis'!T82-'Catalogo de Variaveis'!T81,'Catalogo de Variaveis'!T81-'Catalogo de Variaveis'!T80)),0)</f>
        <v/>
      </c>
      <c r="D79" s="13" t="str">
        <f t="shared" si="18"/>
        <v/>
      </c>
      <c r="E79" s="10" t="str">
        <f t="shared" si="14"/>
        <v/>
      </c>
      <c r="F79" s="10" t="str">
        <f t="shared" si="15"/>
        <v/>
      </c>
      <c r="G79" s="10" t="str">
        <f t="shared" si="19"/>
        <v/>
      </c>
      <c r="H79" s="10" t="str">
        <f t="shared" si="16"/>
        <v/>
      </c>
      <c r="I79" s="10" t="str">
        <f t="shared" si="20"/>
        <v/>
      </c>
      <c r="J79" s="14" t="str">
        <f t="shared" si="17"/>
        <v/>
      </c>
      <c r="K79" s="13" t="str">
        <f t="shared" si="21"/>
        <v/>
      </c>
      <c r="L79" s="10" t="str">
        <f t="shared" si="22"/>
        <v/>
      </c>
      <c r="M79" s="10" t="str">
        <f t="shared" si="23"/>
        <v/>
      </c>
      <c r="N79" s="10" t="str">
        <f t="shared" si="24"/>
        <v/>
      </c>
      <c r="O79" s="10" t="str">
        <f t="shared" si="25"/>
        <v/>
      </c>
      <c r="P79" s="10" t="str">
        <f t="shared" si="26"/>
        <v/>
      </c>
      <c r="Q79" s="14" t="str">
        <f t="shared" si="27"/>
        <v/>
      </c>
    </row>
    <row r="80" spans="1:17" x14ac:dyDescent="0.25">
      <c r="A80" s="4">
        <v>46966</v>
      </c>
      <c r="B80" s="5" t="str">
        <f>IF('Catalogo de Variaveis'!T85="","",SUM('Catalogo de Variaveis'!T82:T85))</f>
        <v/>
      </c>
      <c r="C80" s="15" t="str">
        <f>IFERROR(IF($B80="","",AVERAGE('Catalogo de Variaveis'!T85-'Catalogo de Variaveis'!T84,'Catalogo de Variaveis'!T84-'Catalogo de Variaveis'!T83,'Catalogo de Variaveis'!T83-'Catalogo de Variaveis'!T82,'Catalogo de Variaveis'!T82-'Catalogo de Variaveis'!T81)),0)</f>
        <v/>
      </c>
      <c r="D80" s="13" t="str">
        <f t="shared" si="18"/>
        <v/>
      </c>
      <c r="E80" s="10" t="str">
        <f t="shared" si="14"/>
        <v/>
      </c>
      <c r="F80" s="10" t="str">
        <f t="shared" si="15"/>
        <v/>
      </c>
      <c r="G80" s="10" t="str">
        <f t="shared" si="19"/>
        <v/>
      </c>
      <c r="H80" s="10" t="str">
        <f t="shared" si="16"/>
        <v/>
      </c>
      <c r="I80" s="10" t="str">
        <f t="shared" si="20"/>
        <v/>
      </c>
      <c r="J80" s="14" t="str">
        <f t="shared" si="17"/>
        <v/>
      </c>
      <c r="K80" s="13" t="str">
        <f t="shared" si="21"/>
        <v/>
      </c>
      <c r="L80" s="10" t="str">
        <f t="shared" si="22"/>
        <v/>
      </c>
      <c r="M80" s="10" t="str">
        <f t="shared" si="23"/>
        <v/>
      </c>
      <c r="N80" s="10" t="str">
        <f t="shared" si="24"/>
        <v/>
      </c>
      <c r="O80" s="10" t="str">
        <f t="shared" si="25"/>
        <v/>
      </c>
      <c r="P80" s="10" t="str">
        <f t="shared" si="26"/>
        <v/>
      </c>
      <c r="Q80" s="14" t="str">
        <f t="shared" si="27"/>
        <v/>
      </c>
    </row>
    <row r="81" spans="1:17" x14ac:dyDescent="0.25">
      <c r="A81" s="4">
        <v>46997</v>
      </c>
      <c r="B81" s="5" t="str">
        <f>IF('Catalogo de Variaveis'!T86="","",SUM('Catalogo de Variaveis'!T83:T86))</f>
        <v/>
      </c>
      <c r="C81" s="15" t="str">
        <f>IFERROR(IF($B81="","",AVERAGE('Catalogo de Variaveis'!T86-'Catalogo de Variaveis'!T85,'Catalogo de Variaveis'!T85-'Catalogo de Variaveis'!T84,'Catalogo de Variaveis'!T84-'Catalogo de Variaveis'!T83,'Catalogo de Variaveis'!T83-'Catalogo de Variaveis'!T82)),0)</f>
        <v/>
      </c>
      <c r="D81" s="13" t="str">
        <f t="shared" si="18"/>
        <v/>
      </c>
      <c r="E81" s="10" t="str">
        <f t="shared" si="14"/>
        <v/>
      </c>
      <c r="F81" s="10" t="str">
        <f t="shared" si="15"/>
        <v/>
      </c>
      <c r="G81" s="10" t="str">
        <f t="shared" si="19"/>
        <v/>
      </c>
      <c r="H81" s="10" t="str">
        <f t="shared" si="16"/>
        <v/>
      </c>
      <c r="I81" s="10" t="str">
        <f t="shared" si="20"/>
        <v/>
      </c>
      <c r="J81" s="14" t="str">
        <f t="shared" si="17"/>
        <v/>
      </c>
      <c r="K81" s="13" t="str">
        <f t="shared" si="21"/>
        <v/>
      </c>
      <c r="L81" s="10" t="str">
        <f t="shared" si="22"/>
        <v/>
      </c>
      <c r="M81" s="10" t="str">
        <f t="shared" si="23"/>
        <v/>
      </c>
      <c r="N81" s="10" t="str">
        <f t="shared" si="24"/>
        <v/>
      </c>
      <c r="O81" s="10" t="str">
        <f t="shared" si="25"/>
        <v/>
      </c>
      <c r="P81" s="10" t="str">
        <f t="shared" si="26"/>
        <v/>
      </c>
      <c r="Q81" s="14" t="str">
        <f t="shared" si="27"/>
        <v/>
      </c>
    </row>
    <row r="82" spans="1:17" x14ac:dyDescent="0.25">
      <c r="A82" s="4">
        <v>47027</v>
      </c>
      <c r="B82" s="5" t="str">
        <f>IF('Catalogo de Variaveis'!T87="","",SUM('Catalogo de Variaveis'!T84:T87))</f>
        <v/>
      </c>
      <c r="C82" s="15" t="str">
        <f>IFERROR(IF($B82="","",AVERAGE('Catalogo de Variaveis'!T87-'Catalogo de Variaveis'!T86,'Catalogo de Variaveis'!T86-'Catalogo de Variaveis'!T85,'Catalogo de Variaveis'!T85-'Catalogo de Variaveis'!T84,'Catalogo de Variaveis'!T84-'Catalogo de Variaveis'!T83)),0)</f>
        <v/>
      </c>
      <c r="D82" s="13" t="str">
        <f t="shared" si="18"/>
        <v/>
      </c>
      <c r="E82" s="10" t="str">
        <f t="shared" si="14"/>
        <v/>
      </c>
      <c r="F82" s="10" t="str">
        <f t="shared" si="15"/>
        <v/>
      </c>
      <c r="G82" s="10" t="str">
        <f t="shared" si="19"/>
        <v/>
      </c>
      <c r="H82" s="10" t="str">
        <f t="shared" si="16"/>
        <v/>
      </c>
      <c r="I82" s="10" t="str">
        <f t="shared" si="20"/>
        <v/>
      </c>
      <c r="J82" s="14" t="str">
        <f t="shared" si="17"/>
        <v/>
      </c>
      <c r="K82" s="13" t="str">
        <f t="shared" si="21"/>
        <v/>
      </c>
      <c r="L82" s="10" t="str">
        <f t="shared" si="22"/>
        <v/>
      </c>
      <c r="M82" s="10" t="str">
        <f t="shared" si="23"/>
        <v/>
      </c>
      <c r="N82" s="10" t="str">
        <f t="shared" si="24"/>
        <v/>
      </c>
      <c r="O82" s="10" t="str">
        <f t="shared" si="25"/>
        <v/>
      </c>
      <c r="P82" s="10" t="str">
        <f t="shared" si="26"/>
        <v/>
      </c>
      <c r="Q82" s="14" t="str">
        <f t="shared" si="27"/>
        <v/>
      </c>
    </row>
    <row r="83" spans="1:17" x14ac:dyDescent="0.25">
      <c r="A83" s="4">
        <v>47058</v>
      </c>
      <c r="B83" s="5" t="str">
        <f>IF('Catalogo de Variaveis'!T88="","",SUM('Catalogo de Variaveis'!T85:T88))</f>
        <v/>
      </c>
      <c r="C83" s="15" t="str">
        <f>IFERROR(IF($B83="","",AVERAGE('Catalogo de Variaveis'!T88-'Catalogo de Variaveis'!T87,'Catalogo de Variaveis'!T87-'Catalogo de Variaveis'!T86,'Catalogo de Variaveis'!T86-'Catalogo de Variaveis'!T85,'Catalogo de Variaveis'!T85-'Catalogo de Variaveis'!T84)),0)</f>
        <v/>
      </c>
      <c r="D83" s="13" t="str">
        <f t="shared" si="18"/>
        <v/>
      </c>
      <c r="E83" s="10" t="str">
        <f t="shared" si="14"/>
        <v/>
      </c>
      <c r="F83" s="10" t="str">
        <f t="shared" si="15"/>
        <v/>
      </c>
      <c r="G83" s="10" t="str">
        <f t="shared" si="19"/>
        <v/>
      </c>
      <c r="H83" s="10" t="str">
        <f t="shared" si="16"/>
        <v/>
      </c>
      <c r="I83" s="10" t="str">
        <f t="shared" si="20"/>
        <v/>
      </c>
      <c r="J83" s="14" t="str">
        <f t="shared" si="17"/>
        <v/>
      </c>
      <c r="K83" s="13" t="str">
        <f t="shared" si="21"/>
        <v/>
      </c>
      <c r="L83" s="10" t="str">
        <f t="shared" si="22"/>
        <v/>
      </c>
      <c r="M83" s="10" t="str">
        <f t="shared" si="23"/>
        <v/>
      </c>
      <c r="N83" s="10" t="str">
        <f t="shared" si="24"/>
        <v/>
      </c>
      <c r="O83" s="10" t="str">
        <f t="shared" si="25"/>
        <v/>
      </c>
      <c r="P83" s="10" t="str">
        <f t="shared" si="26"/>
        <v/>
      </c>
      <c r="Q83" s="14" t="str">
        <f t="shared" si="27"/>
        <v/>
      </c>
    </row>
    <row r="84" spans="1:17" x14ac:dyDescent="0.25">
      <c r="A84" s="4">
        <v>47088</v>
      </c>
      <c r="B84" s="5" t="str">
        <f>IF('Catalogo de Variaveis'!T89="","",SUM('Catalogo de Variaveis'!T86:T89))</f>
        <v/>
      </c>
      <c r="C84" s="15" t="str">
        <f>IFERROR(IF($B84="","",AVERAGE('Catalogo de Variaveis'!T89-'Catalogo de Variaveis'!T88,'Catalogo de Variaveis'!T88-'Catalogo de Variaveis'!T87,'Catalogo de Variaveis'!T87-'Catalogo de Variaveis'!T86,'Catalogo de Variaveis'!T86-'Catalogo de Variaveis'!T85)),0)</f>
        <v/>
      </c>
      <c r="D84" s="13" t="str">
        <f t="shared" si="18"/>
        <v/>
      </c>
      <c r="E84" s="10" t="str">
        <f t="shared" si="14"/>
        <v/>
      </c>
      <c r="F84" s="10" t="str">
        <f t="shared" si="15"/>
        <v/>
      </c>
      <c r="G84" s="10" t="str">
        <f t="shared" si="19"/>
        <v/>
      </c>
      <c r="H84" s="10" t="str">
        <f t="shared" si="16"/>
        <v/>
      </c>
      <c r="I84" s="10" t="str">
        <f t="shared" si="20"/>
        <v/>
      </c>
      <c r="J84" s="14" t="str">
        <f t="shared" si="17"/>
        <v/>
      </c>
      <c r="K84" s="13" t="str">
        <f t="shared" si="21"/>
        <v/>
      </c>
      <c r="L84" s="10" t="str">
        <f t="shared" si="22"/>
        <v/>
      </c>
      <c r="M84" s="10" t="str">
        <f t="shared" si="23"/>
        <v/>
      </c>
      <c r="N84" s="10" t="str">
        <f t="shared" si="24"/>
        <v/>
      </c>
      <c r="O84" s="10" t="str">
        <f t="shared" si="25"/>
        <v/>
      </c>
      <c r="P84" s="10" t="str">
        <f t="shared" si="26"/>
        <v/>
      </c>
      <c r="Q84" s="14" t="str">
        <f t="shared" si="27"/>
        <v/>
      </c>
    </row>
    <row r="85" spans="1:17" x14ac:dyDescent="0.25">
      <c r="A85" s="4">
        <v>47119</v>
      </c>
      <c r="B85" s="5" t="str">
        <f>IF('Catalogo de Variaveis'!T90="","",SUM('Catalogo de Variaveis'!T87:T90))</f>
        <v/>
      </c>
      <c r="C85" s="15" t="str">
        <f>IFERROR(IF($B85="","",AVERAGE('Catalogo de Variaveis'!T90-'Catalogo de Variaveis'!T89,'Catalogo de Variaveis'!T89-'Catalogo de Variaveis'!T88,'Catalogo de Variaveis'!T88-'Catalogo de Variaveis'!T87,'Catalogo de Variaveis'!T87-'Catalogo de Variaveis'!T86)),0)</f>
        <v/>
      </c>
      <c r="D85" s="13" t="str">
        <f t="shared" si="18"/>
        <v/>
      </c>
      <c r="E85" s="10" t="str">
        <f t="shared" si="14"/>
        <v/>
      </c>
      <c r="F85" s="10" t="str">
        <f t="shared" si="15"/>
        <v/>
      </c>
      <c r="G85" s="10" t="str">
        <f t="shared" si="19"/>
        <v/>
      </c>
      <c r="H85" s="10" t="str">
        <f t="shared" si="16"/>
        <v/>
      </c>
      <c r="I85" s="10" t="str">
        <f t="shared" si="20"/>
        <v/>
      </c>
      <c r="J85" s="14" t="str">
        <f t="shared" si="17"/>
        <v/>
      </c>
      <c r="K85" s="13" t="str">
        <f t="shared" si="21"/>
        <v/>
      </c>
      <c r="L85" s="10" t="str">
        <f t="shared" si="22"/>
        <v/>
      </c>
      <c r="M85" s="10" t="str">
        <f t="shared" si="23"/>
        <v/>
      </c>
      <c r="N85" s="10" t="str">
        <f t="shared" si="24"/>
        <v/>
      </c>
      <c r="O85" s="10" t="str">
        <f t="shared" si="25"/>
        <v/>
      </c>
      <c r="P85" s="10" t="str">
        <f t="shared" si="26"/>
        <v/>
      </c>
      <c r="Q85" s="14" t="str">
        <f t="shared" si="27"/>
        <v/>
      </c>
    </row>
    <row r="86" spans="1:17" x14ac:dyDescent="0.25">
      <c r="A86" s="4">
        <v>47150</v>
      </c>
      <c r="B86" s="5" t="str">
        <f>IF('Catalogo de Variaveis'!T91="","",SUM('Catalogo de Variaveis'!T88:T91))</f>
        <v/>
      </c>
      <c r="C86" s="15" t="str">
        <f>IFERROR(IF($B86="","",AVERAGE('Catalogo de Variaveis'!T91-'Catalogo de Variaveis'!T90,'Catalogo de Variaveis'!T90-'Catalogo de Variaveis'!T89,'Catalogo de Variaveis'!T89-'Catalogo de Variaveis'!T88,'Catalogo de Variaveis'!T88-'Catalogo de Variaveis'!T87)),0)</f>
        <v/>
      </c>
      <c r="D86" s="13" t="str">
        <f t="shared" si="18"/>
        <v/>
      </c>
      <c r="E86" s="10" t="str">
        <f t="shared" si="14"/>
        <v/>
      </c>
      <c r="F86" s="10" t="str">
        <f t="shared" si="15"/>
        <v/>
      </c>
      <c r="G86" s="10" t="str">
        <f t="shared" si="19"/>
        <v/>
      </c>
      <c r="H86" s="10" t="str">
        <f t="shared" si="16"/>
        <v/>
      </c>
      <c r="I86" s="10" t="str">
        <f t="shared" si="20"/>
        <v/>
      </c>
      <c r="J86" s="14" t="str">
        <f t="shared" si="17"/>
        <v/>
      </c>
      <c r="K86" s="13" t="str">
        <f t="shared" si="21"/>
        <v/>
      </c>
      <c r="L86" s="10" t="str">
        <f t="shared" si="22"/>
        <v/>
      </c>
      <c r="M86" s="10" t="str">
        <f t="shared" si="23"/>
        <v/>
      </c>
      <c r="N86" s="10" t="str">
        <f t="shared" si="24"/>
        <v/>
      </c>
      <c r="O86" s="10" t="str">
        <f t="shared" si="25"/>
        <v/>
      </c>
      <c r="P86" s="10" t="str">
        <f t="shared" si="26"/>
        <v/>
      </c>
      <c r="Q86" s="14" t="str">
        <f t="shared" si="27"/>
        <v/>
      </c>
    </row>
    <row r="87" spans="1:17" x14ac:dyDescent="0.25">
      <c r="A87" s="4">
        <v>47178</v>
      </c>
      <c r="B87" s="5" t="str">
        <f>IF('Catalogo de Variaveis'!T92="","",SUM('Catalogo de Variaveis'!T89:T92))</f>
        <v/>
      </c>
      <c r="C87" s="15" t="str">
        <f>IFERROR(IF($B87="","",AVERAGE('Catalogo de Variaveis'!T92-'Catalogo de Variaveis'!T91,'Catalogo de Variaveis'!T91-'Catalogo de Variaveis'!T90,'Catalogo de Variaveis'!T90-'Catalogo de Variaveis'!T89,'Catalogo de Variaveis'!T89-'Catalogo de Variaveis'!T88)),0)</f>
        <v/>
      </c>
      <c r="D87" s="13" t="str">
        <f t="shared" si="18"/>
        <v/>
      </c>
      <c r="E87" s="10" t="str">
        <f t="shared" si="14"/>
        <v/>
      </c>
      <c r="F87" s="10" t="str">
        <f t="shared" si="15"/>
        <v/>
      </c>
      <c r="G87" s="10" t="str">
        <f t="shared" si="19"/>
        <v/>
      </c>
      <c r="H87" s="10" t="str">
        <f t="shared" si="16"/>
        <v/>
      </c>
      <c r="I87" s="10" t="str">
        <f t="shared" si="20"/>
        <v/>
      </c>
      <c r="J87" s="14" t="str">
        <f t="shared" si="17"/>
        <v/>
      </c>
      <c r="K87" s="13" t="str">
        <f t="shared" si="21"/>
        <v/>
      </c>
      <c r="L87" s="10" t="str">
        <f t="shared" si="22"/>
        <v/>
      </c>
      <c r="M87" s="10" t="str">
        <f t="shared" si="23"/>
        <v/>
      </c>
      <c r="N87" s="10" t="str">
        <f t="shared" si="24"/>
        <v/>
      </c>
      <c r="O87" s="10" t="str">
        <f t="shared" si="25"/>
        <v/>
      </c>
      <c r="P87" s="10" t="str">
        <f t="shared" si="26"/>
        <v/>
      </c>
      <c r="Q87" s="14" t="str">
        <f t="shared" si="27"/>
        <v/>
      </c>
    </row>
    <row r="88" spans="1:17" x14ac:dyDescent="0.25">
      <c r="A88" s="4">
        <v>47209</v>
      </c>
      <c r="B88" s="5" t="str">
        <f>IF('Catalogo de Variaveis'!T93="","",SUM('Catalogo de Variaveis'!T90:T93))</f>
        <v/>
      </c>
      <c r="C88" s="15" t="str">
        <f>IFERROR(IF($B88="","",AVERAGE('Catalogo de Variaveis'!T93-'Catalogo de Variaveis'!T92,'Catalogo de Variaveis'!T92-'Catalogo de Variaveis'!T91,'Catalogo de Variaveis'!T91-'Catalogo de Variaveis'!T90,'Catalogo de Variaveis'!T90-'Catalogo de Variaveis'!T89)),0)</f>
        <v/>
      </c>
      <c r="D88" s="13" t="str">
        <f t="shared" si="18"/>
        <v/>
      </c>
      <c r="E88" s="10" t="str">
        <f t="shared" si="14"/>
        <v/>
      </c>
      <c r="F88" s="10" t="str">
        <f t="shared" si="15"/>
        <v/>
      </c>
      <c r="G88" s="10" t="str">
        <f t="shared" si="19"/>
        <v/>
      </c>
      <c r="H88" s="10" t="str">
        <f t="shared" si="16"/>
        <v/>
      </c>
      <c r="I88" s="10" t="str">
        <f t="shared" si="20"/>
        <v/>
      </c>
      <c r="J88" s="14" t="str">
        <f t="shared" si="17"/>
        <v/>
      </c>
      <c r="K88" s="13" t="str">
        <f t="shared" si="21"/>
        <v/>
      </c>
      <c r="L88" s="10" t="str">
        <f t="shared" si="22"/>
        <v/>
      </c>
      <c r="M88" s="10" t="str">
        <f t="shared" si="23"/>
        <v/>
      </c>
      <c r="N88" s="10" t="str">
        <f t="shared" si="24"/>
        <v/>
      </c>
      <c r="O88" s="10" t="str">
        <f t="shared" si="25"/>
        <v/>
      </c>
      <c r="P88" s="10" t="str">
        <f t="shared" si="26"/>
        <v/>
      </c>
      <c r="Q88" s="14" t="str">
        <f t="shared" si="27"/>
        <v/>
      </c>
    </row>
    <row r="89" spans="1:17" x14ac:dyDescent="0.25">
      <c r="A89" s="4">
        <v>47239</v>
      </c>
      <c r="B89" s="5" t="str">
        <f>IF('Catalogo de Variaveis'!T94="","",SUM('Catalogo de Variaveis'!T91:T94))</f>
        <v/>
      </c>
      <c r="C89" s="15" t="str">
        <f>IFERROR(IF($B89="","",AVERAGE('Catalogo de Variaveis'!T94-'Catalogo de Variaveis'!T93,'Catalogo de Variaveis'!T93-'Catalogo de Variaveis'!T92,'Catalogo de Variaveis'!T92-'Catalogo de Variaveis'!T91,'Catalogo de Variaveis'!T91-'Catalogo de Variaveis'!T90)),0)</f>
        <v/>
      </c>
      <c r="D89" s="13" t="str">
        <f t="shared" si="18"/>
        <v/>
      </c>
      <c r="E89" s="10" t="str">
        <f t="shared" si="14"/>
        <v/>
      </c>
      <c r="F89" s="10" t="str">
        <f t="shared" si="15"/>
        <v/>
      </c>
      <c r="G89" s="10" t="str">
        <f t="shared" si="19"/>
        <v/>
      </c>
      <c r="H89" s="10" t="str">
        <f t="shared" si="16"/>
        <v/>
      </c>
      <c r="I89" s="10" t="str">
        <f t="shared" si="20"/>
        <v/>
      </c>
      <c r="J89" s="14" t="str">
        <f t="shared" si="17"/>
        <v/>
      </c>
      <c r="K89" s="13" t="str">
        <f t="shared" si="21"/>
        <v/>
      </c>
      <c r="L89" s="10" t="str">
        <f t="shared" si="22"/>
        <v/>
      </c>
      <c r="M89" s="10" t="str">
        <f t="shared" si="23"/>
        <v/>
      </c>
      <c r="N89" s="10" t="str">
        <f t="shared" si="24"/>
        <v/>
      </c>
      <c r="O89" s="10" t="str">
        <f t="shared" si="25"/>
        <v/>
      </c>
      <c r="P89" s="10" t="str">
        <f t="shared" si="26"/>
        <v/>
      </c>
      <c r="Q89" s="14" t="str">
        <f t="shared" si="27"/>
        <v/>
      </c>
    </row>
    <row r="90" spans="1:17" x14ac:dyDescent="0.25">
      <c r="A90" s="4">
        <v>47270</v>
      </c>
      <c r="B90" s="5" t="str">
        <f>IF('Catalogo de Variaveis'!T95="","",SUM('Catalogo de Variaveis'!T92:T95))</f>
        <v/>
      </c>
      <c r="C90" s="15" t="str">
        <f>IFERROR(IF($B90="","",AVERAGE('Catalogo de Variaveis'!T95-'Catalogo de Variaveis'!T94,'Catalogo de Variaveis'!T94-'Catalogo de Variaveis'!T93,'Catalogo de Variaveis'!T93-'Catalogo de Variaveis'!T92,'Catalogo de Variaveis'!T92-'Catalogo de Variaveis'!T91)),0)</f>
        <v/>
      </c>
      <c r="D90" s="13" t="str">
        <f t="shared" si="18"/>
        <v/>
      </c>
      <c r="E90" s="10" t="str">
        <f t="shared" si="14"/>
        <v/>
      </c>
      <c r="F90" s="10" t="str">
        <f t="shared" si="15"/>
        <v/>
      </c>
      <c r="G90" s="10" t="str">
        <f t="shared" si="19"/>
        <v/>
      </c>
      <c r="H90" s="10" t="str">
        <f t="shared" si="16"/>
        <v/>
      </c>
      <c r="I90" s="10" t="str">
        <f t="shared" si="20"/>
        <v/>
      </c>
      <c r="J90" s="14" t="str">
        <f t="shared" si="17"/>
        <v/>
      </c>
      <c r="K90" s="13" t="str">
        <f t="shared" si="21"/>
        <v/>
      </c>
      <c r="L90" s="10" t="str">
        <f t="shared" si="22"/>
        <v/>
      </c>
      <c r="M90" s="10" t="str">
        <f t="shared" si="23"/>
        <v/>
      </c>
      <c r="N90" s="10" t="str">
        <f t="shared" si="24"/>
        <v/>
      </c>
      <c r="O90" s="10" t="str">
        <f t="shared" si="25"/>
        <v/>
      </c>
      <c r="P90" s="10" t="str">
        <f t="shared" si="26"/>
        <v/>
      </c>
      <c r="Q90" s="14" t="str">
        <f t="shared" si="27"/>
        <v/>
      </c>
    </row>
    <row r="91" spans="1:17" x14ac:dyDescent="0.25">
      <c r="A91" s="4">
        <v>47300</v>
      </c>
      <c r="B91" s="5" t="str">
        <f>IF('Catalogo de Variaveis'!T96="","",SUM('Catalogo de Variaveis'!T93:T96))</f>
        <v/>
      </c>
      <c r="C91" s="15" t="str">
        <f>IFERROR(IF($B91="","",AVERAGE('Catalogo de Variaveis'!T96-'Catalogo de Variaveis'!T95,'Catalogo de Variaveis'!T95-'Catalogo de Variaveis'!T94,'Catalogo de Variaveis'!T94-'Catalogo de Variaveis'!T93,'Catalogo de Variaveis'!T93-'Catalogo de Variaveis'!T92)),0)</f>
        <v/>
      </c>
      <c r="D91" s="13" t="str">
        <f t="shared" si="18"/>
        <v/>
      </c>
      <c r="E91" s="10" t="str">
        <f t="shared" si="14"/>
        <v/>
      </c>
      <c r="F91" s="10" t="str">
        <f t="shared" si="15"/>
        <v/>
      </c>
      <c r="G91" s="10" t="str">
        <f t="shared" si="19"/>
        <v/>
      </c>
      <c r="H91" s="10" t="str">
        <f t="shared" si="16"/>
        <v/>
      </c>
      <c r="I91" s="10" t="str">
        <f t="shared" si="20"/>
        <v/>
      </c>
      <c r="J91" s="14" t="str">
        <f t="shared" si="17"/>
        <v/>
      </c>
      <c r="K91" s="13" t="str">
        <f t="shared" si="21"/>
        <v/>
      </c>
      <c r="L91" s="10" t="str">
        <f t="shared" si="22"/>
        <v/>
      </c>
      <c r="M91" s="10" t="str">
        <f t="shared" si="23"/>
        <v/>
      </c>
      <c r="N91" s="10" t="str">
        <f t="shared" si="24"/>
        <v/>
      </c>
      <c r="O91" s="10" t="str">
        <f t="shared" si="25"/>
        <v/>
      </c>
      <c r="P91" s="10" t="str">
        <f t="shared" si="26"/>
        <v/>
      </c>
      <c r="Q91" s="14" t="str">
        <f t="shared" si="27"/>
        <v/>
      </c>
    </row>
    <row r="92" spans="1:17" x14ac:dyDescent="0.25">
      <c r="A92" s="4">
        <v>47331</v>
      </c>
      <c r="B92" s="5" t="str">
        <f>IF('Catalogo de Variaveis'!T97="","",SUM('Catalogo de Variaveis'!T94:T97))</f>
        <v/>
      </c>
      <c r="C92" s="15" t="str">
        <f>IFERROR(IF($B92="","",AVERAGE('Catalogo de Variaveis'!T97-'Catalogo de Variaveis'!T96,'Catalogo de Variaveis'!T96-'Catalogo de Variaveis'!T95,'Catalogo de Variaveis'!T95-'Catalogo de Variaveis'!T94,'Catalogo de Variaveis'!T94-'Catalogo de Variaveis'!T93)),0)</f>
        <v/>
      </c>
      <c r="D92" s="13" t="str">
        <f t="shared" si="18"/>
        <v/>
      </c>
      <c r="E92" s="10" t="str">
        <f t="shared" si="14"/>
        <v/>
      </c>
      <c r="F92" s="10" t="str">
        <f t="shared" si="15"/>
        <v/>
      </c>
      <c r="G92" s="10" t="str">
        <f t="shared" si="19"/>
        <v/>
      </c>
      <c r="H92" s="10" t="str">
        <f t="shared" si="16"/>
        <v/>
      </c>
      <c r="I92" s="10" t="str">
        <f t="shared" si="20"/>
        <v/>
      </c>
      <c r="J92" s="14" t="str">
        <f t="shared" si="17"/>
        <v/>
      </c>
      <c r="K92" s="13" t="str">
        <f t="shared" si="21"/>
        <v/>
      </c>
      <c r="L92" s="10" t="str">
        <f t="shared" si="22"/>
        <v/>
      </c>
      <c r="M92" s="10" t="str">
        <f t="shared" si="23"/>
        <v/>
      </c>
      <c r="N92" s="10" t="str">
        <f t="shared" si="24"/>
        <v/>
      </c>
      <c r="O92" s="10" t="str">
        <f t="shared" si="25"/>
        <v/>
      </c>
      <c r="P92" s="10" t="str">
        <f t="shared" si="26"/>
        <v/>
      </c>
      <c r="Q92" s="14" t="str">
        <f t="shared" si="27"/>
        <v/>
      </c>
    </row>
    <row r="93" spans="1:17" x14ac:dyDescent="0.25">
      <c r="A93" s="4">
        <v>47362</v>
      </c>
      <c r="B93" s="5" t="str">
        <f>IF('Catalogo de Variaveis'!T98="","",SUM('Catalogo de Variaveis'!T95:T98))</f>
        <v/>
      </c>
      <c r="C93" s="15" t="str">
        <f>IFERROR(IF($B93="","",AVERAGE('Catalogo de Variaveis'!T98-'Catalogo de Variaveis'!T97,'Catalogo de Variaveis'!T97-'Catalogo de Variaveis'!T96,'Catalogo de Variaveis'!T96-'Catalogo de Variaveis'!T95,'Catalogo de Variaveis'!T95-'Catalogo de Variaveis'!T94)),0)</f>
        <v/>
      </c>
      <c r="D93" s="13" t="str">
        <f t="shared" si="18"/>
        <v/>
      </c>
      <c r="E93" s="10" t="str">
        <f t="shared" si="14"/>
        <v/>
      </c>
      <c r="F93" s="10" t="str">
        <f t="shared" si="15"/>
        <v/>
      </c>
      <c r="G93" s="10" t="str">
        <f t="shared" si="19"/>
        <v/>
      </c>
      <c r="H93" s="10" t="str">
        <f t="shared" si="16"/>
        <v/>
      </c>
      <c r="I93" s="10" t="str">
        <f t="shared" si="20"/>
        <v/>
      </c>
      <c r="J93" s="14" t="str">
        <f t="shared" si="17"/>
        <v/>
      </c>
      <c r="K93" s="13" t="str">
        <f t="shared" si="21"/>
        <v/>
      </c>
      <c r="L93" s="10" t="str">
        <f t="shared" si="22"/>
        <v/>
      </c>
      <c r="M93" s="10" t="str">
        <f t="shared" si="23"/>
        <v/>
      </c>
      <c r="N93" s="10" t="str">
        <f t="shared" si="24"/>
        <v/>
      </c>
      <c r="O93" s="10" t="str">
        <f t="shared" si="25"/>
        <v/>
      </c>
      <c r="P93" s="10" t="str">
        <f t="shared" si="26"/>
        <v/>
      </c>
      <c r="Q93" s="14" t="str">
        <f t="shared" si="27"/>
        <v/>
      </c>
    </row>
    <row r="94" spans="1:17" x14ac:dyDescent="0.25">
      <c r="A94" s="4">
        <v>47392</v>
      </c>
      <c r="B94" s="5" t="str">
        <f>IF('Catalogo de Variaveis'!T99="","",SUM('Catalogo de Variaveis'!T96:T99))</f>
        <v/>
      </c>
      <c r="C94" s="15" t="str">
        <f>IFERROR(IF($B94="","",AVERAGE('Catalogo de Variaveis'!T99-'Catalogo de Variaveis'!T98,'Catalogo de Variaveis'!T98-'Catalogo de Variaveis'!T97,'Catalogo de Variaveis'!T97-'Catalogo de Variaveis'!T96,'Catalogo de Variaveis'!T96-'Catalogo de Variaveis'!T95)),0)</f>
        <v/>
      </c>
      <c r="D94" s="13" t="str">
        <f t="shared" si="18"/>
        <v/>
      </c>
      <c r="E94" s="10" t="str">
        <f t="shared" si="14"/>
        <v/>
      </c>
      <c r="F94" s="10" t="str">
        <f t="shared" si="15"/>
        <v/>
      </c>
      <c r="G94" s="10" t="str">
        <f t="shared" si="19"/>
        <v/>
      </c>
      <c r="H94" s="10" t="str">
        <f t="shared" si="16"/>
        <v/>
      </c>
      <c r="I94" s="10" t="str">
        <f t="shared" si="20"/>
        <v/>
      </c>
      <c r="J94" s="14" t="str">
        <f t="shared" si="17"/>
        <v/>
      </c>
      <c r="K94" s="13" t="str">
        <f t="shared" si="21"/>
        <v/>
      </c>
      <c r="L94" s="10" t="str">
        <f t="shared" si="22"/>
        <v/>
      </c>
      <c r="M94" s="10" t="str">
        <f t="shared" si="23"/>
        <v/>
      </c>
      <c r="N94" s="10" t="str">
        <f t="shared" si="24"/>
        <v/>
      </c>
      <c r="O94" s="10" t="str">
        <f t="shared" si="25"/>
        <v/>
      </c>
      <c r="P94" s="10" t="str">
        <f t="shared" si="26"/>
        <v/>
      </c>
      <c r="Q94" s="14" t="str">
        <f t="shared" si="27"/>
        <v/>
      </c>
    </row>
    <row r="95" spans="1:17" x14ac:dyDescent="0.25">
      <c r="A95" s="4">
        <v>47423</v>
      </c>
      <c r="B95" s="5" t="str">
        <f>IF('Catalogo de Variaveis'!T100="","",SUM('Catalogo de Variaveis'!T97:T100))</f>
        <v/>
      </c>
      <c r="C95" s="15" t="str">
        <f>IFERROR(IF($B95="","",AVERAGE('Catalogo de Variaveis'!T100-'Catalogo de Variaveis'!T99,'Catalogo de Variaveis'!T99-'Catalogo de Variaveis'!T98,'Catalogo de Variaveis'!T98-'Catalogo de Variaveis'!T97,'Catalogo de Variaveis'!T97-'Catalogo de Variaveis'!T96)),0)</f>
        <v/>
      </c>
      <c r="D95" s="13" t="str">
        <f t="shared" si="18"/>
        <v/>
      </c>
      <c r="E95" s="10" t="str">
        <f t="shared" ref="E95:E96" si="28">IF($B95="","",IF(OR($J$1="",$J$2=""),$B$1-2*$B$2,$J$1-2*$J$2))</f>
        <v/>
      </c>
      <c r="F95" s="10" t="str">
        <f t="shared" ref="F95:F96" si="29">IF($B95="","",IF(OR($J$1="",$J$2=""),$B$1-$B$2,$J$1-$J$2))</f>
        <v/>
      </c>
      <c r="G95" s="10" t="str">
        <f t="shared" si="19"/>
        <v/>
      </c>
      <c r="H95" s="10" t="str">
        <f t="shared" ref="H95:H96" si="30">IF($B95="","",IF(OR($J$1="",$J$2=""),$B$1+$B$2,$J$1+$J$2))</f>
        <v/>
      </c>
      <c r="I95" s="10" t="str">
        <f t="shared" si="20"/>
        <v/>
      </c>
      <c r="J95" s="14" t="str">
        <f t="shared" ref="J95:J96" si="31">IF($B95="","",IF(OR($J$1="",$J$2=""),$B$1+3*$B$2,$J$1+3*$J$2))</f>
        <v/>
      </c>
      <c r="K95" s="13" t="str">
        <f t="shared" si="21"/>
        <v/>
      </c>
      <c r="L95" s="10" t="str">
        <f t="shared" si="22"/>
        <v/>
      </c>
      <c r="M95" s="10" t="str">
        <f t="shared" si="23"/>
        <v/>
      </c>
      <c r="N95" s="10" t="str">
        <f t="shared" si="24"/>
        <v/>
      </c>
      <c r="O95" s="10" t="str">
        <f t="shared" si="25"/>
        <v/>
      </c>
      <c r="P95" s="10" t="str">
        <f t="shared" si="26"/>
        <v/>
      </c>
      <c r="Q95" s="14" t="str">
        <f t="shared" si="27"/>
        <v/>
      </c>
    </row>
    <row r="96" spans="1:17" x14ac:dyDescent="0.25">
      <c r="A96" s="4">
        <v>47453</v>
      </c>
      <c r="B96" s="5" t="str">
        <f>IF('Catalogo de Variaveis'!T101="","",SUM('Catalogo de Variaveis'!T98:T101))</f>
        <v/>
      </c>
      <c r="C96" s="15" t="str">
        <f>IFERROR(IF($B96="","",AVERAGE('Catalogo de Variaveis'!T101-'Catalogo de Variaveis'!T100,'Catalogo de Variaveis'!T100-'Catalogo de Variaveis'!T99,'Catalogo de Variaveis'!T99-'Catalogo de Variaveis'!T98,'Catalogo de Variaveis'!T98-'Catalogo de Variaveis'!T97)),0)</f>
        <v/>
      </c>
      <c r="D96" s="13" t="str">
        <f t="shared" si="18"/>
        <v/>
      </c>
      <c r="E96" s="10" t="str">
        <f t="shared" si="28"/>
        <v/>
      </c>
      <c r="F96" s="10" t="str">
        <f t="shared" si="29"/>
        <v/>
      </c>
      <c r="G96" s="10" t="str">
        <f t="shared" si="19"/>
        <v/>
      </c>
      <c r="H96" s="10" t="str">
        <f t="shared" si="30"/>
        <v/>
      </c>
      <c r="I96" s="10" t="str">
        <f t="shared" si="20"/>
        <v/>
      </c>
      <c r="J96" s="14" t="str">
        <f t="shared" si="31"/>
        <v/>
      </c>
      <c r="K96" s="13" t="str">
        <f t="shared" si="21"/>
        <v/>
      </c>
      <c r="L96" s="10" t="str">
        <f t="shared" si="22"/>
        <v/>
      </c>
      <c r="M96" s="10" t="str">
        <f t="shared" si="23"/>
        <v/>
      </c>
      <c r="N96" s="10" t="str">
        <f t="shared" si="24"/>
        <v/>
      </c>
      <c r="O96" s="10" t="str">
        <f t="shared" si="25"/>
        <v/>
      </c>
      <c r="P96" s="10" t="str">
        <f t="shared" si="26"/>
        <v/>
      </c>
      <c r="Q96" s="14" t="str">
        <f t="shared" si="27"/>
        <v/>
      </c>
    </row>
  </sheetData>
  <mergeCells count="4">
    <mergeCell ref="A5:Q6"/>
    <mergeCell ref="A7:C7"/>
    <mergeCell ref="D7:J7"/>
    <mergeCell ref="K7:Q7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FAC0-2BB7-46B4-9FBB-9FF53A2D4337}">
  <dimension ref="A1:Q96"/>
  <sheetViews>
    <sheetView topLeftCell="A5" zoomScale="161" zoomScaleNormal="161" workbookViewId="0">
      <selection activeCell="H15" sqref="H15"/>
    </sheetView>
  </sheetViews>
  <sheetFormatPr defaultColWidth="0" defaultRowHeight="15" x14ac:dyDescent="0.25"/>
  <cols>
    <col min="1" max="1" width="13.85546875" style="2" bestFit="1" customWidth="1"/>
    <col min="2" max="3" width="10.7109375" customWidth="1"/>
    <col min="4" max="17" width="9.140625" customWidth="1"/>
    <col min="18" max="16384" width="9.140625" hidden="1"/>
  </cols>
  <sheetData>
    <row r="1" spans="1:17" hidden="1" x14ac:dyDescent="0.25">
      <c r="A1" s="7" t="s">
        <v>0</v>
      </c>
      <c r="B1" s="9">
        <f>AVERAGE(B9:B1048576)</f>
        <v>15.052631578947368</v>
      </c>
      <c r="C1" s="9">
        <f>AVERAGE(C9:C1048576)</f>
        <v>1.3157894736842105E-2</v>
      </c>
      <c r="I1" s="7" t="s">
        <v>25</v>
      </c>
      <c r="J1" s="16" t="str">
        <f>IF(LME="","",LME)</f>
        <v/>
      </c>
    </row>
    <row r="2" spans="1:17" hidden="1" x14ac:dyDescent="0.25">
      <c r="A2" s="7" t="s">
        <v>1</v>
      </c>
      <c r="B2" s="9">
        <f>_xlfn.STDEV.S(B9:B1048576)</f>
        <v>6.3286024605627329</v>
      </c>
      <c r="C2" s="9">
        <f>_xlfn.STDEV.S(C9:C1048576)</f>
        <v>0.80737179641023582</v>
      </c>
      <c r="I2" s="7" t="s">
        <v>26</v>
      </c>
      <c r="J2" s="16" t="str">
        <f>IF(VME="","",VME/3)</f>
        <v/>
      </c>
    </row>
    <row r="3" spans="1:17" hidden="1" x14ac:dyDescent="0.25">
      <c r="A3" s="7" t="s">
        <v>2</v>
      </c>
      <c r="B3" s="9">
        <f>MAX(B9:B1048576)</f>
        <v>27</v>
      </c>
      <c r="C3" s="9">
        <f>MAX(C9:C1048576)</f>
        <v>2</v>
      </c>
    </row>
    <row r="4" spans="1:17" hidden="1" x14ac:dyDescent="0.25">
      <c r="A4" s="7" t="s">
        <v>3</v>
      </c>
      <c r="B4" s="9">
        <f>MIN(B9:B1048576)</f>
        <v>2</v>
      </c>
      <c r="C4" s="9">
        <f>MIN(C9:C1048576)</f>
        <v>-1.5</v>
      </c>
    </row>
    <row r="5" spans="1:17" ht="15" customHeight="1" x14ac:dyDescent="0.25">
      <c r="A5" s="22" t="s">
        <v>58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ht="15" customHeight="1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6" t="s">
        <v>28</v>
      </c>
      <c r="B7" s="26"/>
      <c r="C7" s="26"/>
      <c r="D7" s="27" t="s">
        <v>29</v>
      </c>
      <c r="E7" s="28"/>
      <c r="F7" s="28"/>
      <c r="G7" s="28"/>
      <c r="H7" s="28"/>
      <c r="I7" s="28"/>
      <c r="J7" s="29"/>
      <c r="K7" s="27" t="s">
        <v>30</v>
      </c>
      <c r="L7" s="28"/>
      <c r="M7" s="28"/>
      <c r="N7" s="28"/>
      <c r="O7" s="28"/>
      <c r="P7" s="28"/>
      <c r="Q7" s="29"/>
    </row>
    <row r="8" spans="1:17" ht="15.75" thickBot="1" x14ac:dyDescent="0.3">
      <c r="A8" s="11" t="s">
        <v>31</v>
      </c>
      <c r="B8" s="3" t="s">
        <v>32</v>
      </c>
      <c r="C8" s="12" t="s">
        <v>33</v>
      </c>
      <c r="D8" s="11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12" t="s">
        <v>40</v>
      </c>
      <c r="K8" s="11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12" t="s">
        <v>40</v>
      </c>
    </row>
    <row r="9" spans="1:17" x14ac:dyDescent="0.25">
      <c r="A9" s="4">
        <v>44805</v>
      </c>
      <c r="B9" s="5">
        <f>IF('Catalogo de Variaveis'!U14="","",SUM('Catalogo de Variaveis'!U11:U14))</f>
        <v>6</v>
      </c>
      <c r="C9" s="15">
        <f>IFERROR(IF($B9="","",AVERAGE('Catalogo de Variaveis'!U14-'Catalogo de Variaveis'!U13,'Catalogo de Variaveis'!U13-'Catalogo de Variaveis'!U12,'Catalogo de Variaveis'!U12-'Catalogo de Variaveis'!U11,'Catalogo de Variaveis'!U11-'Catalogo de Variaveis'!U10)),0)</f>
        <v>1.5</v>
      </c>
      <c r="D9" s="13">
        <f t="shared" ref="D9:D59" si="0">IF($B9="","",IF(OR($J$1="",$J$2=""),$B$1-3*$B$2,$J$1-3*$J$2))</f>
        <v>-3.9331758027408288</v>
      </c>
      <c r="E9" s="10">
        <f t="shared" ref="E9:E29" si="1">IF($B9="","",IF(OR($J$1="",$J$2=""),$B$1-2*$B$2,$J$1-2*$J$2))</f>
        <v>2.3954266578219023</v>
      </c>
      <c r="F9" s="10">
        <f t="shared" ref="F9:F29" si="2">IF($B9="","",IF(OR($J$1="",$J$2=""),$B$1-$B$2,$J$1-$J$2))</f>
        <v>8.7240291183846352</v>
      </c>
      <c r="G9" s="10">
        <f t="shared" ref="G9:G59" si="3">IF($B9="","",IF(OR($J$1="",$J$2=""),$B$1,$J$1))</f>
        <v>15.052631578947368</v>
      </c>
      <c r="H9" s="10">
        <f t="shared" ref="H9:H29" si="4">IF($B9="","",IF(OR($J$1="",$J$2=""),$B$1+$B$2,$J$1+$J$2))</f>
        <v>21.381234039510101</v>
      </c>
      <c r="I9" s="10">
        <f t="shared" ref="I9:I59" si="5">IF($B9="","",IF(OR($J$1="",$J$2=""),$B$1+2*$B$2,$J$1+2*$J$2))</f>
        <v>27.709836500072832</v>
      </c>
      <c r="J9" s="14">
        <f t="shared" ref="J9:J29" si="6">IF($B9="","",IF(OR($J$1="",$J$2=""),$B$1+3*$B$2,$J$1+3*$J$2))</f>
        <v>34.038438960635567</v>
      </c>
      <c r="K9" s="13">
        <f t="shared" ref="K9:K72" si="7">IF($B9="","",$C$1-3*$C$2)</f>
        <v>-2.4089574944938654</v>
      </c>
      <c r="L9" s="10">
        <f t="shared" ref="L9:L72" si="8">IF($B9="","",$C$1-2*$C$2)</f>
        <v>-1.6015856980836296</v>
      </c>
      <c r="M9" s="10">
        <f t="shared" ref="M9:M72" si="9">IF($B9="","",$C$1-$C$2)</f>
        <v>-0.79421390167339367</v>
      </c>
      <c r="N9" s="10">
        <f t="shared" ref="N9:N72" si="10">IF($B9="","",$C$1)</f>
        <v>1.3157894736842105E-2</v>
      </c>
      <c r="O9" s="10">
        <f t="shared" ref="O9:O72" si="11">IF($B9="","",$C$1+1*$C$2)</f>
        <v>0.82052969114707797</v>
      </c>
      <c r="P9" s="10">
        <f t="shared" ref="P9:P72" si="12">IF($B9="","",$C$1+2*$C$2)</f>
        <v>1.6279014875573137</v>
      </c>
      <c r="Q9" s="14">
        <f t="shared" ref="Q9:Q72" si="13">IF($B9="","",$C$1+3*$C$2)</f>
        <v>2.4352732839675495</v>
      </c>
    </row>
    <row r="10" spans="1:17" x14ac:dyDescent="0.25">
      <c r="A10" s="4">
        <v>44835</v>
      </c>
      <c r="B10" s="5">
        <f>IF('Catalogo de Variaveis'!U15="","",SUM('Catalogo de Variaveis'!U12:U15))</f>
        <v>10</v>
      </c>
      <c r="C10" s="15">
        <f>IFERROR(IF($B10="","",AVERAGE('Catalogo de Variaveis'!U15-'Catalogo de Variaveis'!U14,'Catalogo de Variaveis'!U14-'Catalogo de Variaveis'!U13,'Catalogo de Variaveis'!U13-'Catalogo de Variaveis'!U12,'Catalogo de Variaveis'!U12-'Catalogo de Variaveis'!U11)),0)</f>
        <v>1</v>
      </c>
      <c r="D10" s="13">
        <f t="shared" si="0"/>
        <v>-3.9331758027408288</v>
      </c>
      <c r="E10" s="10">
        <f t="shared" si="1"/>
        <v>2.3954266578219023</v>
      </c>
      <c r="F10" s="10">
        <f t="shared" si="2"/>
        <v>8.7240291183846352</v>
      </c>
      <c r="G10" s="10">
        <f t="shared" si="3"/>
        <v>15.052631578947368</v>
      </c>
      <c r="H10" s="10">
        <f t="shared" si="4"/>
        <v>21.381234039510101</v>
      </c>
      <c r="I10" s="10">
        <f t="shared" si="5"/>
        <v>27.709836500072832</v>
      </c>
      <c r="J10" s="14">
        <f t="shared" si="6"/>
        <v>34.038438960635567</v>
      </c>
      <c r="K10" s="13">
        <f t="shared" si="7"/>
        <v>-2.4089574944938654</v>
      </c>
      <c r="L10" s="10">
        <f t="shared" si="8"/>
        <v>-1.6015856980836296</v>
      </c>
      <c r="M10" s="10">
        <f t="shared" si="9"/>
        <v>-0.79421390167339367</v>
      </c>
      <c r="N10" s="10">
        <f t="shared" si="10"/>
        <v>1.3157894736842105E-2</v>
      </c>
      <c r="O10" s="10">
        <f t="shared" si="11"/>
        <v>0.82052969114707797</v>
      </c>
      <c r="P10" s="10">
        <f t="shared" si="12"/>
        <v>1.6279014875573137</v>
      </c>
      <c r="Q10" s="14">
        <f t="shared" si="13"/>
        <v>2.4352732839675495</v>
      </c>
    </row>
    <row r="11" spans="1:17" x14ac:dyDescent="0.25">
      <c r="A11" s="4">
        <v>44866</v>
      </c>
      <c r="B11" s="5">
        <f>IF('Catalogo de Variaveis'!U16="","",SUM('Catalogo de Variaveis'!U13:U16))</f>
        <v>18</v>
      </c>
      <c r="C11" s="15">
        <f>IFERROR(IF($B11="","",AVERAGE('Catalogo de Variaveis'!U16-'Catalogo de Variaveis'!U15,'Catalogo de Variaveis'!U15-'Catalogo de Variaveis'!U14,'Catalogo de Variaveis'!U14-'Catalogo de Variaveis'!U13,'Catalogo de Variaveis'!U13-'Catalogo de Variaveis'!U12)),0)</f>
        <v>2</v>
      </c>
      <c r="D11" s="13">
        <f t="shared" si="0"/>
        <v>-3.9331758027408288</v>
      </c>
      <c r="E11" s="10">
        <f t="shared" si="1"/>
        <v>2.3954266578219023</v>
      </c>
      <c r="F11" s="10">
        <f t="shared" si="2"/>
        <v>8.7240291183846352</v>
      </c>
      <c r="G11" s="10">
        <f>IF($B11="","",IF(OR($J$1="",$J$2=""),$B$1,$J$1))</f>
        <v>15.052631578947368</v>
      </c>
      <c r="H11" s="10">
        <f t="shared" si="4"/>
        <v>21.381234039510101</v>
      </c>
      <c r="I11" s="10">
        <f t="shared" si="5"/>
        <v>27.709836500072832</v>
      </c>
      <c r="J11" s="14">
        <f t="shared" si="6"/>
        <v>34.038438960635567</v>
      </c>
      <c r="K11" s="13">
        <f t="shared" si="7"/>
        <v>-2.4089574944938654</v>
      </c>
      <c r="L11" s="10">
        <f t="shared" si="8"/>
        <v>-1.6015856980836296</v>
      </c>
      <c r="M11" s="10">
        <f t="shared" si="9"/>
        <v>-0.79421390167339367</v>
      </c>
      <c r="N11" s="10">
        <f t="shared" si="10"/>
        <v>1.3157894736842105E-2</v>
      </c>
      <c r="O11" s="10">
        <f t="shared" si="11"/>
        <v>0.82052969114707797</v>
      </c>
      <c r="P11" s="10">
        <f t="shared" si="12"/>
        <v>1.6279014875573137</v>
      </c>
      <c r="Q11" s="14">
        <f t="shared" si="13"/>
        <v>2.4352732839675495</v>
      </c>
    </row>
    <row r="12" spans="1:17" x14ac:dyDescent="0.25">
      <c r="A12" s="4">
        <v>44896</v>
      </c>
      <c r="B12" s="5">
        <f>IF('Catalogo de Variaveis'!U17="","",SUM('Catalogo de Variaveis'!U14:U17))</f>
        <v>20</v>
      </c>
      <c r="C12" s="15">
        <f>IFERROR(IF($B12="","",AVERAGE('Catalogo de Variaveis'!U17-'Catalogo de Variaveis'!U16,'Catalogo de Variaveis'!U16-'Catalogo de Variaveis'!U15,'Catalogo de Variaveis'!U15-'Catalogo de Variaveis'!U14,'Catalogo de Variaveis'!U14-'Catalogo de Variaveis'!U13)),0)</f>
        <v>0.5</v>
      </c>
      <c r="D12" s="13">
        <f t="shared" si="0"/>
        <v>-3.9331758027408288</v>
      </c>
      <c r="E12" s="10">
        <f t="shared" si="1"/>
        <v>2.3954266578219023</v>
      </c>
      <c r="F12" s="10">
        <f t="shared" si="2"/>
        <v>8.7240291183846352</v>
      </c>
      <c r="G12" s="10">
        <f t="shared" si="3"/>
        <v>15.052631578947368</v>
      </c>
      <c r="H12" s="10">
        <f t="shared" si="4"/>
        <v>21.381234039510101</v>
      </c>
      <c r="I12" s="10">
        <f t="shared" si="5"/>
        <v>27.709836500072832</v>
      </c>
      <c r="J12" s="14">
        <f t="shared" si="6"/>
        <v>34.038438960635567</v>
      </c>
      <c r="K12" s="13">
        <f t="shared" si="7"/>
        <v>-2.4089574944938654</v>
      </c>
      <c r="L12" s="10">
        <f t="shared" si="8"/>
        <v>-1.6015856980836296</v>
      </c>
      <c r="M12" s="10">
        <f t="shared" si="9"/>
        <v>-0.79421390167339367</v>
      </c>
      <c r="N12" s="10">
        <f t="shared" si="10"/>
        <v>1.3157894736842105E-2</v>
      </c>
      <c r="O12" s="10">
        <f t="shared" si="11"/>
        <v>0.82052969114707797</v>
      </c>
      <c r="P12" s="10">
        <f t="shared" si="12"/>
        <v>1.6279014875573137</v>
      </c>
      <c r="Q12" s="14">
        <f t="shared" si="13"/>
        <v>2.4352732839675495</v>
      </c>
    </row>
    <row r="13" spans="1:17" x14ac:dyDescent="0.25">
      <c r="A13" s="4">
        <v>44927</v>
      </c>
      <c r="B13" s="5">
        <f>IF('Catalogo de Variaveis'!U18="","",SUM('Catalogo de Variaveis'!U15:U18))</f>
        <v>16</v>
      </c>
      <c r="C13" s="15">
        <f>IFERROR(IF($B13="","",AVERAGE('Catalogo de Variaveis'!U18-'Catalogo de Variaveis'!U17,'Catalogo de Variaveis'!U17-'Catalogo de Variaveis'!U16,'Catalogo de Variaveis'!U16-'Catalogo de Variaveis'!U15,'Catalogo de Variaveis'!U15-'Catalogo de Variaveis'!U14)),0)</f>
        <v>-1</v>
      </c>
      <c r="D13" s="13">
        <f t="shared" si="0"/>
        <v>-3.9331758027408288</v>
      </c>
      <c r="E13" s="10">
        <f t="shared" si="1"/>
        <v>2.3954266578219023</v>
      </c>
      <c r="F13" s="10">
        <f t="shared" si="2"/>
        <v>8.7240291183846352</v>
      </c>
      <c r="G13" s="10">
        <f t="shared" si="3"/>
        <v>15.052631578947368</v>
      </c>
      <c r="H13" s="10">
        <f t="shared" si="4"/>
        <v>21.381234039510101</v>
      </c>
      <c r="I13" s="10">
        <f t="shared" si="5"/>
        <v>27.709836500072832</v>
      </c>
      <c r="J13" s="14">
        <f t="shared" si="6"/>
        <v>34.038438960635567</v>
      </c>
      <c r="K13" s="13">
        <f t="shared" si="7"/>
        <v>-2.4089574944938654</v>
      </c>
      <c r="L13" s="10">
        <f t="shared" si="8"/>
        <v>-1.6015856980836296</v>
      </c>
      <c r="M13" s="10">
        <f t="shared" si="9"/>
        <v>-0.79421390167339367</v>
      </c>
      <c r="N13" s="10">
        <f t="shared" si="10"/>
        <v>1.3157894736842105E-2</v>
      </c>
      <c r="O13" s="10">
        <f t="shared" si="11"/>
        <v>0.82052969114707797</v>
      </c>
      <c r="P13" s="10">
        <f t="shared" si="12"/>
        <v>1.6279014875573137</v>
      </c>
      <c r="Q13" s="14">
        <f t="shared" si="13"/>
        <v>2.4352732839675495</v>
      </c>
    </row>
    <row r="14" spans="1:17" x14ac:dyDescent="0.25">
      <c r="A14" s="4">
        <v>44958</v>
      </c>
      <c r="B14" s="5">
        <f>IF('Catalogo de Variaveis'!U19="","",SUM('Catalogo de Variaveis'!U16:U19))</f>
        <v>14</v>
      </c>
      <c r="C14" s="15">
        <f>IFERROR(IF($B14="","",AVERAGE('Catalogo de Variaveis'!U19-'Catalogo de Variaveis'!U18,'Catalogo de Variaveis'!U18-'Catalogo de Variaveis'!U17,'Catalogo de Variaveis'!U17-'Catalogo de Variaveis'!U16,'Catalogo de Variaveis'!U16-'Catalogo de Variaveis'!U15)),0)</f>
        <v>-0.5</v>
      </c>
      <c r="D14" s="13">
        <f t="shared" si="0"/>
        <v>-3.9331758027408288</v>
      </c>
      <c r="E14" s="10">
        <f t="shared" si="1"/>
        <v>2.3954266578219023</v>
      </c>
      <c r="F14" s="10">
        <f t="shared" si="2"/>
        <v>8.7240291183846352</v>
      </c>
      <c r="G14" s="10">
        <f t="shared" si="3"/>
        <v>15.052631578947368</v>
      </c>
      <c r="H14" s="10">
        <f t="shared" si="4"/>
        <v>21.381234039510101</v>
      </c>
      <c r="I14" s="10">
        <f t="shared" si="5"/>
        <v>27.709836500072832</v>
      </c>
      <c r="J14" s="14">
        <f t="shared" si="6"/>
        <v>34.038438960635567</v>
      </c>
      <c r="K14" s="13">
        <f t="shared" si="7"/>
        <v>-2.4089574944938654</v>
      </c>
      <c r="L14" s="10">
        <f t="shared" si="8"/>
        <v>-1.6015856980836296</v>
      </c>
      <c r="M14" s="10">
        <f t="shared" si="9"/>
        <v>-0.79421390167339367</v>
      </c>
      <c r="N14" s="10">
        <f t="shared" si="10"/>
        <v>1.3157894736842105E-2</v>
      </c>
      <c r="O14" s="10">
        <f t="shared" si="11"/>
        <v>0.82052969114707797</v>
      </c>
      <c r="P14" s="10">
        <f t="shared" si="12"/>
        <v>1.6279014875573137</v>
      </c>
      <c r="Q14" s="14">
        <f t="shared" si="13"/>
        <v>2.4352732839675495</v>
      </c>
    </row>
    <row r="15" spans="1:17" x14ac:dyDescent="0.25">
      <c r="A15" s="4">
        <v>44986</v>
      </c>
      <c r="B15" s="5">
        <f>IF('Catalogo de Variaveis'!U20="","",SUM('Catalogo de Variaveis'!U17:U20))</f>
        <v>14</v>
      </c>
      <c r="C15" s="15">
        <f>IFERROR(IF($B15="","",AVERAGE('Catalogo de Variaveis'!U20-'Catalogo de Variaveis'!U19,'Catalogo de Variaveis'!U19-'Catalogo de Variaveis'!U18,'Catalogo de Variaveis'!U18-'Catalogo de Variaveis'!U17,'Catalogo de Variaveis'!U17-'Catalogo de Variaveis'!U16)),0)</f>
        <v>0</v>
      </c>
      <c r="D15" s="13">
        <f t="shared" si="0"/>
        <v>-3.9331758027408288</v>
      </c>
      <c r="E15" s="10">
        <f t="shared" si="1"/>
        <v>2.3954266578219023</v>
      </c>
      <c r="F15" s="10">
        <f t="shared" si="2"/>
        <v>8.7240291183846352</v>
      </c>
      <c r="G15" s="10">
        <f t="shared" si="3"/>
        <v>15.052631578947368</v>
      </c>
      <c r="H15" s="10">
        <f t="shared" si="4"/>
        <v>21.381234039510101</v>
      </c>
      <c r="I15" s="10">
        <f t="shared" si="5"/>
        <v>27.709836500072832</v>
      </c>
      <c r="J15" s="14">
        <f t="shared" si="6"/>
        <v>34.038438960635567</v>
      </c>
      <c r="K15" s="13">
        <f t="shared" si="7"/>
        <v>-2.4089574944938654</v>
      </c>
      <c r="L15" s="10">
        <f t="shared" si="8"/>
        <v>-1.6015856980836296</v>
      </c>
      <c r="M15" s="10">
        <f t="shared" si="9"/>
        <v>-0.79421390167339367</v>
      </c>
      <c r="N15" s="10">
        <f t="shared" si="10"/>
        <v>1.3157894736842105E-2</v>
      </c>
      <c r="O15" s="10">
        <f t="shared" si="11"/>
        <v>0.82052969114707797</v>
      </c>
      <c r="P15" s="10">
        <f t="shared" si="12"/>
        <v>1.6279014875573137</v>
      </c>
      <c r="Q15" s="14">
        <f t="shared" si="13"/>
        <v>2.4352732839675495</v>
      </c>
    </row>
    <row r="16" spans="1:17" x14ac:dyDescent="0.25">
      <c r="A16" s="4">
        <v>45017</v>
      </c>
      <c r="B16" s="5">
        <f>IF('Catalogo de Variaveis'!U21="","",SUM('Catalogo de Variaveis'!U18:U21))</f>
        <v>16</v>
      </c>
      <c r="C16" s="15">
        <f>IFERROR(IF($B16="","",AVERAGE('Catalogo de Variaveis'!U21-'Catalogo de Variaveis'!U20,'Catalogo de Variaveis'!U20-'Catalogo de Variaveis'!U19,'Catalogo de Variaveis'!U19-'Catalogo de Variaveis'!U18,'Catalogo de Variaveis'!U18-'Catalogo de Variaveis'!U17)),0)</f>
        <v>0.5</v>
      </c>
      <c r="D16" s="13">
        <f t="shared" si="0"/>
        <v>-3.9331758027408288</v>
      </c>
      <c r="E16" s="10">
        <f t="shared" si="1"/>
        <v>2.3954266578219023</v>
      </c>
      <c r="F16" s="10">
        <f t="shared" si="2"/>
        <v>8.7240291183846352</v>
      </c>
      <c r="G16" s="10">
        <f t="shared" si="3"/>
        <v>15.052631578947368</v>
      </c>
      <c r="H16" s="10">
        <f t="shared" si="4"/>
        <v>21.381234039510101</v>
      </c>
      <c r="I16" s="10">
        <f t="shared" si="5"/>
        <v>27.709836500072832</v>
      </c>
      <c r="J16" s="14">
        <f t="shared" si="6"/>
        <v>34.038438960635567</v>
      </c>
      <c r="K16" s="13">
        <f t="shared" si="7"/>
        <v>-2.4089574944938654</v>
      </c>
      <c r="L16" s="10">
        <f t="shared" si="8"/>
        <v>-1.6015856980836296</v>
      </c>
      <c r="M16" s="10">
        <f t="shared" si="9"/>
        <v>-0.79421390167339367</v>
      </c>
      <c r="N16" s="10">
        <f t="shared" si="10"/>
        <v>1.3157894736842105E-2</v>
      </c>
      <c r="O16" s="10">
        <f t="shared" si="11"/>
        <v>0.82052969114707797</v>
      </c>
      <c r="P16" s="10">
        <f t="shared" si="12"/>
        <v>1.6279014875573137</v>
      </c>
      <c r="Q16" s="14">
        <f t="shared" si="13"/>
        <v>2.4352732839675495</v>
      </c>
    </row>
    <row r="17" spans="1:17" x14ac:dyDescent="0.25">
      <c r="A17" s="4">
        <v>45047</v>
      </c>
      <c r="B17" s="5">
        <f>IF('Catalogo de Variaveis'!U22="","",SUM('Catalogo de Variaveis'!U19:U22))</f>
        <v>18</v>
      </c>
      <c r="C17" s="15">
        <f>IFERROR(IF($B17="","",AVERAGE('Catalogo de Variaveis'!U22-'Catalogo de Variaveis'!U21,'Catalogo de Variaveis'!U21-'Catalogo de Variaveis'!U20,'Catalogo de Variaveis'!U20-'Catalogo de Variaveis'!U19,'Catalogo de Variaveis'!U19-'Catalogo de Variaveis'!U18)),0)</f>
        <v>0.5</v>
      </c>
      <c r="D17" s="13">
        <f t="shared" si="0"/>
        <v>-3.9331758027408288</v>
      </c>
      <c r="E17" s="10">
        <f t="shared" si="1"/>
        <v>2.3954266578219023</v>
      </c>
      <c r="F17" s="10">
        <f t="shared" si="2"/>
        <v>8.7240291183846352</v>
      </c>
      <c r="G17" s="10">
        <f t="shared" si="3"/>
        <v>15.052631578947368</v>
      </c>
      <c r="H17" s="10">
        <f t="shared" si="4"/>
        <v>21.381234039510101</v>
      </c>
      <c r="I17" s="10">
        <f t="shared" si="5"/>
        <v>27.709836500072832</v>
      </c>
      <c r="J17" s="14">
        <f t="shared" si="6"/>
        <v>34.038438960635567</v>
      </c>
      <c r="K17" s="13">
        <f t="shared" si="7"/>
        <v>-2.4089574944938654</v>
      </c>
      <c r="L17" s="10">
        <f t="shared" si="8"/>
        <v>-1.6015856980836296</v>
      </c>
      <c r="M17" s="10">
        <f t="shared" si="9"/>
        <v>-0.79421390167339367</v>
      </c>
      <c r="N17" s="10">
        <f t="shared" si="10"/>
        <v>1.3157894736842105E-2</v>
      </c>
      <c r="O17" s="10">
        <f t="shared" si="11"/>
        <v>0.82052969114707797</v>
      </c>
      <c r="P17" s="10">
        <f t="shared" si="12"/>
        <v>1.6279014875573137</v>
      </c>
      <c r="Q17" s="14">
        <f t="shared" si="13"/>
        <v>2.4352732839675495</v>
      </c>
    </row>
    <row r="18" spans="1:17" x14ac:dyDescent="0.25">
      <c r="A18" s="4">
        <v>45078</v>
      </c>
      <c r="B18" s="5">
        <f>IF('Catalogo de Variaveis'!U23="","",SUM('Catalogo de Variaveis'!U20:U23))</f>
        <v>23</v>
      </c>
      <c r="C18" s="15">
        <f>IFERROR(IF($B18="","",AVERAGE('Catalogo de Variaveis'!U23-'Catalogo de Variaveis'!U22,'Catalogo de Variaveis'!U22-'Catalogo de Variaveis'!U21,'Catalogo de Variaveis'!U21-'Catalogo de Variaveis'!U20,'Catalogo de Variaveis'!U20-'Catalogo de Variaveis'!U19)),0)</f>
        <v>1.25</v>
      </c>
      <c r="D18" s="13">
        <f t="shared" si="0"/>
        <v>-3.9331758027408288</v>
      </c>
      <c r="E18" s="10">
        <f t="shared" si="1"/>
        <v>2.3954266578219023</v>
      </c>
      <c r="F18" s="10">
        <f t="shared" si="2"/>
        <v>8.7240291183846352</v>
      </c>
      <c r="G18" s="10">
        <f t="shared" si="3"/>
        <v>15.052631578947368</v>
      </c>
      <c r="H18" s="10">
        <f t="shared" si="4"/>
        <v>21.381234039510101</v>
      </c>
      <c r="I18" s="10">
        <f t="shared" si="5"/>
        <v>27.709836500072832</v>
      </c>
      <c r="J18" s="14">
        <f t="shared" si="6"/>
        <v>34.038438960635567</v>
      </c>
      <c r="K18" s="13">
        <f t="shared" si="7"/>
        <v>-2.4089574944938654</v>
      </c>
      <c r="L18" s="10">
        <f t="shared" si="8"/>
        <v>-1.6015856980836296</v>
      </c>
      <c r="M18" s="10">
        <f t="shared" si="9"/>
        <v>-0.79421390167339367</v>
      </c>
      <c r="N18" s="10">
        <f t="shared" si="10"/>
        <v>1.3157894736842105E-2</v>
      </c>
      <c r="O18" s="10">
        <f t="shared" si="11"/>
        <v>0.82052969114707797</v>
      </c>
      <c r="P18" s="10">
        <f t="shared" si="12"/>
        <v>1.6279014875573137</v>
      </c>
      <c r="Q18" s="14">
        <f t="shared" si="13"/>
        <v>2.4352732839675495</v>
      </c>
    </row>
    <row r="19" spans="1:17" x14ac:dyDescent="0.25">
      <c r="A19" s="4">
        <v>45108</v>
      </c>
      <c r="B19" s="5">
        <f>IF('Catalogo de Variaveis'!U24="","",SUM('Catalogo de Variaveis'!U21:U24))</f>
        <v>20</v>
      </c>
      <c r="C19" s="15">
        <f>IFERROR(IF($B19="","",AVERAGE('Catalogo de Variaveis'!U24-'Catalogo de Variaveis'!U23,'Catalogo de Variaveis'!U23-'Catalogo de Variaveis'!U22,'Catalogo de Variaveis'!U22-'Catalogo de Variaveis'!U21,'Catalogo de Variaveis'!U21-'Catalogo de Variaveis'!U20)),0)</f>
        <v>-0.75</v>
      </c>
      <c r="D19" s="13">
        <f t="shared" si="0"/>
        <v>-3.9331758027408288</v>
      </c>
      <c r="E19" s="10">
        <f t="shared" si="1"/>
        <v>2.3954266578219023</v>
      </c>
      <c r="F19" s="10">
        <f t="shared" si="2"/>
        <v>8.7240291183846352</v>
      </c>
      <c r="G19" s="10">
        <f t="shared" si="3"/>
        <v>15.052631578947368</v>
      </c>
      <c r="H19" s="10">
        <f t="shared" si="4"/>
        <v>21.381234039510101</v>
      </c>
      <c r="I19" s="10">
        <f t="shared" si="5"/>
        <v>27.709836500072832</v>
      </c>
      <c r="J19" s="14">
        <f t="shared" si="6"/>
        <v>34.038438960635567</v>
      </c>
      <c r="K19" s="13">
        <f t="shared" si="7"/>
        <v>-2.4089574944938654</v>
      </c>
      <c r="L19" s="10">
        <f t="shared" si="8"/>
        <v>-1.6015856980836296</v>
      </c>
      <c r="M19" s="10">
        <f t="shared" si="9"/>
        <v>-0.79421390167339367</v>
      </c>
      <c r="N19" s="10">
        <f t="shared" si="10"/>
        <v>1.3157894736842105E-2</v>
      </c>
      <c r="O19" s="10">
        <f t="shared" si="11"/>
        <v>0.82052969114707797</v>
      </c>
      <c r="P19" s="10">
        <f t="shared" si="12"/>
        <v>1.6279014875573137</v>
      </c>
      <c r="Q19" s="14">
        <f t="shared" si="13"/>
        <v>2.4352732839675495</v>
      </c>
    </row>
    <row r="20" spans="1:17" x14ac:dyDescent="0.25">
      <c r="A20" s="4">
        <v>45139</v>
      </c>
      <c r="B20" s="5">
        <f>IF('Catalogo de Variaveis'!U25="","",SUM('Catalogo de Variaveis'!U22:U25))</f>
        <v>22</v>
      </c>
      <c r="C20" s="15">
        <f>IFERROR(IF($B20="","",AVERAGE('Catalogo de Variaveis'!U25-'Catalogo de Variaveis'!U24,'Catalogo de Variaveis'!U24-'Catalogo de Variaveis'!U23,'Catalogo de Variaveis'!U23-'Catalogo de Variaveis'!U22,'Catalogo de Variaveis'!U22-'Catalogo de Variaveis'!U21)),0)</f>
        <v>0.5</v>
      </c>
      <c r="D20" s="13">
        <f t="shared" si="0"/>
        <v>-3.9331758027408288</v>
      </c>
      <c r="E20" s="10">
        <f t="shared" si="1"/>
        <v>2.3954266578219023</v>
      </c>
      <c r="F20" s="10">
        <f t="shared" si="2"/>
        <v>8.7240291183846352</v>
      </c>
      <c r="G20" s="10">
        <f t="shared" si="3"/>
        <v>15.052631578947368</v>
      </c>
      <c r="H20" s="10">
        <f t="shared" si="4"/>
        <v>21.381234039510101</v>
      </c>
      <c r="I20" s="10">
        <f t="shared" si="5"/>
        <v>27.709836500072832</v>
      </c>
      <c r="J20" s="14">
        <f t="shared" si="6"/>
        <v>34.038438960635567</v>
      </c>
      <c r="K20" s="13">
        <f t="shared" si="7"/>
        <v>-2.4089574944938654</v>
      </c>
      <c r="L20" s="10">
        <f t="shared" si="8"/>
        <v>-1.6015856980836296</v>
      </c>
      <c r="M20" s="10">
        <f t="shared" si="9"/>
        <v>-0.79421390167339367</v>
      </c>
      <c r="N20" s="10">
        <f t="shared" si="10"/>
        <v>1.3157894736842105E-2</v>
      </c>
      <c r="O20" s="10">
        <f t="shared" si="11"/>
        <v>0.82052969114707797</v>
      </c>
      <c r="P20" s="10">
        <f t="shared" si="12"/>
        <v>1.6279014875573137</v>
      </c>
      <c r="Q20" s="14">
        <f t="shared" si="13"/>
        <v>2.4352732839675495</v>
      </c>
    </row>
    <row r="21" spans="1:17" x14ac:dyDescent="0.25">
      <c r="A21" s="4">
        <v>45170</v>
      </c>
      <c r="B21" s="5">
        <f>IF('Catalogo de Variaveis'!U26="","",SUM('Catalogo de Variaveis'!U23:U26))</f>
        <v>23</v>
      </c>
      <c r="C21" s="15">
        <f>IFERROR(IF($B21="","",AVERAGE('Catalogo de Variaveis'!U26-'Catalogo de Variaveis'!U25,'Catalogo de Variaveis'!U25-'Catalogo de Variaveis'!U24,'Catalogo de Variaveis'!U24-'Catalogo de Variaveis'!U23,'Catalogo de Variaveis'!U23-'Catalogo de Variaveis'!U22)),0)</f>
        <v>0.25</v>
      </c>
      <c r="D21" s="13">
        <f t="shared" si="0"/>
        <v>-3.9331758027408288</v>
      </c>
      <c r="E21" s="10">
        <f t="shared" si="1"/>
        <v>2.3954266578219023</v>
      </c>
      <c r="F21" s="10">
        <f t="shared" si="2"/>
        <v>8.7240291183846352</v>
      </c>
      <c r="G21" s="10">
        <f t="shared" si="3"/>
        <v>15.052631578947368</v>
      </c>
      <c r="H21" s="10">
        <f t="shared" si="4"/>
        <v>21.381234039510101</v>
      </c>
      <c r="I21" s="10">
        <f t="shared" si="5"/>
        <v>27.709836500072832</v>
      </c>
      <c r="J21" s="14">
        <f t="shared" si="6"/>
        <v>34.038438960635567</v>
      </c>
      <c r="K21" s="13">
        <f t="shared" si="7"/>
        <v>-2.4089574944938654</v>
      </c>
      <c r="L21" s="10">
        <f t="shared" si="8"/>
        <v>-1.6015856980836296</v>
      </c>
      <c r="M21" s="10">
        <f t="shared" si="9"/>
        <v>-0.79421390167339367</v>
      </c>
      <c r="N21" s="10">
        <f t="shared" si="10"/>
        <v>1.3157894736842105E-2</v>
      </c>
      <c r="O21" s="10">
        <f t="shared" si="11"/>
        <v>0.82052969114707797</v>
      </c>
      <c r="P21" s="10">
        <f t="shared" si="12"/>
        <v>1.6279014875573137</v>
      </c>
      <c r="Q21" s="14">
        <f t="shared" si="13"/>
        <v>2.4352732839675495</v>
      </c>
    </row>
    <row r="22" spans="1:17" x14ac:dyDescent="0.25">
      <c r="A22" s="4">
        <v>45200</v>
      </c>
      <c r="B22" s="5">
        <f>IF('Catalogo de Variaveis'!U27="","",SUM('Catalogo de Variaveis'!U24:U27))</f>
        <v>22</v>
      </c>
      <c r="C22" s="15">
        <f>IFERROR(IF($B22="","",AVERAGE('Catalogo de Variaveis'!U27-'Catalogo de Variaveis'!U26,'Catalogo de Variaveis'!U26-'Catalogo de Variaveis'!U25,'Catalogo de Variaveis'!U25-'Catalogo de Variaveis'!U24,'Catalogo de Variaveis'!U24-'Catalogo de Variaveis'!U23)),0)</f>
        <v>-0.25</v>
      </c>
      <c r="D22" s="13">
        <f t="shared" si="0"/>
        <v>-3.9331758027408288</v>
      </c>
      <c r="E22" s="10">
        <f t="shared" si="1"/>
        <v>2.3954266578219023</v>
      </c>
      <c r="F22" s="10">
        <f t="shared" si="2"/>
        <v>8.7240291183846352</v>
      </c>
      <c r="G22" s="10">
        <f t="shared" si="3"/>
        <v>15.052631578947368</v>
      </c>
      <c r="H22" s="10">
        <f t="shared" si="4"/>
        <v>21.381234039510101</v>
      </c>
      <c r="I22" s="10">
        <f t="shared" si="5"/>
        <v>27.709836500072832</v>
      </c>
      <c r="J22" s="14">
        <f t="shared" si="6"/>
        <v>34.038438960635567</v>
      </c>
      <c r="K22" s="13">
        <f t="shared" si="7"/>
        <v>-2.4089574944938654</v>
      </c>
      <c r="L22" s="10">
        <f t="shared" si="8"/>
        <v>-1.6015856980836296</v>
      </c>
      <c r="M22" s="10">
        <f t="shared" si="9"/>
        <v>-0.79421390167339367</v>
      </c>
      <c r="N22" s="10">
        <f t="shared" si="10"/>
        <v>1.3157894736842105E-2</v>
      </c>
      <c r="O22" s="10">
        <f t="shared" si="11"/>
        <v>0.82052969114707797</v>
      </c>
      <c r="P22" s="10">
        <f t="shared" si="12"/>
        <v>1.6279014875573137</v>
      </c>
      <c r="Q22" s="14">
        <f t="shared" si="13"/>
        <v>2.4352732839675495</v>
      </c>
    </row>
    <row r="23" spans="1:17" x14ac:dyDescent="0.25">
      <c r="A23" s="4">
        <v>45231</v>
      </c>
      <c r="B23" s="5">
        <f>IF('Catalogo de Variaveis'!U28="","",SUM('Catalogo de Variaveis'!U25:U28))</f>
        <v>23</v>
      </c>
      <c r="C23" s="15">
        <f>IFERROR(IF($B23="","",AVERAGE('Catalogo de Variaveis'!U28-'Catalogo de Variaveis'!U27,'Catalogo de Variaveis'!U27-'Catalogo de Variaveis'!U26,'Catalogo de Variaveis'!U26-'Catalogo de Variaveis'!U25,'Catalogo de Variaveis'!U25-'Catalogo de Variaveis'!U24)),0)</f>
        <v>0.25</v>
      </c>
      <c r="D23" s="13">
        <f t="shared" si="0"/>
        <v>-3.9331758027408288</v>
      </c>
      <c r="E23" s="10">
        <f t="shared" si="1"/>
        <v>2.3954266578219023</v>
      </c>
      <c r="F23" s="10">
        <f t="shared" si="2"/>
        <v>8.7240291183846352</v>
      </c>
      <c r="G23" s="10">
        <f t="shared" si="3"/>
        <v>15.052631578947368</v>
      </c>
      <c r="H23" s="10">
        <f t="shared" si="4"/>
        <v>21.381234039510101</v>
      </c>
      <c r="I23" s="10">
        <f t="shared" si="5"/>
        <v>27.709836500072832</v>
      </c>
      <c r="J23" s="14">
        <f t="shared" si="6"/>
        <v>34.038438960635567</v>
      </c>
      <c r="K23" s="13">
        <f t="shared" si="7"/>
        <v>-2.4089574944938654</v>
      </c>
      <c r="L23" s="10">
        <f t="shared" si="8"/>
        <v>-1.6015856980836296</v>
      </c>
      <c r="M23" s="10">
        <f t="shared" si="9"/>
        <v>-0.79421390167339367</v>
      </c>
      <c r="N23" s="10">
        <f t="shared" si="10"/>
        <v>1.3157894736842105E-2</v>
      </c>
      <c r="O23" s="10">
        <f t="shared" si="11"/>
        <v>0.82052969114707797</v>
      </c>
      <c r="P23" s="10">
        <f t="shared" si="12"/>
        <v>1.6279014875573137</v>
      </c>
      <c r="Q23" s="14">
        <f t="shared" si="13"/>
        <v>2.4352732839675495</v>
      </c>
    </row>
    <row r="24" spans="1:17" x14ac:dyDescent="0.25">
      <c r="A24" s="4">
        <v>45261</v>
      </c>
      <c r="B24" s="5">
        <f>IF('Catalogo de Variaveis'!U29="","",SUM('Catalogo de Variaveis'!U26:U29))</f>
        <v>24</v>
      </c>
      <c r="C24" s="15">
        <f>IFERROR(IF($B24="","",AVERAGE('Catalogo de Variaveis'!U29-'Catalogo de Variaveis'!U28,'Catalogo de Variaveis'!U28-'Catalogo de Variaveis'!U27,'Catalogo de Variaveis'!U27-'Catalogo de Variaveis'!U26,'Catalogo de Variaveis'!U26-'Catalogo de Variaveis'!U25)),0)</f>
        <v>0.25</v>
      </c>
      <c r="D24" s="13">
        <f t="shared" si="0"/>
        <v>-3.9331758027408288</v>
      </c>
      <c r="E24" s="10">
        <f t="shared" si="1"/>
        <v>2.3954266578219023</v>
      </c>
      <c r="F24" s="10">
        <f t="shared" si="2"/>
        <v>8.7240291183846352</v>
      </c>
      <c r="G24" s="10">
        <f t="shared" si="3"/>
        <v>15.052631578947368</v>
      </c>
      <c r="H24" s="10">
        <f t="shared" si="4"/>
        <v>21.381234039510101</v>
      </c>
      <c r="I24" s="10">
        <f t="shared" si="5"/>
        <v>27.709836500072832</v>
      </c>
      <c r="J24" s="14">
        <f t="shared" si="6"/>
        <v>34.038438960635567</v>
      </c>
      <c r="K24" s="13">
        <f t="shared" si="7"/>
        <v>-2.4089574944938654</v>
      </c>
      <c r="L24" s="10">
        <f t="shared" si="8"/>
        <v>-1.6015856980836296</v>
      </c>
      <c r="M24" s="10">
        <f t="shared" si="9"/>
        <v>-0.79421390167339367</v>
      </c>
      <c r="N24" s="10">
        <f t="shared" si="10"/>
        <v>1.3157894736842105E-2</v>
      </c>
      <c r="O24" s="10">
        <f t="shared" si="11"/>
        <v>0.82052969114707797</v>
      </c>
      <c r="P24" s="10">
        <f t="shared" si="12"/>
        <v>1.6279014875573137</v>
      </c>
      <c r="Q24" s="14">
        <f t="shared" si="13"/>
        <v>2.4352732839675495</v>
      </c>
    </row>
    <row r="25" spans="1:17" x14ac:dyDescent="0.25">
      <c r="A25" s="4">
        <v>45292</v>
      </c>
      <c r="B25" s="5">
        <f>IF('Catalogo de Variaveis'!U30="","",SUM('Catalogo de Variaveis'!U27:U30))</f>
        <v>27</v>
      </c>
      <c r="C25" s="15">
        <f>IFERROR(IF($B25="","",AVERAGE('Catalogo de Variaveis'!U30-'Catalogo de Variaveis'!U29,'Catalogo de Variaveis'!U29-'Catalogo de Variaveis'!U28,'Catalogo de Variaveis'!U28-'Catalogo de Variaveis'!U27,'Catalogo de Variaveis'!U27-'Catalogo de Variaveis'!U26)),0)</f>
        <v>0.75</v>
      </c>
      <c r="D25" s="13">
        <f t="shared" si="0"/>
        <v>-3.9331758027408288</v>
      </c>
      <c r="E25" s="10">
        <f t="shared" si="1"/>
        <v>2.3954266578219023</v>
      </c>
      <c r="F25" s="10">
        <f t="shared" si="2"/>
        <v>8.7240291183846352</v>
      </c>
      <c r="G25" s="10">
        <f t="shared" si="3"/>
        <v>15.052631578947368</v>
      </c>
      <c r="H25" s="10">
        <f t="shared" si="4"/>
        <v>21.381234039510101</v>
      </c>
      <c r="I25" s="10">
        <f t="shared" si="5"/>
        <v>27.709836500072832</v>
      </c>
      <c r="J25" s="14">
        <f t="shared" si="6"/>
        <v>34.038438960635567</v>
      </c>
      <c r="K25" s="13">
        <f t="shared" si="7"/>
        <v>-2.4089574944938654</v>
      </c>
      <c r="L25" s="10">
        <f t="shared" si="8"/>
        <v>-1.6015856980836296</v>
      </c>
      <c r="M25" s="10">
        <f t="shared" si="9"/>
        <v>-0.79421390167339367</v>
      </c>
      <c r="N25" s="10">
        <f t="shared" si="10"/>
        <v>1.3157894736842105E-2</v>
      </c>
      <c r="O25" s="10">
        <f t="shared" si="11"/>
        <v>0.82052969114707797</v>
      </c>
      <c r="P25" s="10">
        <f t="shared" si="12"/>
        <v>1.6279014875573137</v>
      </c>
      <c r="Q25" s="14">
        <f t="shared" si="13"/>
        <v>2.4352732839675495</v>
      </c>
    </row>
    <row r="26" spans="1:17" x14ac:dyDescent="0.25">
      <c r="A26" s="4">
        <v>45323</v>
      </c>
      <c r="B26" s="5">
        <f>IF('Catalogo de Variaveis'!U31="","",SUM('Catalogo de Variaveis'!U28:U31))</f>
        <v>23</v>
      </c>
      <c r="C26" s="15">
        <f>IFERROR(IF($B26="","",AVERAGE('Catalogo de Variaveis'!U31-'Catalogo de Variaveis'!U30,'Catalogo de Variaveis'!U30-'Catalogo de Variaveis'!U29,'Catalogo de Variaveis'!U29-'Catalogo de Variaveis'!U28,'Catalogo de Variaveis'!U28-'Catalogo de Variaveis'!U27)),0)</f>
        <v>-1</v>
      </c>
      <c r="D26" s="13">
        <f t="shared" si="0"/>
        <v>-3.9331758027408288</v>
      </c>
      <c r="E26" s="10">
        <f t="shared" si="1"/>
        <v>2.3954266578219023</v>
      </c>
      <c r="F26" s="10">
        <f t="shared" si="2"/>
        <v>8.7240291183846352</v>
      </c>
      <c r="G26" s="10">
        <f t="shared" si="3"/>
        <v>15.052631578947368</v>
      </c>
      <c r="H26" s="10">
        <f t="shared" si="4"/>
        <v>21.381234039510101</v>
      </c>
      <c r="I26" s="10">
        <f t="shared" si="5"/>
        <v>27.709836500072832</v>
      </c>
      <c r="J26" s="14">
        <f t="shared" si="6"/>
        <v>34.038438960635567</v>
      </c>
      <c r="K26" s="13">
        <f t="shared" si="7"/>
        <v>-2.4089574944938654</v>
      </c>
      <c r="L26" s="10">
        <f t="shared" si="8"/>
        <v>-1.6015856980836296</v>
      </c>
      <c r="M26" s="10">
        <f t="shared" si="9"/>
        <v>-0.79421390167339367</v>
      </c>
      <c r="N26" s="10">
        <f t="shared" si="10"/>
        <v>1.3157894736842105E-2</v>
      </c>
      <c r="O26" s="10">
        <f t="shared" si="11"/>
        <v>0.82052969114707797</v>
      </c>
      <c r="P26" s="10">
        <f t="shared" si="12"/>
        <v>1.6279014875573137</v>
      </c>
      <c r="Q26" s="14">
        <f t="shared" si="13"/>
        <v>2.4352732839675495</v>
      </c>
    </row>
    <row r="27" spans="1:17" x14ac:dyDescent="0.25">
      <c r="A27" s="4">
        <v>45352</v>
      </c>
      <c r="B27" s="5">
        <f>IF('Catalogo de Variaveis'!U32="","",SUM('Catalogo de Variaveis'!U29:U32))</f>
        <v>21</v>
      </c>
      <c r="C27" s="15">
        <f>IFERROR(IF($B27="","",AVERAGE('Catalogo de Variaveis'!U32-'Catalogo de Variaveis'!U31,'Catalogo de Variaveis'!U31-'Catalogo de Variaveis'!U30,'Catalogo de Variaveis'!U30-'Catalogo de Variaveis'!U29,'Catalogo de Variaveis'!U29-'Catalogo de Variaveis'!U28)),0)</f>
        <v>-0.5</v>
      </c>
      <c r="D27" s="13">
        <f t="shared" si="0"/>
        <v>-3.9331758027408288</v>
      </c>
      <c r="E27" s="10">
        <f t="shared" si="1"/>
        <v>2.3954266578219023</v>
      </c>
      <c r="F27" s="10">
        <f t="shared" si="2"/>
        <v>8.7240291183846352</v>
      </c>
      <c r="G27" s="10">
        <f t="shared" si="3"/>
        <v>15.052631578947368</v>
      </c>
      <c r="H27" s="10">
        <f t="shared" si="4"/>
        <v>21.381234039510101</v>
      </c>
      <c r="I27" s="10">
        <f t="shared" si="5"/>
        <v>27.709836500072832</v>
      </c>
      <c r="J27" s="14">
        <f t="shared" si="6"/>
        <v>34.038438960635567</v>
      </c>
      <c r="K27" s="13">
        <f t="shared" si="7"/>
        <v>-2.4089574944938654</v>
      </c>
      <c r="L27" s="10">
        <f t="shared" si="8"/>
        <v>-1.6015856980836296</v>
      </c>
      <c r="M27" s="10">
        <f t="shared" si="9"/>
        <v>-0.79421390167339367</v>
      </c>
      <c r="N27" s="10">
        <f t="shared" si="10"/>
        <v>1.3157894736842105E-2</v>
      </c>
      <c r="O27" s="10">
        <f t="shared" si="11"/>
        <v>0.82052969114707797</v>
      </c>
      <c r="P27" s="10">
        <f t="shared" si="12"/>
        <v>1.6279014875573137</v>
      </c>
      <c r="Q27" s="14">
        <f t="shared" si="13"/>
        <v>2.4352732839675495</v>
      </c>
    </row>
    <row r="28" spans="1:17" x14ac:dyDescent="0.25">
      <c r="A28" s="4">
        <v>45383</v>
      </c>
      <c r="B28" s="5">
        <f>IF('Catalogo de Variaveis'!U33="","",SUM('Catalogo de Variaveis'!U30:U33))</f>
        <v>17</v>
      </c>
      <c r="C28" s="15">
        <f>IFERROR(IF($B28="","",AVERAGE('Catalogo de Variaveis'!U33-'Catalogo de Variaveis'!U32,'Catalogo de Variaveis'!U32-'Catalogo de Variaveis'!U31,'Catalogo de Variaveis'!U31-'Catalogo de Variaveis'!U30,'Catalogo de Variaveis'!U30-'Catalogo de Variaveis'!U29)),0)</f>
        <v>-1</v>
      </c>
      <c r="D28" s="13">
        <f t="shared" si="0"/>
        <v>-3.9331758027408288</v>
      </c>
      <c r="E28" s="10">
        <f t="shared" si="1"/>
        <v>2.3954266578219023</v>
      </c>
      <c r="F28" s="10">
        <f t="shared" si="2"/>
        <v>8.7240291183846352</v>
      </c>
      <c r="G28" s="10">
        <f t="shared" si="3"/>
        <v>15.052631578947368</v>
      </c>
      <c r="H28" s="10">
        <f t="shared" si="4"/>
        <v>21.381234039510101</v>
      </c>
      <c r="I28" s="10">
        <f t="shared" si="5"/>
        <v>27.709836500072832</v>
      </c>
      <c r="J28" s="14">
        <f t="shared" si="6"/>
        <v>34.038438960635567</v>
      </c>
      <c r="K28" s="13">
        <f t="shared" si="7"/>
        <v>-2.4089574944938654</v>
      </c>
      <c r="L28" s="10">
        <f t="shared" si="8"/>
        <v>-1.6015856980836296</v>
      </c>
      <c r="M28" s="10">
        <f t="shared" si="9"/>
        <v>-0.79421390167339367</v>
      </c>
      <c r="N28" s="10">
        <f t="shared" si="10"/>
        <v>1.3157894736842105E-2</v>
      </c>
      <c r="O28" s="10">
        <f t="shared" si="11"/>
        <v>0.82052969114707797</v>
      </c>
      <c r="P28" s="10">
        <f t="shared" si="12"/>
        <v>1.6279014875573137</v>
      </c>
      <c r="Q28" s="14">
        <f t="shared" si="13"/>
        <v>2.4352732839675495</v>
      </c>
    </row>
    <row r="29" spans="1:17" x14ac:dyDescent="0.25">
      <c r="A29" s="4">
        <v>45413</v>
      </c>
      <c r="B29" s="5">
        <f>IF('Catalogo de Variaveis'!U34="","",SUM('Catalogo de Variaveis'!U31:U34))</f>
        <v>15</v>
      </c>
      <c r="C29" s="15">
        <f>IFERROR(IF($B29="","",AVERAGE('Catalogo de Variaveis'!U34-'Catalogo de Variaveis'!U33,'Catalogo de Variaveis'!U33-'Catalogo de Variaveis'!U32,'Catalogo de Variaveis'!U32-'Catalogo de Variaveis'!U31,'Catalogo de Variaveis'!U31-'Catalogo de Variaveis'!U30)),0)</f>
        <v>-0.5</v>
      </c>
      <c r="D29" s="13">
        <f t="shared" si="0"/>
        <v>-3.9331758027408288</v>
      </c>
      <c r="E29" s="10">
        <f t="shared" si="1"/>
        <v>2.3954266578219023</v>
      </c>
      <c r="F29" s="10">
        <f t="shared" si="2"/>
        <v>8.7240291183846352</v>
      </c>
      <c r="G29" s="10">
        <f t="shared" si="3"/>
        <v>15.052631578947368</v>
      </c>
      <c r="H29" s="10">
        <f t="shared" si="4"/>
        <v>21.381234039510101</v>
      </c>
      <c r="I29" s="10">
        <f t="shared" si="5"/>
        <v>27.709836500072832</v>
      </c>
      <c r="J29" s="14">
        <f t="shared" si="6"/>
        <v>34.038438960635567</v>
      </c>
      <c r="K29" s="13">
        <f t="shared" si="7"/>
        <v>-2.4089574944938654</v>
      </c>
      <c r="L29" s="10">
        <f t="shared" si="8"/>
        <v>-1.6015856980836296</v>
      </c>
      <c r="M29" s="10">
        <f t="shared" si="9"/>
        <v>-0.79421390167339367</v>
      </c>
      <c r="N29" s="10">
        <f t="shared" si="10"/>
        <v>1.3157894736842105E-2</v>
      </c>
      <c r="O29" s="10">
        <f t="shared" si="11"/>
        <v>0.82052969114707797</v>
      </c>
      <c r="P29" s="10">
        <f t="shared" si="12"/>
        <v>1.6279014875573137</v>
      </c>
      <c r="Q29" s="14">
        <f t="shared" si="13"/>
        <v>2.4352732839675495</v>
      </c>
    </row>
    <row r="30" spans="1:17" x14ac:dyDescent="0.25">
      <c r="A30" s="4">
        <v>45444</v>
      </c>
      <c r="B30" s="5">
        <f>IF('Catalogo de Variaveis'!U35="","",SUM('Catalogo de Variaveis'!U32:U35))</f>
        <v>16</v>
      </c>
      <c r="C30" s="15">
        <f>IFERROR(IF($B30="","",AVERAGE('Catalogo de Variaveis'!U35-'Catalogo de Variaveis'!U34,'Catalogo de Variaveis'!U34-'Catalogo de Variaveis'!U33,'Catalogo de Variaveis'!U33-'Catalogo de Variaveis'!U32,'Catalogo de Variaveis'!U32-'Catalogo de Variaveis'!U31)),0)</f>
        <v>0.25</v>
      </c>
      <c r="D30" s="13">
        <f>IF($B30="","",IF(OR($J$1="",$J$2=""),$B$1-3*$B$2,$J$1-3*$J$2))</f>
        <v>-3.9331758027408288</v>
      </c>
      <c r="E30" s="10">
        <f>IF($B30="","",IF(OR($J$1="",$J$2=""),$B$1-2*$B$2,$J$1-2*$J$2))</f>
        <v>2.3954266578219023</v>
      </c>
      <c r="F30" s="10">
        <f>IF($B30="","",IF(OR($J$1="",$J$2=""),$B$1-$B$2,$J$1-$J$2))</f>
        <v>8.7240291183846352</v>
      </c>
      <c r="G30" s="10">
        <f>IF($B30="","",IF(OR($J$1="",$J$2=""),$B$1,$J$1))</f>
        <v>15.052631578947368</v>
      </c>
      <c r="H30" s="10">
        <f>IF($B30="","",IF(OR($J$1="",$J$2=""),$B$1+$B$2,$J$1+$J$2))</f>
        <v>21.381234039510101</v>
      </c>
      <c r="I30" s="10">
        <f>IF($B30="","",IF(OR($J$1="",$J$2=""),$B$1+2*$B$2,$J$1+2*$J$2))</f>
        <v>27.709836500072832</v>
      </c>
      <c r="J30" s="14">
        <f>IF($B30="","",IF(OR($J$1="",$J$2=""),$B$1+3*$B$2,$J$1+3*$J$2))</f>
        <v>34.038438960635567</v>
      </c>
      <c r="K30" s="13">
        <f t="shared" si="7"/>
        <v>-2.4089574944938654</v>
      </c>
      <c r="L30" s="10">
        <f t="shared" si="8"/>
        <v>-1.6015856980836296</v>
      </c>
      <c r="M30" s="10">
        <f t="shared" si="9"/>
        <v>-0.79421390167339367</v>
      </c>
      <c r="N30" s="10">
        <f t="shared" si="10"/>
        <v>1.3157894736842105E-2</v>
      </c>
      <c r="O30" s="10">
        <f t="shared" si="11"/>
        <v>0.82052969114707797</v>
      </c>
      <c r="P30" s="10">
        <f t="shared" si="12"/>
        <v>1.6279014875573137</v>
      </c>
      <c r="Q30" s="14">
        <f t="shared" si="13"/>
        <v>2.4352732839675495</v>
      </c>
    </row>
    <row r="31" spans="1:17" x14ac:dyDescent="0.25">
      <c r="A31" s="4">
        <v>45474</v>
      </c>
      <c r="B31" s="5">
        <f>IF('Catalogo de Variaveis'!U36="","",SUM('Catalogo de Variaveis'!U33:U36))</f>
        <v>15</v>
      </c>
      <c r="C31" s="15">
        <f>IFERROR(IF($B31="","",AVERAGE('Catalogo de Variaveis'!U36-'Catalogo de Variaveis'!U35,'Catalogo de Variaveis'!U35-'Catalogo de Variaveis'!U34,'Catalogo de Variaveis'!U34-'Catalogo de Variaveis'!U33,'Catalogo de Variaveis'!U33-'Catalogo de Variaveis'!U32)),0)</f>
        <v>-0.25</v>
      </c>
      <c r="D31" s="13">
        <f t="shared" si="0"/>
        <v>-3.9331758027408288</v>
      </c>
      <c r="E31" s="10">
        <f t="shared" ref="E31:E94" si="14">IF($B31="","",IF(OR($J$1="",$J$2=""),$B$1-2*$B$2,$J$1-2*$J$2))</f>
        <v>2.3954266578219023</v>
      </c>
      <c r="F31" s="10">
        <f t="shared" ref="F31:F94" si="15">IF($B31="","",IF(OR($J$1="",$J$2=""),$B$1-$B$2,$J$1-$J$2))</f>
        <v>8.7240291183846352</v>
      </c>
      <c r="G31" s="10">
        <f t="shared" si="3"/>
        <v>15.052631578947368</v>
      </c>
      <c r="H31" s="10">
        <f t="shared" ref="H31:H94" si="16">IF($B31="","",IF(OR($J$1="",$J$2=""),$B$1+$B$2,$J$1+$J$2))</f>
        <v>21.381234039510101</v>
      </c>
      <c r="I31" s="10">
        <f t="shared" si="5"/>
        <v>27.709836500072832</v>
      </c>
      <c r="J31" s="14">
        <f t="shared" ref="J31:J94" si="17">IF($B31="","",IF(OR($J$1="",$J$2=""),$B$1+3*$B$2,$J$1+3*$J$2))</f>
        <v>34.038438960635567</v>
      </c>
      <c r="K31" s="13">
        <f t="shared" si="7"/>
        <v>-2.4089574944938654</v>
      </c>
      <c r="L31" s="10">
        <f t="shared" si="8"/>
        <v>-1.6015856980836296</v>
      </c>
      <c r="M31" s="10">
        <f t="shared" si="9"/>
        <v>-0.79421390167339367</v>
      </c>
      <c r="N31" s="10">
        <f t="shared" si="10"/>
        <v>1.3157894736842105E-2</v>
      </c>
      <c r="O31" s="10">
        <f t="shared" si="11"/>
        <v>0.82052969114707797</v>
      </c>
      <c r="P31" s="10">
        <f t="shared" si="12"/>
        <v>1.6279014875573137</v>
      </c>
      <c r="Q31" s="14">
        <f t="shared" si="13"/>
        <v>2.4352732839675495</v>
      </c>
    </row>
    <row r="32" spans="1:17" x14ac:dyDescent="0.25">
      <c r="A32" s="4">
        <v>45505</v>
      </c>
      <c r="B32" s="5">
        <f>IF('Catalogo de Variaveis'!U37="","",SUM('Catalogo de Variaveis'!U34:U37))</f>
        <v>15</v>
      </c>
      <c r="C32" s="15">
        <f>IFERROR(IF($B32="","",AVERAGE('Catalogo de Variaveis'!U37-'Catalogo de Variaveis'!U36,'Catalogo de Variaveis'!U36-'Catalogo de Variaveis'!U35,'Catalogo de Variaveis'!U35-'Catalogo de Variaveis'!U34,'Catalogo de Variaveis'!U34-'Catalogo de Variaveis'!U33)),0)</f>
        <v>0</v>
      </c>
      <c r="D32" s="13">
        <f t="shared" si="0"/>
        <v>-3.9331758027408288</v>
      </c>
      <c r="E32" s="10">
        <f t="shared" si="14"/>
        <v>2.3954266578219023</v>
      </c>
      <c r="F32" s="10">
        <f t="shared" si="15"/>
        <v>8.7240291183846352</v>
      </c>
      <c r="G32" s="10">
        <f t="shared" si="3"/>
        <v>15.052631578947368</v>
      </c>
      <c r="H32" s="10">
        <f t="shared" si="16"/>
        <v>21.381234039510101</v>
      </c>
      <c r="I32" s="10">
        <f t="shared" si="5"/>
        <v>27.709836500072832</v>
      </c>
      <c r="J32" s="14">
        <f t="shared" si="17"/>
        <v>34.038438960635567</v>
      </c>
      <c r="K32" s="13">
        <f t="shared" si="7"/>
        <v>-2.4089574944938654</v>
      </c>
      <c r="L32" s="10">
        <f t="shared" si="8"/>
        <v>-1.6015856980836296</v>
      </c>
      <c r="M32" s="10">
        <f t="shared" si="9"/>
        <v>-0.79421390167339367</v>
      </c>
      <c r="N32" s="10">
        <f t="shared" si="10"/>
        <v>1.3157894736842105E-2</v>
      </c>
      <c r="O32" s="10">
        <f t="shared" si="11"/>
        <v>0.82052969114707797</v>
      </c>
      <c r="P32" s="10">
        <f t="shared" si="12"/>
        <v>1.6279014875573137</v>
      </c>
      <c r="Q32" s="14">
        <f t="shared" si="13"/>
        <v>2.4352732839675495</v>
      </c>
    </row>
    <row r="33" spans="1:17" x14ac:dyDescent="0.25">
      <c r="A33" s="4">
        <v>45536</v>
      </c>
      <c r="B33" s="5">
        <f>IF('Catalogo de Variaveis'!U38="","",SUM('Catalogo de Variaveis'!U35:U38))</f>
        <v>12</v>
      </c>
      <c r="C33" s="15">
        <f>IFERROR(IF($B33="","",AVERAGE('Catalogo de Variaveis'!U38-'Catalogo de Variaveis'!U37,'Catalogo de Variaveis'!U37-'Catalogo de Variaveis'!U36,'Catalogo de Variaveis'!U36-'Catalogo de Variaveis'!U35,'Catalogo de Variaveis'!U35-'Catalogo de Variaveis'!U34)),0)</f>
        <v>-0.75</v>
      </c>
      <c r="D33" s="13">
        <f t="shared" si="0"/>
        <v>-3.9331758027408288</v>
      </c>
      <c r="E33" s="10">
        <f t="shared" si="14"/>
        <v>2.3954266578219023</v>
      </c>
      <c r="F33" s="10">
        <f t="shared" si="15"/>
        <v>8.7240291183846352</v>
      </c>
      <c r="G33" s="10">
        <f t="shared" si="3"/>
        <v>15.052631578947368</v>
      </c>
      <c r="H33" s="10">
        <f t="shared" si="16"/>
        <v>21.381234039510101</v>
      </c>
      <c r="I33" s="10">
        <f t="shared" si="5"/>
        <v>27.709836500072832</v>
      </c>
      <c r="J33" s="14">
        <f t="shared" si="17"/>
        <v>34.038438960635567</v>
      </c>
      <c r="K33" s="13">
        <f t="shared" si="7"/>
        <v>-2.4089574944938654</v>
      </c>
      <c r="L33" s="10">
        <f t="shared" si="8"/>
        <v>-1.6015856980836296</v>
      </c>
      <c r="M33" s="10">
        <f t="shared" si="9"/>
        <v>-0.79421390167339367</v>
      </c>
      <c r="N33" s="10">
        <f t="shared" si="10"/>
        <v>1.3157894736842105E-2</v>
      </c>
      <c r="O33" s="10">
        <f t="shared" si="11"/>
        <v>0.82052969114707797</v>
      </c>
      <c r="P33" s="10">
        <f t="shared" si="12"/>
        <v>1.6279014875573137</v>
      </c>
      <c r="Q33" s="14">
        <f t="shared" si="13"/>
        <v>2.4352732839675495</v>
      </c>
    </row>
    <row r="34" spans="1:17" x14ac:dyDescent="0.25">
      <c r="A34" s="4">
        <v>45566</v>
      </c>
      <c r="B34" s="5">
        <f>IF('Catalogo de Variaveis'!U39="","",SUM('Catalogo de Variaveis'!U36:U39))</f>
        <v>10</v>
      </c>
      <c r="C34" s="15">
        <f>IFERROR(IF($B34="","",AVERAGE('Catalogo de Variaveis'!U39-'Catalogo de Variaveis'!U38,'Catalogo de Variaveis'!U38-'Catalogo de Variaveis'!U37,'Catalogo de Variaveis'!U37-'Catalogo de Variaveis'!U36,'Catalogo de Variaveis'!U36-'Catalogo de Variaveis'!U35)),0)</f>
        <v>-0.5</v>
      </c>
      <c r="D34" s="13">
        <f t="shared" si="0"/>
        <v>-3.9331758027408288</v>
      </c>
      <c r="E34" s="10">
        <f t="shared" si="14"/>
        <v>2.3954266578219023</v>
      </c>
      <c r="F34" s="10">
        <f t="shared" si="15"/>
        <v>8.7240291183846352</v>
      </c>
      <c r="G34" s="10">
        <f t="shared" si="3"/>
        <v>15.052631578947368</v>
      </c>
      <c r="H34" s="10">
        <f t="shared" si="16"/>
        <v>21.381234039510101</v>
      </c>
      <c r="I34" s="10">
        <f t="shared" si="5"/>
        <v>27.709836500072832</v>
      </c>
      <c r="J34" s="14">
        <f t="shared" si="17"/>
        <v>34.038438960635567</v>
      </c>
      <c r="K34" s="13">
        <f t="shared" si="7"/>
        <v>-2.4089574944938654</v>
      </c>
      <c r="L34" s="10">
        <f t="shared" si="8"/>
        <v>-1.6015856980836296</v>
      </c>
      <c r="M34" s="10">
        <f t="shared" si="9"/>
        <v>-0.79421390167339367</v>
      </c>
      <c r="N34" s="10">
        <f t="shared" si="10"/>
        <v>1.3157894736842105E-2</v>
      </c>
      <c r="O34" s="10">
        <f t="shared" si="11"/>
        <v>0.82052969114707797</v>
      </c>
      <c r="P34" s="10">
        <f t="shared" si="12"/>
        <v>1.6279014875573137</v>
      </c>
      <c r="Q34" s="14">
        <f t="shared" si="13"/>
        <v>2.4352732839675495</v>
      </c>
    </row>
    <row r="35" spans="1:17" x14ac:dyDescent="0.25">
      <c r="A35" s="4">
        <v>45597</v>
      </c>
      <c r="B35" s="5">
        <f>IF('Catalogo de Variaveis'!U40="","",SUM('Catalogo de Variaveis'!U37:U40))</f>
        <v>8</v>
      </c>
      <c r="C35" s="15">
        <f>IFERROR(IF($B35="","",AVERAGE('Catalogo de Variaveis'!U40-'Catalogo de Variaveis'!U39,'Catalogo de Variaveis'!U39-'Catalogo de Variaveis'!U38,'Catalogo de Variaveis'!U38-'Catalogo de Variaveis'!U37,'Catalogo de Variaveis'!U37-'Catalogo de Variaveis'!U36)),0)</f>
        <v>-0.5</v>
      </c>
      <c r="D35" s="13">
        <f t="shared" si="0"/>
        <v>-3.9331758027408288</v>
      </c>
      <c r="E35" s="10">
        <f t="shared" si="14"/>
        <v>2.3954266578219023</v>
      </c>
      <c r="F35" s="10">
        <f t="shared" si="15"/>
        <v>8.7240291183846352</v>
      </c>
      <c r="G35" s="10">
        <f t="shared" si="3"/>
        <v>15.052631578947368</v>
      </c>
      <c r="H35" s="10">
        <f t="shared" si="16"/>
        <v>21.381234039510101</v>
      </c>
      <c r="I35" s="10">
        <f t="shared" si="5"/>
        <v>27.709836500072832</v>
      </c>
      <c r="J35" s="14">
        <f t="shared" si="17"/>
        <v>34.038438960635567</v>
      </c>
      <c r="K35" s="13">
        <f t="shared" si="7"/>
        <v>-2.4089574944938654</v>
      </c>
      <c r="L35" s="10">
        <f t="shared" si="8"/>
        <v>-1.6015856980836296</v>
      </c>
      <c r="M35" s="10">
        <f t="shared" si="9"/>
        <v>-0.79421390167339367</v>
      </c>
      <c r="N35" s="10">
        <f t="shared" si="10"/>
        <v>1.3157894736842105E-2</v>
      </c>
      <c r="O35" s="10">
        <f t="shared" si="11"/>
        <v>0.82052969114707797</v>
      </c>
      <c r="P35" s="10">
        <f t="shared" si="12"/>
        <v>1.6279014875573137</v>
      </c>
      <c r="Q35" s="14">
        <f t="shared" si="13"/>
        <v>2.4352732839675495</v>
      </c>
    </row>
    <row r="36" spans="1:17" x14ac:dyDescent="0.25">
      <c r="A36" s="4">
        <v>45627</v>
      </c>
      <c r="B36" s="5">
        <f>IF('Catalogo de Variaveis'!U41="","",SUM('Catalogo de Variaveis'!U38:U41))</f>
        <v>5</v>
      </c>
      <c r="C36" s="15">
        <f>IFERROR(IF($B36="","",AVERAGE('Catalogo de Variaveis'!U41-'Catalogo de Variaveis'!U40,'Catalogo de Variaveis'!U40-'Catalogo de Variaveis'!U39,'Catalogo de Variaveis'!U39-'Catalogo de Variaveis'!U38,'Catalogo de Variaveis'!U38-'Catalogo de Variaveis'!U37)),0)</f>
        <v>-0.75</v>
      </c>
      <c r="D36" s="13">
        <f t="shared" si="0"/>
        <v>-3.9331758027408288</v>
      </c>
      <c r="E36" s="10">
        <f t="shared" si="14"/>
        <v>2.3954266578219023</v>
      </c>
      <c r="F36" s="10">
        <f t="shared" si="15"/>
        <v>8.7240291183846352</v>
      </c>
      <c r="G36" s="10">
        <f t="shared" si="3"/>
        <v>15.052631578947368</v>
      </c>
      <c r="H36" s="10">
        <f t="shared" si="16"/>
        <v>21.381234039510101</v>
      </c>
      <c r="I36" s="10">
        <f t="shared" si="5"/>
        <v>27.709836500072832</v>
      </c>
      <c r="J36" s="14">
        <f t="shared" si="17"/>
        <v>34.038438960635567</v>
      </c>
      <c r="K36" s="13">
        <f t="shared" si="7"/>
        <v>-2.4089574944938654</v>
      </c>
      <c r="L36" s="10">
        <f t="shared" si="8"/>
        <v>-1.6015856980836296</v>
      </c>
      <c r="M36" s="10">
        <f t="shared" si="9"/>
        <v>-0.79421390167339367</v>
      </c>
      <c r="N36" s="10">
        <f t="shared" si="10"/>
        <v>1.3157894736842105E-2</v>
      </c>
      <c r="O36" s="10">
        <f t="shared" si="11"/>
        <v>0.82052969114707797</v>
      </c>
      <c r="P36" s="10">
        <f t="shared" si="12"/>
        <v>1.6279014875573137</v>
      </c>
      <c r="Q36" s="14">
        <f t="shared" si="13"/>
        <v>2.4352732839675495</v>
      </c>
    </row>
    <row r="37" spans="1:17" x14ac:dyDescent="0.25">
      <c r="A37" s="4">
        <v>45658</v>
      </c>
      <c r="B37" s="5">
        <f>IF('Catalogo de Variaveis'!U42="","",SUM('Catalogo de Variaveis'!U39:U42))</f>
        <v>11</v>
      </c>
      <c r="C37" s="15">
        <f>IFERROR(IF($B37="","",AVERAGE('Catalogo de Variaveis'!U42-'Catalogo de Variaveis'!U41,'Catalogo de Variaveis'!U41-'Catalogo de Variaveis'!U40,'Catalogo de Variaveis'!U40-'Catalogo de Variaveis'!U39,'Catalogo de Variaveis'!U39-'Catalogo de Variaveis'!U38)),0)</f>
        <v>1.5</v>
      </c>
      <c r="D37" s="13">
        <f t="shared" si="0"/>
        <v>-3.9331758027408288</v>
      </c>
      <c r="E37" s="10">
        <f t="shared" si="14"/>
        <v>2.3954266578219023</v>
      </c>
      <c r="F37" s="10">
        <f t="shared" si="15"/>
        <v>8.7240291183846352</v>
      </c>
      <c r="G37" s="10">
        <f t="shared" si="3"/>
        <v>15.052631578947368</v>
      </c>
      <c r="H37" s="10">
        <f t="shared" si="16"/>
        <v>21.381234039510101</v>
      </c>
      <c r="I37" s="10">
        <f t="shared" si="5"/>
        <v>27.709836500072832</v>
      </c>
      <c r="J37" s="14">
        <f t="shared" si="17"/>
        <v>34.038438960635567</v>
      </c>
      <c r="K37" s="13">
        <f t="shared" si="7"/>
        <v>-2.4089574944938654</v>
      </c>
      <c r="L37" s="10">
        <f t="shared" si="8"/>
        <v>-1.6015856980836296</v>
      </c>
      <c r="M37" s="10">
        <f t="shared" si="9"/>
        <v>-0.79421390167339367</v>
      </c>
      <c r="N37" s="10">
        <f t="shared" si="10"/>
        <v>1.3157894736842105E-2</v>
      </c>
      <c r="O37" s="10">
        <f t="shared" si="11"/>
        <v>0.82052969114707797</v>
      </c>
      <c r="P37" s="10">
        <f t="shared" si="12"/>
        <v>1.6279014875573137</v>
      </c>
      <c r="Q37" s="14">
        <f t="shared" si="13"/>
        <v>2.4352732839675495</v>
      </c>
    </row>
    <row r="38" spans="1:17" x14ac:dyDescent="0.25">
      <c r="A38" s="4">
        <v>45689</v>
      </c>
      <c r="B38" s="5">
        <f>IF('Catalogo de Variaveis'!U43="","",SUM('Catalogo de Variaveis'!U40:U43))</f>
        <v>14</v>
      </c>
      <c r="C38" s="15">
        <f>IFERROR(IF($B38="","",AVERAGE('Catalogo de Variaveis'!U43-'Catalogo de Variaveis'!U42,'Catalogo de Variaveis'!U42-'Catalogo de Variaveis'!U41,'Catalogo de Variaveis'!U41-'Catalogo de Variaveis'!U40,'Catalogo de Variaveis'!U40-'Catalogo de Variaveis'!U39)),0)</f>
        <v>0.75</v>
      </c>
      <c r="D38" s="13">
        <f t="shared" si="0"/>
        <v>-3.9331758027408288</v>
      </c>
      <c r="E38" s="10">
        <f t="shared" si="14"/>
        <v>2.3954266578219023</v>
      </c>
      <c r="F38" s="10">
        <f t="shared" si="15"/>
        <v>8.7240291183846352</v>
      </c>
      <c r="G38" s="10">
        <f t="shared" si="3"/>
        <v>15.052631578947368</v>
      </c>
      <c r="H38" s="10">
        <f t="shared" si="16"/>
        <v>21.381234039510101</v>
      </c>
      <c r="I38" s="10">
        <f t="shared" si="5"/>
        <v>27.709836500072832</v>
      </c>
      <c r="J38" s="14">
        <f t="shared" si="17"/>
        <v>34.038438960635567</v>
      </c>
      <c r="K38" s="13">
        <f t="shared" si="7"/>
        <v>-2.4089574944938654</v>
      </c>
      <c r="L38" s="10">
        <f t="shared" si="8"/>
        <v>-1.6015856980836296</v>
      </c>
      <c r="M38" s="10">
        <f t="shared" si="9"/>
        <v>-0.79421390167339367</v>
      </c>
      <c r="N38" s="10">
        <f t="shared" si="10"/>
        <v>1.3157894736842105E-2</v>
      </c>
      <c r="O38" s="10">
        <f t="shared" si="11"/>
        <v>0.82052969114707797</v>
      </c>
      <c r="P38" s="10">
        <f t="shared" si="12"/>
        <v>1.6279014875573137</v>
      </c>
      <c r="Q38" s="14">
        <f t="shared" si="13"/>
        <v>2.4352732839675495</v>
      </c>
    </row>
    <row r="39" spans="1:17" x14ac:dyDescent="0.25">
      <c r="A39" s="4">
        <v>45717</v>
      </c>
      <c r="B39" s="5">
        <f>IF('Catalogo de Variaveis'!U44="","",SUM('Catalogo de Variaveis'!U41:U44))</f>
        <v>15</v>
      </c>
      <c r="C39" s="15">
        <f>IFERROR(IF($B39="","",AVERAGE('Catalogo de Variaveis'!U44-'Catalogo de Variaveis'!U43,'Catalogo de Variaveis'!U43-'Catalogo de Variaveis'!U42,'Catalogo de Variaveis'!U42-'Catalogo de Variaveis'!U41,'Catalogo de Variaveis'!U41-'Catalogo de Variaveis'!U40)),0)</f>
        <v>0.25</v>
      </c>
      <c r="D39" s="13">
        <f t="shared" si="0"/>
        <v>-3.9331758027408288</v>
      </c>
      <c r="E39" s="10">
        <f t="shared" si="14"/>
        <v>2.3954266578219023</v>
      </c>
      <c r="F39" s="10">
        <f t="shared" si="15"/>
        <v>8.7240291183846352</v>
      </c>
      <c r="G39" s="10">
        <f t="shared" si="3"/>
        <v>15.052631578947368</v>
      </c>
      <c r="H39" s="10">
        <f t="shared" si="16"/>
        <v>21.381234039510101</v>
      </c>
      <c r="I39" s="10">
        <f t="shared" si="5"/>
        <v>27.709836500072832</v>
      </c>
      <c r="J39" s="14">
        <f t="shared" si="17"/>
        <v>34.038438960635567</v>
      </c>
      <c r="K39" s="13">
        <f t="shared" si="7"/>
        <v>-2.4089574944938654</v>
      </c>
      <c r="L39" s="10">
        <f t="shared" si="8"/>
        <v>-1.6015856980836296</v>
      </c>
      <c r="M39" s="10">
        <f t="shared" si="9"/>
        <v>-0.79421390167339367</v>
      </c>
      <c r="N39" s="10">
        <f t="shared" si="10"/>
        <v>1.3157894736842105E-2</v>
      </c>
      <c r="O39" s="10">
        <f t="shared" si="11"/>
        <v>0.82052969114707797</v>
      </c>
      <c r="P39" s="10">
        <f t="shared" si="12"/>
        <v>1.6279014875573137</v>
      </c>
      <c r="Q39" s="14">
        <f t="shared" si="13"/>
        <v>2.4352732839675495</v>
      </c>
    </row>
    <row r="40" spans="1:17" x14ac:dyDescent="0.25">
      <c r="A40" s="4">
        <v>45748</v>
      </c>
      <c r="B40" s="5">
        <f>IF('Catalogo de Variaveis'!U45="","",SUM('Catalogo de Variaveis'!U42:U45))</f>
        <v>18</v>
      </c>
      <c r="C40" s="15">
        <f>IFERROR(IF($B40="","",AVERAGE('Catalogo de Variaveis'!U45-'Catalogo de Variaveis'!U44,'Catalogo de Variaveis'!U44-'Catalogo de Variaveis'!U43,'Catalogo de Variaveis'!U43-'Catalogo de Variaveis'!U42,'Catalogo de Variaveis'!U42-'Catalogo de Variaveis'!U41)),0)</f>
        <v>0.75</v>
      </c>
      <c r="D40" s="13">
        <f t="shared" si="0"/>
        <v>-3.9331758027408288</v>
      </c>
      <c r="E40" s="10">
        <f t="shared" si="14"/>
        <v>2.3954266578219023</v>
      </c>
      <c r="F40" s="10">
        <f t="shared" si="15"/>
        <v>8.7240291183846352</v>
      </c>
      <c r="G40" s="10">
        <f t="shared" si="3"/>
        <v>15.052631578947368</v>
      </c>
      <c r="H40" s="10">
        <f t="shared" si="16"/>
        <v>21.381234039510101</v>
      </c>
      <c r="I40" s="10">
        <f t="shared" si="5"/>
        <v>27.709836500072832</v>
      </c>
      <c r="J40" s="14">
        <f t="shared" si="17"/>
        <v>34.038438960635567</v>
      </c>
      <c r="K40" s="13">
        <f t="shared" si="7"/>
        <v>-2.4089574944938654</v>
      </c>
      <c r="L40" s="10">
        <f t="shared" si="8"/>
        <v>-1.6015856980836296</v>
      </c>
      <c r="M40" s="10">
        <f t="shared" si="9"/>
        <v>-0.79421390167339367</v>
      </c>
      <c r="N40" s="10">
        <f t="shared" si="10"/>
        <v>1.3157894736842105E-2</v>
      </c>
      <c r="O40" s="10">
        <f t="shared" si="11"/>
        <v>0.82052969114707797</v>
      </c>
      <c r="P40" s="10">
        <f t="shared" si="12"/>
        <v>1.6279014875573137</v>
      </c>
      <c r="Q40" s="14">
        <f t="shared" si="13"/>
        <v>2.4352732839675495</v>
      </c>
    </row>
    <row r="41" spans="1:17" x14ac:dyDescent="0.25">
      <c r="A41" s="4">
        <v>45778</v>
      </c>
      <c r="B41" s="5">
        <f>IF('Catalogo de Variaveis'!U46="","",SUM('Catalogo de Variaveis'!U43:U46))</f>
        <v>12</v>
      </c>
      <c r="C41" s="15">
        <f>IFERROR(IF($B41="","",AVERAGE('Catalogo de Variaveis'!U46-'Catalogo de Variaveis'!U45,'Catalogo de Variaveis'!U45-'Catalogo de Variaveis'!U44,'Catalogo de Variaveis'!U44-'Catalogo de Variaveis'!U43,'Catalogo de Variaveis'!U43-'Catalogo de Variaveis'!U42)),0)</f>
        <v>-1.5</v>
      </c>
      <c r="D41" s="13">
        <f t="shared" si="0"/>
        <v>-3.9331758027408288</v>
      </c>
      <c r="E41" s="10">
        <f t="shared" si="14"/>
        <v>2.3954266578219023</v>
      </c>
      <c r="F41" s="10">
        <f t="shared" si="15"/>
        <v>8.7240291183846352</v>
      </c>
      <c r="G41" s="10">
        <f t="shared" si="3"/>
        <v>15.052631578947368</v>
      </c>
      <c r="H41" s="10">
        <f t="shared" si="16"/>
        <v>21.381234039510101</v>
      </c>
      <c r="I41" s="10">
        <f t="shared" si="5"/>
        <v>27.709836500072832</v>
      </c>
      <c r="J41" s="14">
        <f t="shared" si="17"/>
        <v>34.038438960635567</v>
      </c>
      <c r="K41" s="13">
        <f t="shared" si="7"/>
        <v>-2.4089574944938654</v>
      </c>
      <c r="L41" s="10">
        <f t="shared" si="8"/>
        <v>-1.6015856980836296</v>
      </c>
      <c r="M41" s="10">
        <f t="shared" si="9"/>
        <v>-0.79421390167339367</v>
      </c>
      <c r="N41" s="10">
        <f t="shared" si="10"/>
        <v>1.3157894736842105E-2</v>
      </c>
      <c r="O41" s="10">
        <f t="shared" si="11"/>
        <v>0.82052969114707797</v>
      </c>
      <c r="P41" s="10">
        <f t="shared" si="12"/>
        <v>1.6279014875573137</v>
      </c>
      <c r="Q41" s="14">
        <f t="shared" si="13"/>
        <v>2.4352732839675495</v>
      </c>
    </row>
    <row r="42" spans="1:17" x14ac:dyDescent="0.25">
      <c r="A42" s="4">
        <v>45809</v>
      </c>
      <c r="B42" s="5">
        <f>IF('Catalogo de Variaveis'!U47="","",SUM('Catalogo de Variaveis'!U44:U47))</f>
        <v>9</v>
      </c>
      <c r="C42" s="15">
        <f>IFERROR(IF($B42="","",AVERAGE('Catalogo de Variaveis'!U47-'Catalogo de Variaveis'!U46,'Catalogo de Variaveis'!U46-'Catalogo de Variaveis'!U45,'Catalogo de Variaveis'!U45-'Catalogo de Variaveis'!U44,'Catalogo de Variaveis'!U44-'Catalogo de Variaveis'!U43)),0)</f>
        <v>-0.75</v>
      </c>
      <c r="D42" s="13">
        <f t="shared" si="0"/>
        <v>-3.9331758027408288</v>
      </c>
      <c r="E42" s="10">
        <f t="shared" si="14"/>
        <v>2.3954266578219023</v>
      </c>
      <c r="F42" s="10">
        <f t="shared" si="15"/>
        <v>8.7240291183846352</v>
      </c>
      <c r="G42" s="10">
        <f t="shared" si="3"/>
        <v>15.052631578947368</v>
      </c>
      <c r="H42" s="10">
        <f t="shared" si="16"/>
        <v>21.381234039510101</v>
      </c>
      <c r="I42" s="10">
        <f t="shared" si="5"/>
        <v>27.709836500072832</v>
      </c>
      <c r="J42" s="14">
        <f t="shared" si="17"/>
        <v>34.038438960635567</v>
      </c>
      <c r="K42" s="13">
        <f t="shared" si="7"/>
        <v>-2.4089574944938654</v>
      </c>
      <c r="L42" s="10">
        <f t="shared" si="8"/>
        <v>-1.6015856980836296</v>
      </c>
      <c r="M42" s="10">
        <f t="shared" si="9"/>
        <v>-0.79421390167339367</v>
      </c>
      <c r="N42" s="10">
        <f t="shared" si="10"/>
        <v>1.3157894736842105E-2</v>
      </c>
      <c r="O42" s="10">
        <f t="shared" si="11"/>
        <v>0.82052969114707797</v>
      </c>
      <c r="P42" s="10">
        <f t="shared" si="12"/>
        <v>1.6279014875573137</v>
      </c>
      <c r="Q42" s="14">
        <f t="shared" si="13"/>
        <v>2.4352732839675495</v>
      </c>
    </row>
    <row r="43" spans="1:17" x14ac:dyDescent="0.25">
      <c r="A43" s="4">
        <v>45839</v>
      </c>
      <c r="B43" s="5">
        <f>IF('Catalogo de Variaveis'!U48="","",SUM('Catalogo de Variaveis'!U45:U48))</f>
        <v>9</v>
      </c>
      <c r="C43" s="15">
        <f>IFERROR(IF($B43="","",AVERAGE('Catalogo de Variaveis'!U48-'Catalogo de Variaveis'!U47,'Catalogo de Variaveis'!U47-'Catalogo de Variaveis'!U46,'Catalogo de Variaveis'!U46-'Catalogo de Variaveis'!U45,'Catalogo de Variaveis'!U45-'Catalogo de Variaveis'!U44)),0)</f>
        <v>0</v>
      </c>
      <c r="D43" s="13">
        <f t="shared" si="0"/>
        <v>-3.9331758027408288</v>
      </c>
      <c r="E43" s="10">
        <f t="shared" si="14"/>
        <v>2.3954266578219023</v>
      </c>
      <c r="F43" s="10">
        <f t="shared" si="15"/>
        <v>8.7240291183846352</v>
      </c>
      <c r="G43" s="10">
        <f t="shared" si="3"/>
        <v>15.052631578947368</v>
      </c>
      <c r="H43" s="10">
        <f t="shared" si="16"/>
        <v>21.381234039510101</v>
      </c>
      <c r="I43" s="10">
        <f t="shared" si="5"/>
        <v>27.709836500072832</v>
      </c>
      <c r="J43" s="14">
        <f t="shared" si="17"/>
        <v>34.038438960635567</v>
      </c>
      <c r="K43" s="13">
        <f t="shared" si="7"/>
        <v>-2.4089574944938654</v>
      </c>
      <c r="L43" s="10">
        <f t="shared" si="8"/>
        <v>-1.6015856980836296</v>
      </c>
      <c r="M43" s="10">
        <f t="shared" si="9"/>
        <v>-0.79421390167339367</v>
      </c>
      <c r="N43" s="10">
        <f t="shared" si="10"/>
        <v>1.3157894736842105E-2</v>
      </c>
      <c r="O43" s="10">
        <f t="shared" si="11"/>
        <v>0.82052969114707797</v>
      </c>
      <c r="P43" s="10">
        <f t="shared" si="12"/>
        <v>1.6279014875573137</v>
      </c>
      <c r="Q43" s="14">
        <f t="shared" si="13"/>
        <v>2.4352732839675495</v>
      </c>
    </row>
    <row r="44" spans="1:17" x14ac:dyDescent="0.25">
      <c r="A44" s="4">
        <v>45870</v>
      </c>
      <c r="B44" s="5">
        <f>IF('Catalogo de Variaveis'!U49="","",SUM('Catalogo de Variaveis'!U46:U49))</f>
        <v>6</v>
      </c>
      <c r="C44" s="15">
        <f>IFERROR(IF($B44="","",AVERAGE('Catalogo de Variaveis'!U49-'Catalogo de Variaveis'!U48,'Catalogo de Variaveis'!U48-'Catalogo de Variaveis'!U47,'Catalogo de Variaveis'!U47-'Catalogo de Variaveis'!U46,'Catalogo de Variaveis'!U46-'Catalogo de Variaveis'!U45)),0)</f>
        <v>-0.75</v>
      </c>
      <c r="D44" s="13">
        <f t="shared" si="0"/>
        <v>-3.9331758027408288</v>
      </c>
      <c r="E44" s="10">
        <f t="shared" si="14"/>
        <v>2.3954266578219023</v>
      </c>
      <c r="F44" s="10">
        <f t="shared" si="15"/>
        <v>8.7240291183846352</v>
      </c>
      <c r="G44" s="10">
        <f t="shared" si="3"/>
        <v>15.052631578947368</v>
      </c>
      <c r="H44" s="10">
        <f t="shared" si="16"/>
        <v>21.381234039510101</v>
      </c>
      <c r="I44" s="10">
        <f t="shared" si="5"/>
        <v>27.709836500072832</v>
      </c>
      <c r="J44" s="14">
        <f t="shared" si="17"/>
        <v>34.038438960635567</v>
      </c>
      <c r="K44" s="13">
        <f t="shared" si="7"/>
        <v>-2.4089574944938654</v>
      </c>
      <c r="L44" s="10">
        <f t="shared" si="8"/>
        <v>-1.6015856980836296</v>
      </c>
      <c r="M44" s="10">
        <f t="shared" si="9"/>
        <v>-0.79421390167339367</v>
      </c>
      <c r="N44" s="10">
        <f t="shared" si="10"/>
        <v>1.3157894736842105E-2</v>
      </c>
      <c r="O44" s="10">
        <f t="shared" si="11"/>
        <v>0.82052969114707797</v>
      </c>
      <c r="P44" s="10">
        <f t="shared" si="12"/>
        <v>1.6279014875573137</v>
      </c>
      <c r="Q44" s="14">
        <f t="shared" si="13"/>
        <v>2.4352732839675495</v>
      </c>
    </row>
    <row r="45" spans="1:17" x14ac:dyDescent="0.25">
      <c r="A45" s="4">
        <v>45901</v>
      </c>
      <c r="B45" s="5">
        <f>IF('Catalogo de Variaveis'!U50="","",SUM('Catalogo de Variaveis'!U47:U50))</f>
        <v>3</v>
      </c>
      <c r="C45" s="15">
        <f>IFERROR(IF($B45="","",AVERAGE('Catalogo de Variaveis'!U50-'Catalogo de Variaveis'!U49,'Catalogo de Variaveis'!U49-'Catalogo de Variaveis'!U48,'Catalogo de Variaveis'!U48-'Catalogo de Variaveis'!U47,'Catalogo de Variaveis'!U47-'Catalogo de Variaveis'!U46)),0)</f>
        <v>-0.75</v>
      </c>
      <c r="D45" s="13">
        <f t="shared" si="0"/>
        <v>-3.9331758027408288</v>
      </c>
      <c r="E45" s="10">
        <f t="shared" si="14"/>
        <v>2.3954266578219023</v>
      </c>
      <c r="F45" s="10">
        <f t="shared" si="15"/>
        <v>8.7240291183846352</v>
      </c>
      <c r="G45" s="10">
        <f t="shared" si="3"/>
        <v>15.052631578947368</v>
      </c>
      <c r="H45" s="10">
        <f t="shared" si="16"/>
        <v>21.381234039510101</v>
      </c>
      <c r="I45" s="10">
        <f t="shared" si="5"/>
        <v>27.709836500072832</v>
      </c>
      <c r="J45" s="14">
        <f t="shared" si="17"/>
        <v>34.038438960635567</v>
      </c>
      <c r="K45" s="13">
        <f t="shared" si="7"/>
        <v>-2.4089574944938654</v>
      </c>
      <c r="L45" s="10">
        <f t="shared" si="8"/>
        <v>-1.6015856980836296</v>
      </c>
      <c r="M45" s="10">
        <f t="shared" si="9"/>
        <v>-0.79421390167339367</v>
      </c>
      <c r="N45" s="10">
        <f t="shared" si="10"/>
        <v>1.3157894736842105E-2</v>
      </c>
      <c r="O45" s="10">
        <f t="shared" si="11"/>
        <v>0.82052969114707797</v>
      </c>
      <c r="P45" s="10">
        <f t="shared" si="12"/>
        <v>1.6279014875573137</v>
      </c>
      <c r="Q45" s="14">
        <f t="shared" si="13"/>
        <v>2.4352732839675495</v>
      </c>
    </row>
    <row r="46" spans="1:17" x14ac:dyDescent="0.25">
      <c r="A46" s="4">
        <v>45931</v>
      </c>
      <c r="B46" s="5">
        <f>IF('Catalogo de Variaveis'!U51="","",SUM('Catalogo de Variaveis'!U48:U51))</f>
        <v>2</v>
      </c>
      <c r="C46" s="15">
        <f>IFERROR(IF($B46="","",AVERAGE('Catalogo de Variaveis'!U51-'Catalogo de Variaveis'!U50,'Catalogo de Variaveis'!U50-'Catalogo de Variaveis'!U49,'Catalogo de Variaveis'!U49-'Catalogo de Variaveis'!U48,'Catalogo de Variaveis'!U48-'Catalogo de Variaveis'!U47)),0)</f>
        <v>-0.25</v>
      </c>
      <c r="D46" s="13">
        <f t="shared" si="0"/>
        <v>-3.9331758027408288</v>
      </c>
      <c r="E46" s="10">
        <f t="shared" si="14"/>
        <v>2.3954266578219023</v>
      </c>
      <c r="F46" s="10">
        <f t="shared" si="15"/>
        <v>8.7240291183846352</v>
      </c>
      <c r="G46" s="10">
        <f t="shared" si="3"/>
        <v>15.052631578947368</v>
      </c>
      <c r="H46" s="10">
        <f t="shared" si="16"/>
        <v>21.381234039510101</v>
      </c>
      <c r="I46" s="10">
        <f t="shared" si="5"/>
        <v>27.709836500072832</v>
      </c>
      <c r="J46" s="14">
        <f t="shared" si="17"/>
        <v>34.038438960635567</v>
      </c>
      <c r="K46" s="13">
        <f t="shared" si="7"/>
        <v>-2.4089574944938654</v>
      </c>
      <c r="L46" s="10">
        <f t="shared" si="8"/>
        <v>-1.6015856980836296</v>
      </c>
      <c r="M46" s="10">
        <f t="shared" si="9"/>
        <v>-0.79421390167339367</v>
      </c>
      <c r="N46" s="10">
        <f t="shared" si="10"/>
        <v>1.3157894736842105E-2</v>
      </c>
      <c r="O46" s="10">
        <f t="shared" si="11"/>
        <v>0.82052969114707797</v>
      </c>
      <c r="P46" s="10">
        <f t="shared" si="12"/>
        <v>1.6279014875573137</v>
      </c>
      <c r="Q46" s="14">
        <f t="shared" si="13"/>
        <v>2.4352732839675495</v>
      </c>
    </row>
    <row r="47" spans="1:17" x14ac:dyDescent="0.25">
      <c r="A47" s="4">
        <v>45962</v>
      </c>
      <c r="B47" s="5" t="str">
        <f>IF('Catalogo de Variaveis'!U52="","",SUM('Catalogo de Variaveis'!U49:U52))</f>
        <v/>
      </c>
      <c r="C47" s="15" t="str">
        <f>IFERROR(IF($B47="","",AVERAGE('Catalogo de Variaveis'!U52-'Catalogo de Variaveis'!U51,'Catalogo de Variaveis'!U51-'Catalogo de Variaveis'!U50,'Catalogo de Variaveis'!U50-'Catalogo de Variaveis'!U49,'Catalogo de Variaveis'!U49-'Catalogo de Variaveis'!U48)),0)</f>
        <v/>
      </c>
      <c r="D47" s="13" t="str">
        <f t="shared" si="0"/>
        <v/>
      </c>
      <c r="E47" s="10" t="str">
        <f t="shared" si="14"/>
        <v/>
      </c>
      <c r="F47" s="10" t="str">
        <f t="shared" si="15"/>
        <v/>
      </c>
      <c r="G47" s="10" t="str">
        <f t="shared" si="3"/>
        <v/>
      </c>
      <c r="H47" s="10" t="str">
        <f t="shared" si="16"/>
        <v/>
      </c>
      <c r="I47" s="10" t="str">
        <f t="shared" si="5"/>
        <v/>
      </c>
      <c r="J47" s="14" t="str">
        <f t="shared" si="17"/>
        <v/>
      </c>
      <c r="K47" s="13" t="str">
        <f t="shared" si="7"/>
        <v/>
      </c>
      <c r="L47" s="10" t="str">
        <f t="shared" si="8"/>
        <v/>
      </c>
      <c r="M47" s="10" t="str">
        <f t="shared" si="9"/>
        <v/>
      </c>
      <c r="N47" s="10" t="str">
        <f t="shared" si="10"/>
        <v/>
      </c>
      <c r="O47" s="10" t="str">
        <f t="shared" si="11"/>
        <v/>
      </c>
      <c r="P47" s="10" t="str">
        <f t="shared" si="12"/>
        <v/>
      </c>
      <c r="Q47" s="14" t="str">
        <f t="shared" si="13"/>
        <v/>
      </c>
    </row>
    <row r="48" spans="1:17" x14ac:dyDescent="0.25">
      <c r="A48" s="4">
        <v>45992</v>
      </c>
      <c r="B48" s="5" t="str">
        <f>IF('Catalogo de Variaveis'!U53="","",SUM('Catalogo de Variaveis'!U50:U53))</f>
        <v/>
      </c>
      <c r="C48" s="15" t="str">
        <f>IFERROR(IF($B48="","",AVERAGE('Catalogo de Variaveis'!U53-'Catalogo de Variaveis'!U52,'Catalogo de Variaveis'!U52-'Catalogo de Variaveis'!U51,'Catalogo de Variaveis'!U51-'Catalogo de Variaveis'!U50,'Catalogo de Variaveis'!U50-'Catalogo de Variaveis'!U49)),0)</f>
        <v/>
      </c>
      <c r="D48" s="13" t="str">
        <f t="shared" si="0"/>
        <v/>
      </c>
      <c r="E48" s="10" t="str">
        <f t="shared" si="14"/>
        <v/>
      </c>
      <c r="F48" s="10" t="str">
        <f t="shared" si="15"/>
        <v/>
      </c>
      <c r="G48" s="10" t="str">
        <f t="shared" si="3"/>
        <v/>
      </c>
      <c r="H48" s="10" t="str">
        <f t="shared" si="16"/>
        <v/>
      </c>
      <c r="I48" s="10" t="str">
        <f t="shared" si="5"/>
        <v/>
      </c>
      <c r="J48" s="14" t="str">
        <f t="shared" si="17"/>
        <v/>
      </c>
      <c r="K48" s="13" t="str">
        <f t="shared" si="7"/>
        <v/>
      </c>
      <c r="L48" s="10" t="str">
        <f t="shared" si="8"/>
        <v/>
      </c>
      <c r="M48" s="10" t="str">
        <f t="shared" si="9"/>
        <v/>
      </c>
      <c r="N48" s="10" t="str">
        <f t="shared" si="10"/>
        <v/>
      </c>
      <c r="O48" s="10" t="str">
        <f t="shared" si="11"/>
        <v/>
      </c>
      <c r="P48" s="10" t="str">
        <f t="shared" si="12"/>
        <v/>
      </c>
      <c r="Q48" s="14" t="str">
        <f t="shared" si="13"/>
        <v/>
      </c>
    </row>
    <row r="49" spans="1:17" x14ac:dyDescent="0.25">
      <c r="A49" s="4">
        <v>46023</v>
      </c>
      <c r="B49" s="5" t="str">
        <f>IF('Catalogo de Variaveis'!U54="","",SUM('Catalogo de Variaveis'!U51:U54))</f>
        <v/>
      </c>
      <c r="C49" s="15" t="str">
        <f>IFERROR(IF($B49="","",AVERAGE('Catalogo de Variaveis'!U54-'Catalogo de Variaveis'!U53,'Catalogo de Variaveis'!U53-'Catalogo de Variaveis'!U52,'Catalogo de Variaveis'!U52-'Catalogo de Variaveis'!U51,'Catalogo de Variaveis'!U51-'Catalogo de Variaveis'!U50)),0)</f>
        <v/>
      </c>
      <c r="D49" s="13" t="str">
        <f t="shared" si="0"/>
        <v/>
      </c>
      <c r="E49" s="10" t="str">
        <f t="shared" si="14"/>
        <v/>
      </c>
      <c r="F49" s="10" t="str">
        <f t="shared" si="15"/>
        <v/>
      </c>
      <c r="G49" s="10" t="str">
        <f t="shared" si="3"/>
        <v/>
      </c>
      <c r="H49" s="10" t="str">
        <f t="shared" si="16"/>
        <v/>
      </c>
      <c r="I49" s="10" t="str">
        <f t="shared" si="5"/>
        <v/>
      </c>
      <c r="J49" s="14" t="str">
        <f t="shared" si="17"/>
        <v/>
      </c>
      <c r="K49" s="13" t="str">
        <f t="shared" si="7"/>
        <v/>
      </c>
      <c r="L49" s="10" t="str">
        <f t="shared" si="8"/>
        <v/>
      </c>
      <c r="M49" s="10" t="str">
        <f t="shared" si="9"/>
        <v/>
      </c>
      <c r="N49" s="10" t="str">
        <f t="shared" si="10"/>
        <v/>
      </c>
      <c r="O49" s="10" t="str">
        <f t="shared" si="11"/>
        <v/>
      </c>
      <c r="P49" s="10" t="str">
        <f t="shared" si="12"/>
        <v/>
      </c>
      <c r="Q49" s="14" t="str">
        <f t="shared" si="13"/>
        <v/>
      </c>
    </row>
    <row r="50" spans="1:17" x14ac:dyDescent="0.25">
      <c r="A50" s="4">
        <v>46054</v>
      </c>
      <c r="B50" s="5" t="str">
        <f>IF('Catalogo de Variaveis'!U55="","",SUM('Catalogo de Variaveis'!U52:U55))</f>
        <v/>
      </c>
      <c r="C50" s="15" t="str">
        <f>IFERROR(IF($B50="","",AVERAGE('Catalogo de Variaveis'!U55-'Catalogo de Variaveis'!U54,'Catalogo de Variaveis'!U54-'Catalogo de Variaveis'!U53,'Catalogo de Variaveis'!U53-'Catalogo de Variaveis'!U52,'Catalogo de Variaveis'!U52-'Catalogo de Variaveis'!U51)),0)</f>
        <v/>
      </c>
      <c r="D50" s="13" t="str">
        <f t="shared" si="0"/>
        <v/>
      </c>
      <c r="E50" s="10" t="str">
        <f t="shared" si="14"/>
        <v/>
      </c>
      <c r="F50" s="10" t="str">
        <f t="shared" si="15"/>
        <v/>
      </c>
      <c r="G50" s="10" t="str">
        <f t="shared" si="3"/>
        <v/>
      </c>
      <c r="H50" s="10" t="str">
        <f t="shared" si="16"/>
        <v/>
      </c>
      <c r="I50" s="10" t="str">
        <f t="shared" si="5"/>
        <v/>
      </c>
      <c r="J50" s="14" t="str">
        <f t="shared" si="17"/>
        <v/>
      </c>
      <c r="K50" s="13" t="str">
        <f t="shared" si="7"/>
        <v/>
      </c>
      <c r="L50" s="10" t="str">
        <f t="shared" si="8"/>
        <v/>
      </c>
      <c r="M50" s="10" t="str">
        <f t="shared" si="9"/>
        <v/>
      </c>
      <c r="N50" s="10" t="str">
        <f t="shared" si="10"/>
        <v/>
      </c>
      <c r="O50" s="10" t="str">
        <f t="shared" si="11"/>
        <v/>
      </c>
      <c r="P50" s="10" t="str">
        <f t="shared" si="12"/>
        <v/>
      </c>
      <c r="Q50" s="14" t="str">
        <f t="shared" si="13"/>
        <v/>
      </c>
    </row>
    <row r="51" spans="1:17" x14ac:dyDescent="0.25">
      <c r="A51" s="4">
        <v>46082</v>
      </c>
      <c r="B51" s="5" t="str">
        <f>IF('Catalogo de Variaveis'!U56="","",SUM('Catalogo de Variaveis'!U53:U56))</f>
        <v/>
      </c>
      <c r="C51" s="15" t="str">
        <f>IFERROR(IF($B51="","",AVERAGE('Catalogo de Variaveis'!U56-'Catalogo de Variaveis'!U55,'Catalogo de Variaveis'!U55-'Catalogo de Variaveis'!U54,'Catalogo de Variaveis'!U54-'Catalogo de Variaveis'!U53,'Catalogo de Variaveis'!U53-'Catalogo de Variaveis'!U52)),0)</f>
        <v/>
      </c>
      <c r="D51" s="13" t="str">
        <f t="shared" si="0"/>
        <v/>
      </c>
      <c r="E51" s="10" t="str">
        <f t="shared" si="14"/>
        <v/>
      </c>
      <c r="F51" s="10" t="str">
        <f t="shared" si="15"/>
        <v/>
      </c>
      <c r="G51" s="10" t="str">
        <f t="shared" si="3"/>
        <v/>
      </c>
      <c r="H51" s="10" t="str">
        <f t="shared" si="16"/>
        <v/>
      </c>
      <c r="I51" s="10" t="str">
        <f t="shared" si="5"/>
        <v/>
      </c>
      <c r="J51" s="14" t="str">
        <f t="shared" si="17"/>
        <v/>
      </c>
      <c r="K51" s="13" t="str">
        <f t="shared" si="7"/>
        <v/>
      </c>
      <c r="L51" s="10" t="str">
        <f t="shared" si="8"/>
        <v/>
      </c>
      <c r="M51" s="10" t="str">
        <f t="shared" si="9"/>
        <v/>
      </c>
      <c r="N51" s="10" t="str">
        <f t="shared" si="10"/>
        <v/>
      </c>
      <c r="O51" s="10" t="str">
        <f t="shared" si="11"/>
        <v/>
      </c>
      <c r="P51" s="10" t="str">
        <f t="shared" si="12"/>
        <v/>
      </c>
      <c r="Q51" s="14" t="str">
        <f t="shared" si="13"/>
        <v/>
      </c>
    </row>
    <row r="52" spans="1:17" x14ac:dyDescent="0.25">
      <c r="A52" s="4">
        <v>46113</v>
      </c>
      <c r="B52" s="5" t="str">
        <f>IF('Catalogo de Variaveis'!U57="","",SUM('Catalogo de Variaveis'!U54:U57))</f>
        <v/>
      </c>
      <c r="C52" s="15" t="str">
        <f>IFERROR(IF($B52="","",AVERAGE('Catalogo de Variaveis'!U57-'Catalogo de Variaveis'!U56,'Catalogo de Variaveis'!U56-'Catalogo de Variaveis'!U55,'Catalogo de Variaveis'!U55-'Catalogo de Variaveis'!U54,'Catalogo de Variaveis'!U54-'Catalogo de Variaveis'!U53)),0)</f>
        <v/>
      </c>
      <c r="D52" s="13" t="str">
        <f t="shared" si="0"/>
        <v/>
      </c>
      <c r="E52" s="10" t="str">
        <f t="shared" si="14"/>
        <v/>
      </c>
      <c r="F52" s="10" t="str">
        <f t="shared" si="15"/>
        <v/>
      </c>
      <c r="G52" s="10" t="str">
        <f t="shared" si="3"/>
        <v/>
      </c>
      <c r="H52" s="10" t="str">
        <f t="shared" si="16"/>
        <v/>
      </c>
      <c r="I52" s="10" t="str">
        <f t="shared" si="5"/>
        <v/>
      </c>
      <c r="J52" s="14" t="str">
        <f t="shared" si="17"/>
        <v/>
      </c>
      <c r="K52" s="13" t="str">
        <f t="shared" si="7"/>
        <v/>
      </c>
      <c r="L52" s="10" t="str">
        <f t="shared" si="8"/>
        <v/>
      </c>
      <c r="M52" s="10" t="str">
        <f t="shared" si="9"/>
        <v/>
      </c>
      <c r="N52" s="10" t="str">
        <f t="shared" si="10"/>
        <v/>
      </c>
      <c r="O52" s="10" t="str">
        <f t="shared" si="11"/>
        <v/>
      </c>
      <c r="P52" s="10" t="str">
        <f t="shared" si="12"/>
        <v/>
      </c>
      <c r="Q52" s="14" t="str">
        <f t="shared" si="13"/>
        <v/>
      </c>
    </row>
    <row r="53" spans="1:17" x14ac:dyDescent="0.25">
      <c r="A53" s="4">
        <v>46143</v>
      </c>
      <c r="B53" s="5" t="str">
        <f>IF('Catalogo de Variaveis'!U58="","",SUM('Catalogo de Variaveis'!U55:U58))</f>
        <v/>
      </c>
      <c r="C53" s="15" t="str">
        <f>IFERROR(IF($B53="","",AVERAGE('Catalogo de Variaveis'!U58-'Catalogo de Variaveis'!U57,'Catalogo de Variaveis'!U57-'Catalogo de Variaveis'!U56,'Catalogo de Variaveis'!U56-'Catalogo de Variaveis'!U55,'Catalogo de Variaveis'!U55-'Catalogo de Variaveis'!U54)),0)</f>
        <v/>
      </c>
      <c r="D53" s="13" t="str">
        <f t="shared" si="0"/>
        <v/>
      </c>
      <c r="E53" s="10" t="str">
        <f t="shared" si="14"/>
        <v/>
      </c>
      <c r="F53" s="10" t="str">
        <f t="shared" si="15"/>
        <v/>
      </c>
      <c r="G53" s="10" t="str">
        <f t="shared" si="3"/>
        <v/>
      </c>
      <c r="H53" s="10" t="str">
        <f t="shared" si="16"/>
        <v/>
      </c>
      <c r="I53" s="10" t="str">
        <f t="shared" si="5"/>
        <v/>
      </c>
      <c r="J53" s="14" t="str">
        <f t="shared" si="17"/>
        <v/>
      </c>
      <c r="K53" s="13" t="str">
        <f t="shared" si="7"/>
        <v/>
      </c>
      <c r="L53" s="10" t="str">
        <f t="shared" si="8"/>
        <v/>
      </c>
      <c r="M53" s="10" t="str">
        <f t="shared" si="9"/>
        <v/>
      </c>
      <c r="N53" s="10" t="str">
        <f t="shared" si="10"/>
        <v/>
      </c>
      <c r="O53" s="10" t="str">
        <f t="shared" si="11"/>
        <v/>
      </c>
      <c r="P53" s="10" t="str">
        <f t="shared" si="12"/>
        <v/>
      </c>
      <c r="Q53" s="14" t="str">
        <f t="shared" si="13"/>
        <v/>
      </c>
    </row>
    <row r="54" spans="1:17" x14ac:dyDescent="0.25">
      <c r="A54" s="4">
        <v>46174</v>
      </c>
      <c r="B54" s="5" t="str">
        <f>IF('Catalogo de Variaveis'!U59="","",SUM('Catalogo de Variaveis'!U56:U59))</f>
        <v/>
      </c>
      <c r="C54" s="15" t="str">
        <f>IFERROR(IF($B54="","",AVERAGE('Catalogo de Variaveis'!U59-'Catalogo de Variaveis'!U58,'Catalogo de Variaveis'!U58-'Catalogo de Variaveis'!U57,'Catalogo de Variaveis'!U57-'Catalogo de Variaveis'!U56,'Catalogo de Variaveis'!U56-'Catalogo de Variaveis'!U55)),0)</f>
        <v/>
      </c>
      <c r="D54" s="13" t="str">
        <f t="shared" si="0"/>
        <v/>
      </c>
      <c r="E54" s="10" t="str">
        <f t="shared" si="14"/>
        <v/>
      </c>
      <c r="F54" s="10" t="str">
        <f t="shared" si="15"/>
        <v/>
      </c>
      <c r="G54" s="10" t="str">
        <f t="shared" si="3"/>
        <v/>
      </c>
      <c r="H54" s="10" t="str">
        <f t="shared" si="16"/>
        <v/>
      </c>
      <c r="I54" s="10" t="str">
        <f t="shared" si="5"/>
        <v/>
      </c>
      <c r="J54" s="14" t="str">
        <f t="shared" si="17"/>
        <v/>
      </c>
      <c r="K54" s="13" t="str">
        <f t="shared" si="7"/>
        <v/>
      </c>
      <c r="L54" s="10" t="str">
        <f t="shared" si="8"/>
        <v/>
      </c>
      <c r="M54" s="10" t="str">
        <f t="shared" si="9"/>
        <v/>
      </c>
      <c r="N54" s="10" t="str">
        <f t="shared" si="10"/>
        <v/>
      </c>
      <c r="O54" s="10" t="str">
        <f t="shared" si="11"/>
        <v/>
      </c>
      <c r="P54" s="10" t="str">
        <f t="shared" si="12"/>
        <v/>
      </c>
      <c r="Q54" s="14" t="str">
        <f t="shared" si="13"/>
        <v/>
      </c>
    </row>
    <row r="55" spans="1:17" x14ac:dyDescent="0.25">
      <c r="A55" s="4">
        <v>46204</v>
      </c>
      <c r="B55" s="5" t="str">
        <f>IF('Catalogo de Variaveis'!U60="","",SUM('Catalogo de Variaveis'!U57:U60))</f>
        <v/>
      </c>
      <c r="C55" s="15" t="str">
        <f>IFERROR(IF($B55="","",AVERAGE('Catalogo de Variaveis'!U60-'Catalogo de Variaveis'!U59,'Catalogo de Variaveis'!U59-'Catalogo de Variaveis'!U58,'Catalogo de Variaveis'!U58-'Catalogo de Variaveis'!U57,'Catalogo de Variaveis'!U57-'Catalogo de Variaveis'!U56)),0)</f>
        <v/>
      </c>
      <c r="D55" s="13" t="str">
        <f t="shared" si="0"/>
        <v/>
      </c>
      <c r="E55" s="10" t="str">
        <f t="shared" si="14"/>
        <v/>
      </c>
      <c r="F55" s="10" t="str">
        <f t="shared" si="15"/>
        <v/>
      </c>
      <c r="G55" s="10" t="str">
        <f t="shared" si="3"/>
        <v/>
      </c>
      <c r="H55" s="10" t="str">
        <f t="shared" si="16"/>
        <v/>
      </c>
      <c r="I55" s="10" t="str">
        <f t="shared" si="5"/>
        <v/>
      </c>
      <c r="J55" s="14" t="str">
        <f t="shared" si="17"/>
        <v/>
      </c>
      <c r="K55" s="13" t="str">
        <f t="shared" si="7"/>
        <v/>
      </c>
      <c r="L55" s="10" t="str">
        <f t="shared" si="8"/>
        <v/>
      </c>
      <c r="M55" s="10" t="str">
        <f t="shared" si="9"/>
        <v/>
      </c>
      <c r="N55" s="10" t="str">
        <f t="shared" si="10"/>
        <v/>
      </c>
      <c r="O55" s="10" t="str">
        <f t="shared" si="11"/>
        <v/>
      </c>
      <c r="P55" s="10" t="str">
        <f t="shared" si="12"/>
        <v/>
      </c>
      <c r="Q55" s="14" t="str">
        <f t="shared" si="13"/>
        <v/>
      </c>
    </row>
    <row r="56" spans="1:17" x14ac:dyDescent="0.25">
      <c r="A56" s="4">
        <v>46235</v>
      </c>
      <c r="B56" s="5" t="str">
        <f>IF('Catalogo de Variaveis'!U61="","",SUM('Catalogo de Variaveis'!U58:U61))</f>
        <v/>
      </c>
      <c r="C56" s="15" t="str">
        <f>IFERROR(IF($B56="","",AVERAGE('Catalogo de Variaveis'!U61-'Catalogo de Variaveis'!U60,'Catalogo de Variaveis'!U60-'Catalogo de Variaveis'!U59,'Catalogo de Variaveis'!U59-'Catalogo de Variaveis'!U58,'Catalogo de Variaveis'!U58-'Catalogo de Variaveis'!U57)),0)</f>
        <v/>
      </c>
      <c r="D56" s="13" t="str">
        <f t="shared" si="0"/>
        <v/>
      </c>
      <c r="E56" s="10" t="str">
        <f t="shared" si="14"/>
        <v/>
      </c>
      <c r="F56" s="10" t="str">
        <f t="shared" si="15"/>
        <v/>
      </c>
      <c r="G56" s="10" t="str">
        <f t="shared" si="3"/>
        <v/>
      </c>
      <c r="H56" s="10" t="str">
        <f t="shared" si="16"/>
        <v/>
      </c>
      <c r="I56" s="10" t="str">
        <f t="shared" si="5"/>
        <v/>
      </c>
      <c r="J56" s="14" t="str">
        <f t="shared" si="17"/>
        <v/>
      </c>
      <c r="K56" s="13" t="str">
        <f t="shared" si="7"/>
        <v/>
      </c>
      <c r="L56" s="10" t="str">
        <f t="shared" si="8"/>
        <v/>
      </c>
      <c r="M56" s="10" t="str">
        <f t="shared" si="9"/>
        <v/>
      </c>
      <c r="N56" s="10" t="str">
        <f t="shared" si="10"/>
        <v/>
      </c>
      <c r="O56" s="10" t="str">
        <f t="shared" si="11"/>
        <v/>
      </c>
      <c r="P56" s="10" t="str">
        <f t="shared" si="12"/>
        <v/>
      </c>
      <c r="Q56" s="14" t="str">
        <f t="shared" si="13"/>
        <v/>
      </c>
    </row>
    <row r="57" spans="1:17" x14ac:dyDescent="0.25">
      <c r="A57" s="4">
        <v>46266</v>
      </c>
      <c r="B57" s="5" t="str">
        <f>IF('Catalogo de Variaveis'!U62="","",SUM('Catalogo de Variaveis'!U59:U62))</f>
        <v/>
      </c>
      <c r="C57" s="15" t="str">
        <f>IFERROR(IF($B57="","",AVERAGE('Catalogo de Variaveis'!U62-'Catalogo de Variaveis'!U61,'Catalogo de Variaveis'!U61-'Catalogo de Variaveis'!U60,'Catalogo de Variaveis'!U60-'Catalogo de Variaveis'!U59,'Catalogo de Variaveis'!U59-'Catalogo de Variaveis'!U58)),0)</f>
        <v/>
      </c>
      <c r="D57" s="13" t="str">
        <f t="shared" si="0"/>
        <v/>
      </c>
      <c r="E57" s="10" t="str">
        <f t="shared" si="14"/>
        <v/>
      </c>
      <c r="F57" s="10" t="str">
        <f t="shared" si="15"/>
        <v/>
      </c>
      <c r="G57" s="10" t="str">
        <f t="shared" si="3"/>
        <v/>
      </c>
      <c r="H57" s="10" t="str">
        <f t="shared" si="16"/>
        <v/>
      </c>
      <c r="I57" s="10" t="str">
        <f t="shared" si="5"/>
        <v/>
      </c>
      <c r="J57" s="14" t="str">
        <f t="shared" si="17"/>
        <v/>
      </c>
      <c r="K57" s="13" t="str">
        <f t="shared" si="7"/>
        <v/>
      </c>
      <c r="L57" s="10" t="str">
        <f t="shared" si="8"/>
        <v/>
      </c>
      <c r="M57" s="10" t="str">
        <f t="shared" si="9"/>
        <v/>
      </c>
      <c r="N57" s="10" t="str">
        <f t="shared" si="10"/>
        <v/>
      </c>
      <c r="O57" s="10" t="str">
        <f t="shared" si="11"/>
        <v/>
      </c>
      <c r="P57" s="10" t="str">
        <f t="shared" si="12"/>
        <v/>
      </c>
      <c r="Q57" s="14" t="str">
        <f t="shared" si="13"/>
        <v/>
      </c>
    </row>
    <row r="58" spans="1:17" x14ac:dyDescent="0.25">
      <c r="A58" s="4">
        <v>46296</v>
      </c>
      <c r="B58" s="5" t="str">
        <f>IF('Catalogo de Variaveis'!U63="","",SUM('Catalogo de Variaveis'!U60:U63))</f>
        <v/>
      </c>
      <c r="C58" s="15" t="str">
        <f>IFERROR(IF($B58="","",AVERAGE('Catalogo de Variaveis'!U63-'Catalogo de Variaveis'!U62,'Catalogo de Variaveis'!U62-'Catalogo de Variaveis'!U61,'Catalogo de Variaveis'!U61-'Catalogo de Variaveis'!U60,'Catalogo de Variaveis'!U60-'Catalogo de Variaveis'!U59)),0)</f>
        <v/>
      </c>
      <c r="D58" s="13" t="str">
        <f t="shared" si="0"/>
        <v/>
      </c>
      <c r="E58" s="10" t="str">
        <f t="shared" si="14"/>
        <v/>
      </c>
      <c r="F58" s="10" t="str">
        <f t="shared" si="15"/>
        <v/>
      </c>
      <c r="G58" s="10" t="str">
        <f t="shared" si="3"/>
        <v/>
      </c>
      <c r="H58" s="10" t="str">
        <f t="shared" si="16"/>
        <v/>
      </c>
      <c r="I58" s="10" t="str">
        <f t="shared" si="5"/>
        <v/>
      </c>
      <c r="J58" s="14" t="str">
        <f t="shared" si="17"/>
        <v/>
      </c>
      <c r="K58" s="13" t="str">
        <f t="shared" si="7"/>
        <v/>
      </c>
      <c r="L58" s="10" t="str">
        <f t="shared" si="8"/>
        <v/>
      </c>
      <c r="M58" s="10" t="str">
        <f t="shared" si="9"/>
        <v/>
      </c>
      <c r="N58" s="10" t="str">
        <f t="shared" si="10"/>
        <v/>
      </c>
      <c r="O58" s="10" t="str">
        <f t="shared" si="11"/>
        <v/>
      </c>
      <c r="P58" s="10" t="str">
        <f t="shared" si="12"/>
        <v/>
      </c>
      <c r="Q58" s="14" t="str">
        <f t="shared" si="13"/>
        <v/>
      </c>
    </row>
    <row r="59" spans="1:17" x14ac:dyDescent="0.25">
      <c r="A59" s="4">
        <v>46327</v>
      </c>
      <c r="B59" s="5" t="str">
        <f>IF('Catalogo de Variaveis'!U64="","",SUM('Catalogo de Variaveis'!U61:U64))</f>
        <v/>
      </c>
      <c r="C59" s="15" t="str">
        <f>IFERROR(IF($B59="","",AVERAGE('Catalogo de Variaveis'!U64-'Catalogo de Variaveis'!U63,'Catalogo de Variaveis'!U63-'Catalogo de Variaveis'!U62,'Catalogo de Variaveis'!U62-'Catalogo de Variaveis'!U61,'Catalogo de Variaveis'!U61-'Catalogo de Variaveis'!U60)),0)</f>
        <v/>
      </c>
      <c r="D59" s="13" t="str">
        <f t="shared" si="0"/>
        <v/>
      </c>
      <c r="E59" s="10" t="str">
        <f t="shared" si="14"/>
        <v/>
      </c>
      <c r="F59" s="10" t="str">
        <f t="shared" si="15"/>
        <v/>
      </c>
      <c r="G59" s="10" t="str">
        <f t="shared" si="3"/>
        <v/>
      </c>
      <c r="H59" s="10" t="str">
        <f t="shared" si="16"/>
        <v/>
      </c>
      <c r="I59" s="10" t="str">
        <f t="shared" si="5"/>
        <v/>
      </c>
      <c r="J59" s="14" t="str">
        <f t="shared" si="17"/>
        <v/>
      </c>
      <c r="K59" s="13" t="str">
        <f t="shared" si="7"/>
        <v/>
      </c>
      <c r="L59" s="10" t="str">
        <f t="shared" si="8"/>
        <v/>
      </c>
      <c r="M59" s="10" t="str">
        <f t="shared" si="9"/>
        <v/>
      </c>
      <c r="N59" s="10" t="str">
        <f t="shared" si="10"/>
        <v/>
      </c>
      <c r="O59" s="10" t="str">
        <f t="shared" si="11"/>
        <v/>
      </c>
      <c r="P59" s="10" t="str">
        <f t="shared" si="12"/>
        <v/>
      </c>
      <c r="Q59" s="14" t="str">
        <f t="shared" si="13"/>
        <v/>
      </c>
    </row>
    <row r="60" spans="1:17" x14ac:dyDescent="0.25">
      <c r="A60" s="4">
        <v>46357</v>
      </c>
      <c r="B60" s="5" t="str">
        <f>IF('Catalogo de Variaveis'!U65="","",SUM('Catalogo de Variaveis'!U62:U65))</f>
        <v/>
      </c>
      <c r="C60" s="15" t="str">
        <f>IFERROR(IF($B60="","",AVERAGE('Catalogo de Variaveis'!U65-'Catalogo de Variaveis'!U64,'Catalogo de Variaveis'!U64-'Catalogo de Variaveis'!U63,'Catalogo de Variaveis'!U63-'Catalogo de Variaveis'!U62,'Catalogo de Variaveis'!U62-'Catalogo de Variaveis'!U61)),0)</f>
        <v/>
      </c>
      <c r="D60" s="13" t="str">
        <f>IF($B60="","",IF(OR($J$1="",$J$2=""),$B$1-3*$B$2,$J$1-3*$J$2))</f>
        <v/>
      </c>
      <c r="E60" s="10" t="str">
        <f t="shared" si="14"/>
        <v/>
      </c>
      <c r="F60" s="10" t="str">
        <f t="shared" si="15"/>
        <v/>
      </c>
      <c r="G60" s="10" t="str">
        <f>IF($B60="","",IF(OR($J$1="",$J$2=""),$B$1,$J$1))</f>
        <v/>
      </c>
      <c r="H60" s="10" t="str">
        <f t="shared" si="16"/>
        <v/>
      </c>
      <c r="I60" s="10" t="str">
        <f>IF($B60="","",IF(OR($J$1="",$J$2=""),$B$1+2*$B$2,$J$1+2*$J$2))</f>
        <v/>
      </c>
      <c r="J60" s="14" t="str">
        <f t="shared" si="17"/>
        <v/>
      </c>
      <c r="K60" s="13" t="str">
        <f t="shared" si="7"/>
        <v/>
      </c>
      <c r="L60" s="10" t="str">
        <f t="shared" si="8"/>
        <v/>
      </c>
      <c r="M60" s="10" t="str">
        <f t="shared" si="9"/>
        <v/>
      </c>
      <c r="N60" s="10" t="str">
        <f t="shared" si="10"/>
        <v/>
      </c>
      <c r="O60" s="10" t="str">
        <f t="shared" si="11"/>
        <v/>
      </c>
      <c r="P60" s="10" t="str">
        <f t="shared" si="12"/>
        <v/>
      </c>
      <c r="Q60" s="14" t="str">
        <f t="shared" si="13"/>
        <v/>
      </c>
    </row>
    <row r="61" spans="1:17" x14ac:dyDescent="0.25">
      <c r="A61" s="4">
        <v>46388</v>
      </c>
      <c r="B61" s="5" t="str">
        <f>IF('Catalogo de Variaveis'!U66="","",SUM('Catalogo de Variaveis'!U63:U66))</f>
        <v/>
      </c>
      <c r="C61" s="15" t="str">
        <f>IFERROR(IF($B61="","",AVERAGE('Catalogo de Variaveis'!U66-'Catalogo de Variaveis'!U65,'Catalogo de Variaveis'!U65-'Catalogo de Variaveis'!U64,'Catalogo de Variaveis'!U64-'Catalogo de Variaveis'!U63,'Catalogo de Variaveis'!U63-'Catalogo de Variaveis'!U62)),0)</f>
        <v/>
      </c>
      <c r="D61" s="13" t="str">
        <f t="shared" ref="D61:D96" si="18">IF($B61="","",IF(OR($J$1="",$J$2=""),$B$1-3*$B$2,$J$1-3*$J$2))</f>
        <v/>
      </c>
      <c r="E61" s="10" t="str">
        <f t="shared" si="14"/>
        <v/>
      </c>
      <c r="F61" s="10" t="str">
        <f t="shared" si="15"/>
        <v/>
      </c>
      <c r="G61" s="10" t="str">
        <f t="shared" ref="G61:G96" si="19">IF($B61="","",IF(OR($J$1="",$J$2=""),$B$1,$J$1))</f>
        <v/>
      </c>
      <c r="H61" s="10" t="str">
        <f t="shared" si="16"/>
        <v/>
      </c>
      <c r="I61" s="10" t="str">
        <f t="shared" ref="I61:I96" si="20">IF($B61="","",IF(OR($J$1="",$J$2=""),$B$1+2*$B$2,$J$1+2*$J$2))</f>
        <v/>
      </c>
      <c r="J61" s="14" t="str">
        <f t="shared" si="17"/>
        <v/>
      </c>
      <c r="K61" s="13" t="str">
        <f t="shared" si="7"/>
        <v/>
      </c>
      <c r="L61" s="10" t="str">
        <f t="shared" si="8"/>
        <v/>
      </c>
      <c r="M61" s="10" t="str">
        <f t="shared" si="9"/>
        <v/>
      </c>
      <c r="N61" s="10" t="str">
        <f t="shared" si="10"/>
        <v/>
      </c>
      <c r="O61" s="10" t="str">
        <f t="shared" si="11"/>
        <v/>
      </c>
      <c r="P61" s="10" t="str">
        <f t="shared" si="12"/>
        <v/>
      </c>
      <c r="Q61" s="14" t="str">
        <f t="shared" si="13"/>
        <v/>
      </c>
    </row>
    <row r="62" spans="1:17" x14ac:dyDescent="0.25">
      <c r="A62" s="4">
        <v>46419</v>
      </c>
      <c r="B62" s="5" t="str">
        <f>IF('Catalogo de Variaveis'!U67="","",SUM('Catalogo de Variaveis'!U64:U67))</f>
        <v/>
      </c>
      <c r="C62" s="15" t="str">
        <f>IFERROR(IF($B62="","",AVERAGE('Catalogo de Variaveis'!U67-'Catalogo de Variaveis'!U66,'Catalogo de Variaveis'!U66-'Catalogo de Variaveis'!U65,'Catalogo de Variaveis'!U65-'Catalogo de Variaveis'!U64,'Catalogo de Variaveis'!U64-'Catalogo de Variaveis'!U63)),0)</f>
        <v/>
      </c>
      <c r="D62" s="13" t="str">
        <f t="shared" si="18"/>
        <v/>
      </c>
      <c r="E62" s="10" t="str">
        <f t="shared" si="14"/>
        <v/>
      </c>
      <c r="F62" s="10" t="str">
        <f t="shared" si="15"/>
        <v/>
      </c>
      <c r="G62" s="10" t="str">
        <f t="shared" si="19"/>
        <v/>
      </c>
      <c r="H62" s="10" t="str">
        <f t="shared" si="16"/>
        <v/>
      </c>
      <c r="I62" s="10" t="str">
        <f t="shared" si="20"/>
        <v/>
      </c>
      <c r="J62" s="14" t="str">
        <f t="shared" si="17"/>
        <v/>
      </c>
      <c r="K62" s="13" t="str">
        <f t="shared" si="7"/>
        <v/>
      </c>
      <c r="L62" s="10" t="str">
        <f t="shared" si="8"/>
        <v/>
      </c>
      <c r="M62" s="10" t="str">
        <f t="shared" si="9"/>
        <v/>
      </c>
      <c r="N62" s="10" t="str">
        <f t="shared" si="10"/>
        <v/>
      </c>
      <c r="O62" s="10" t="str">
        <f t="shared" si="11"/>
        <v/>
      </c>
      <c r="P62" s="10" t="str">
        <f t="shared" si="12"/>
        <v/>
      </c>
      <c r="Q62" s="14" t="str">
        <f t="shared" si="13"/>
        <v/>
      </c>
    </row>
    <row r="63" spans="1:17" x14ac:dyDescent="0.25">
      <c r="A63" s="4">
        <v>46447</v>
      </c>
      <c r="B63" s="5" t="str">
        <f>IF('Catalogo de Variaveis'!U68="","",SUM('Catalogo de Variaveis'!U65:U68))</f>
        <v/>
      </c>
      <c r="C63" s="15" t="str">
        <f>IFERROR(IF($B63="","",AVERAGE('Catalogo de Variaveis'!U68-'Catalogo de Variaveis'!U67,'Catalogo de Variaveis'!U67-'Catalogo de Variaveis'!U66,'Catalogo de Variaveis'!U66-'Catalogo de Variaveis'!U65,'Catalogo de Variaveis'!U65-'Catalogo de Variaveis'!U64)),0)</f>
        <v/>
      </c>
      <c r="D63" s="13" t="str">
        <f t="shared" si="18"/>
        <v/>
      </c>
      <c r="E63" s="10" t="str">
        <f t="shared" si="14"/>
        <v/>
      </c>
      <c r="F63" s="10" t="str">
        <f t="shared" si="15"/>
        <v/>
      </c>
      <c r="G63" s="10" t="str">
        <f t="shared" si="19"/>
        <v/>
      </c>
      <c r="H63" s="10" t="str">
        <f t="shared" si="16"/>
        <v/>
      </c>
      <c r="I63" s="10" t="str">
        <f t="shared" si="20"/>
        <v/>
      </c>
      <c r="J63" s="14" t="str">
        <f t="shared" si="17"/>
        <v/>
      </c>
      <c r="K63" s="13" t="str">
        <f t="shared" si="7"/>
        <v/>
      </c>
      <c r="L63" s="10" t="str">
        <f t="shared" si="8"/>
        <v/>
      </c>
      <c r="M63" s="10" t="str">
        <f t="shared" si="9"/>
        <v/>
      </c>
      <c r="N63" s="10" t="str">
        <f t="shared" si="10"/>
        <v/>
      </c>
      <c r="O63" s="10" t="str">
        <f t="shared" si="11"/>
        <v/>
      </c>
      <c r="P63" s="10" t="str">
        <f t="shared" si="12"/>
        <v/>
      </c>
      <c r="Q63" s="14" t="str">
        <f t="shared" si="13"/>
        <v/>
      </c>
    </row>
    <row r="64" spans="1:17" x14ac:dyDescent="0.25">
      <c r="A64" s="4">
        <v>46478</v>
      </c>
      <c r="B64" s="5" t="str">
        <f>IF('Catalogo de Variaveis'!U69="","",SUM('Catalogo de Variaveis'!U66:U69))</f>
        <v/>
      </c>
      <c r="C64" s="15" t="str">
        <f>IFERROR(IF($B64="","",AVERAGE('Catalogo de Variaveis'!U69-'Catalogo de Variaveis'!U68,'Catalogo de Variaveis'!U68-'Catalogo de Variaveis'!U67,'Catalogo de Variaveis'!U67-'Catalogo de Variaveis'!U66,'Catalogo de Variaveis'!U66-'Catalogo de Variaveis'!U65)),0)</f>
        <v/>
      </c>
      <c r="D64" s="13" t="str">
        <f t="shared" si="18"/>
        <v/>
      </c>
      <c r="E64" s="10" t="str">
        <f t="shared" si="14"/>
        <v/>
      </c>
      <c r="F64" s="10" t="str">
        <f t="shared" si="15"/>
        <v/>
      </c>
      <c r="G64" s="10" t="str">
        <f t="shared" si="19"/>
        <v/>
      </c>
      <c r="H64" s="10" t="str">
        <f t="shared" si="16"/>
        <v/>
      </c>
      <c r="I64" s="10" t="str">
        <f t="shared" si="20"/>
        <v/>
      </c>
      <c r="J64" s="14" t="str">
        <f t="shared" si="17"/>
        <v/>
      </c>
      <c r="K64" s="13" t="str">
        <f t="shared" si="7"/>
        <v/>
      </c>
      <c r="L64" s="10" t="str">
        <f t="shared" si="8"/>
        <v/>
      </c>
      <c r="M64" s="10" t="str">
        <f t="shared" si="9"/>
        <v/>
      </c>
      <c r="N64" s="10" t="str">
        <f t="shared" si="10"/>
        <v/>
      </c>
      <c r="O64" s="10" t="str">
        <f t="shared" si="11"/>
        <v/>
      </c>
      <c r="P64" s="10" t="str">
        <f t="shared" si="12"/>
        <v/>
      </c>
      <c r="Q64" s="14" t="str">
        <f t="shared" si="13"/>
        <v/>
      </c>
    </row>
    <row r="65" spans="1:17" x14ac:dyDescent="0.25">
      <c r="A65" s="4">
        <v>46508</v>
      </c>
      <c r="B65" s="5" t="str">
        <f>IF('Catalogo de Variaveis'!U70="","",SUM('Catalogo de Variaveis'!U67:U70))</f>
        <v/>
      </c>
      <c r="C65" s="15" t="str">
        <f>IFERROR(IF($B65="","",AVERAGE('Catalogo de Variaveis'!U70-'Catalogo de Variaveis'!U69,'Catalogo de Variaveis'!U69-'Catalogo de Variaveis'!U68,'Catalogo de Variaveis'!U68-'Catalogo de Variaveis'!U67,'Catalogo de Variaveis'!U67-'Catalogo de Variaveis'!U66)),0)</f>
        <v/>
      </c>
      <c r="D65" s="13" t="str">
        <f t="shared" si="18"/>
        <v/>
      </c>
      <c r="E65" s="10" t="str">
        <f t="shared" si="14"/>
        <v/>
      </c>
      <c r="F65" s="10" t="str">
        <f t="shared" si="15"/>
        <v/>
      </c>
      <c r="G65" s="10" t="str">
        <f t="shared" si="19"/>
        <v/>
      </c>
      <c r="H65" s="10" t="str">
        <f t="shared" si="16"/>
        <v/>
      </c>
      <c r="I65" s="10" t="str">
        <f t="shared" si="20"/>
        <v/>
      </c>
      <c r="J65" s="14" t="str">
        <f t="shared" si="17"/>
        <v/>
      </c>
      <c r="K65" s="13" t="str">
        <f t="shared" si="7"/>
        <v/>
      </c>
      <c r="L65" s="10" t="str">
        <f t="shared" si="8"/>
        <v/>
      </c>
      <c r="M65" s="10" t="str">
        <f t="shared" si="9"/>
        <v/>
      </c>
      <c r="N65" s="10" t="str">
        <f t="shared" si="10"/>
        <v/>
      </c>
      <c r="O65" s="10" t="str">
        <f t="shared" si="11"/>
        <v/>
      </c>
      <c r="P65" s="10" t="str">
        <f t="shared" si="12"/>
        <v/>
      </c>
      <c r="Q65" s="14" t="str">
        <f t="shared" si="13"/>
        <v/>
      </c>
    </row>
    <row r="66" spans="1:17" x14ac:dyDescent="0.25">
      <c r="A66" s="4">
        <v>46539</v>
      </c>
      <c r="B66" s="5" t="str">
        <f>IF('Catalogo de Variaveis'!U71="","",SUM('Catalogo de Variaveis'!U68:U71))</f>
        <v/>
      </c>
      <c r="C66" s="15" t="str">
        <f>IFERROR(IF($B66="","",AVERAGE('Catalogo de Variaveis'!U71-'Catalogo de Variaveis'!U70,'Catalogo de Variaveis'!U70-'Catalogo de Variaveis'!U69,'Catalogo de Variaveis'!U69-'Catalogo de Variaveis'!U68,'Catalogo de Variaveis'!U68-'Catalogo de Variaveis'!U67)),0)</f>
        <v/>
      </c>
      <c r="D66" s="13" t="str">
        <f t="shared" si="18"/>
        <v/>
      </c>
      <c r="E66" s="10" t="str">
        <f t="shared" si="14"/>
        <v/>
      </c>
      <c r="F66" s="10" t="str">
        <f t="shared" si="15"/>
        <v/>
      </c>
      <c r="G66" s="10" t="str">
        <f t="shared" si="19"/>
        <v/>
      </c>
      <c r="H66" s="10" t="str">
        <f t="shared" si="16"/>
        <v/>
      </c>
      <c r="I66" s="10" t="str">
        <f t="shared" si="20"/>
        <v/>
      </c>
      <c r="J66" s="14" t="str">
        <f t="shared" si="17"/>
        <v/>
      </c>
      <c r="K66" s="13" t="str">
        <f t="shared" si="7"/>
        <v/>
      </c>
      <c r="L66" s="10" t="str">
        <f t="shared" si="8"/>
        <v/>
      </c>
      <c r="M66" s="10" t="str">
        <f t="shared" si="9"/>
        <v/>
      </c>
      <c r="N66" s="10" t="str">
        <f t="shared" si="10"/>
        <v/>
      </c>
      <c r="O66" s="10" t="str">
        <f t="shared" si="11"/>
        <v/>
      </c>
      <c r="P66" s="10" t="str">
        <f t="shared" si="12"/>
        <v/>
      </c>
      <c r="Q66" s="14" t="str">
        <f t="shared" si="13"/>
        <v/>
      </c>
    </row>
    <row r="67" spans="1:17" x14ac:dyDescent="0.25">
      <c r="A67" s="4">
        <v>46569</v>
      </c>
      <c r="B67" s="5" t="str">
        <f>IF('Catalogo de Variaveis'!U72="","",SUM('Catalogo de Variaveis'!U69:U72))</f>
        <v/>
      </c>
      <c r="C67" s="15" t="str">
        <f>IFERROR(IF($B67="","",AVERAGE('Catalogo de Variaveis'!U72-'Catalogo de Variaveis'!U71,'Catalogo de Variaveis'!U71-'Catalogo de Variaveis'!U70,'Catalogo de Variaveis'!U70-'Catalogo de Variaveis'!U69,'Catalogo de Variaveis'!U69-'Catalogo de Variaveis'!U68)),0)</f>
        <v/>
      </c>
      <c r="D67" s="13" t="str">
        <f t="shared" si="18"/>
        <v/>
      </c>
      <c r="E67" s="10" t="str">
        <f t="shared" si="14"/>
        <v/>
      </c>
      <c r="F67" s="10" t="str">
        <f t="shared" si="15"/>
        <v/>
      </c>
      <c r="G67" s="10" t="str">
        <f t="shared" si="19"/>
        <v/>
      </c>
      <c r="H67" s="10" t="str">
        <f t="shared" si="16"/>
        <v/>
      </c>
      <c r="I67" s="10" t="str">
        <f t="shared" si="20"/>
        <v/>
      </c>
      <c r="J67" s="14" t="str">
        <f t="shared" si="17"/>
        <v/>
      </c>
      <c r="K67" s="13" t="str">
        <f t="shared" si="7"/>
        <v/>
      </c>
      <c r="L67" s="10" t="str">
        <f t="shared" si="8"/>
        <v/>
      </c>
      <c r="M67" s="10" t="str">
        <f t="shared" si="9"/>
        <v/>
      </c>
      <c r="N67" s="10" t="str">
        <f t="shared" si="10"/>
        <v/>
      </c>
      <c r="O67" s="10" t="str">
        <f t="shared" si="11"/>
        <v/>
      </c>
      <c r="P67" s="10" t="str">
        <f t="shared" si="12"/>
        <v/>
      </c>
      <c r="Q67" s="14" t="str">
        <f t="shared" si="13"/>
        <v/>
      </c>
    </row>
    <row r="68" spans="1:17" x14ac:dyDescent="0.25">
      <c r="A68" s="4">
        <v>46600</v>
      </c>
      <c r="B68" s="5" t="str">
        <f>IF('Catalogo de Variaveis'!U73="","",SUM('Catalogo de Variaveis'!U70:U73))</f>
        <v/>
      </c>
      <c r="C68" s="15" t="str">
        <f>IFERROR(IF($B68="","",AVERAGE('Catalogo de Variaveis'!U73-'Catalogo de Variaveis'!U72,'Catalogo de Variaveis'!U72-'Catalogo de Variaveis'!U71,'Catalogo de Variaveis'!U71-'Catalogo de Variaveis'!U70,'Catalogo de Variaveis'!U70-'Catalogo de Variaveis'!U69)),0)</f>
        <v/>
      </c>
      <c r="D68" s="13" t="str">
        <f t="shared" si="18"/>
        <v/>
      </c>
      <c r="E68" s="10" t="str">
        <f t="shared" si="14"/>
        <v/>
      </c>
      <c r="F68" s="10" t="str">
        <f t="shared" si="15"/>
        <v/>
      </c>
      <c r="G68" s="10" t="str">
        <f t="shared" si="19"/>
        <v/>
      </c>
      <c r="H68" s="10" t="str">
        <f t="shared" si="16"/>
        <v/>
      </c>
      <c r="I68" s="10" t="str">
        <f t="shared" si="20"/>
        <v/>
      </c>
      <c r="J68" s="14" t="str">
        <f t="shared" si="17"/>
        <v/>
      </c>
      <c r="K68" s="13" t="str">
        <f t="shared" si="7"/>
        <v/>
      </c>
      <c r="L68" s="10" t="str">
        <f t="shared" si="8"/>
        <v/>
      </c>
      <c r="M68" s="10" t="str">
        <f t="shared" si="9"/>
        <v/>
      </c>
      <c r="N68" s="10" t="str">
        <f t="shared" si="10"/>
        <v/>
      </c>
      <c r="O68" s="10" t="str">
        <f t="shared" si="11"/>
        <v/>
      </c>
      <c r="P68" s="10" t="str">
        <f t="shared" si="12"/>
        <v/>
      </c>
      <c r="Q68" s="14" t="str">
        <f t="shared" si="13"/>
        <v/>
      </c>
    </row>
    <row r="69" spans="1:17" x14ac:dyDescent="0.25">
      <c r="A69" s="4">
        <v>46631</v>
      </c>
      <c r="B69" s="5" t="str">
        <f>IF('Catalogo de Variaveis'!U74="","",SUM('Catalogo de Variaveis'!U71:U74))</f>
        <v/>
      </c>
      <c r="C69" s="15" t="str">
        <f>IFERROR(IF($B69="","",AVERAGE('Catalogo de Variaveis'!U74-'Catalogo de Variaveis'!U73,'Catalogo de Variaveis'!U73-'Catalogo de Variaveis'!U72,'Catalogo de Variaveis'!U72-'Catalogo de Variaveis'!U71,'Catalogo de Variaveis'!U71-'Catalogo de Variaveis'!U70)),0)</f>
        <v/>
      </c>
      <c r="D69" s="13" t="str">
        <f t="shared" si="18"/>
        <v/>
      </c>
      <c r="E69" s="10" t="str">
        <f t="shared" si="14"/>
        <v/>
      </c>
      <c r="F69" s="10" t="str">
        <f t="shared" si="15"/>
        <v/>
      </c>
      <c r="G69" s="10" t="str">
        <f t="shared" si="19"/>
        <v/>
      </c>
      <c r="H69" s="10" t="str">
        <f t="shared" si="16"/>
        <v/>
      </c>
      <c r="I69" s="10" t="str">
        <f t="shared" si="20"/>
        <v/>
      </c>
      <c r="J69" s="14" t="str">
        <f t="shared" si="17"/>
        <v/>
      </c>
      <c r="K69" s="13" t="str">
        <f t="shared" si="7"/>
        <v/>
      </c>
      <c r="L69" s="10" t="str">
        <f t="shared" si="8"/>
        <v/>
      </c>
      <c r="M69" s="10" t="str">
        <f t="shared" si="9"/>
        <v/>
      </c>
      <c r="N69" s="10" t="str">
        <f t="shared" si="10"/>
        <v/>
      </c>
      <c r="O69" s="10" t="str">
        <f t="shared" si="11"/>
        <v/>
      </c>
      <c r="P69" s="10" t="str">
        <f t="shared" si="12"/>
        <v/>
      </c>
      <c r="Q69" s="14" t="str">
        <f t="shared" si="13"/>
        <v/>
      </c>
    </row>
    <row r="70" spans="1:17" x14ac:dyDescent="0.25">
      <c r="A70" s="4">
        <v>46661</v>
      </c>
      <c r="B70" s="5" t="str">
        <f>IF('Catalogo de Variaveis'!U75="","",SUM('Catalogo de Variaveis'!U72:U75))</f>
        <v/>
      </c>
      <c r="C70" s="15" t="str">
        <f>IFERROR(IF($B70="","",AVERAGE('Catalogo de Variaveis'!U75-'Catalogo de Variaveis'!U74,'Catalogo de Variaveis'!U74-'Catalogo de Variaveis'!U73,'Catalogo de Variaveis'!U73-'Catalogo de Variaveis'!U72,'Catalogo de Variaveis'!U72-'Catalogo de Variaveis'!U71)),0)</f>
        <v/>
      </c>
      <c r="D70" s="13" t="str">
        <f t="shared" si="18"/>
        <v/>
      </c>
      <c r="E70" s="10" t="str">
        <f t="shared" si="14"/>
        <v/>
      </c>
      <c r="F70" s="10" t="str">
        <f t="shared" si="15"/>
        <v/>
      </c>
      <c r="G70" s="10" t="str">
        <f t="shared" si="19"/>
        <v/>
      </c>
      <c r="H70" s="10" t="str">
        <f t="shared" si="16"/>
        <v/>
      </c>
      <c r="I70" s="10" t="str">
        <f t="shared" si="20"/>
        <v/>
      </c>
      <c r="J70" s="14" t="str">
        <f t="shared" si="17"/>
        <v/>
      </c>
      <c r="K70" s="13" t="str">
        <f t="shared" si="7"/>
        <v/>
      </c>
      <c r="L70" s="10" t="str">
        <f t="shared" si="8"/>
        <v/>
      </c>
      <c r="M70" s="10" t="str">
        <f t="shared" si="9"/>
        <v/>
      </c>
      <c r="N70" s="10" t="str">
        <f t="shared" si="10"/>
        <v/>
      </c>
      <c r="O70" s="10" t="str">
        <f t="shared" si="11"/>
        <v/>
      </c>
      <c r="P70" s="10" t="str">
        <f t="shared" si="12"/>
        <v/>
      </c>
      <c r="Q70" s="14" t="str">
        <f t="shared" si="13"/>
        <v/>
      </c>
    </row>
    <row r="71" spans="1:17" x14ac:dyDescent="0.25">
      <c r="A71" s="4">
        <v>46692</v>
      </c>
      <c r="B71" s="5" t="str">
        <f>IF('Catalogo de Variaveis'!U76="","",SUM('Catalogo de Variaveis'!U73:U76))</f>
        <v/>
      </c>
      <c r="C71" s="15" t="str">
        <f>IFERROR(IF($B71="","",AVERAGE('Catalogo de Variaveis'!U76-'Catalogo de Variaveis'!U75,'Catalogo de Variaveis'!U75-'Catalogo de Variaveis'!U74,'Catalogo de Variaveis'!U74-'Catalogo de Variaveis'!U73,'Catalogo de Variaveis'!U73-'Catalogo de Variaveis'!U72)),0)</f>
        <v/>
      </c>
      <c r="D71" s="13" t="str">
        <f t="shared" si="18"/>
        <v/>
      </c>
      <c r="E71" s="10" t="str">
        <f t="shared" si="14"/>
        <v/>
      </c>
      <c r="F71" s="10" t="str">
        <f t="shared" si="15"/>
        <v/>
      </c>
      <c r="G71" s="10" t="str">
        <f t="shared" si="19"/>
        <v/>
      </c>
      <c r="H71" s="10" t="str">
        <f t="shared" si="16"/>
        <v/>
      </c>
      <c r="I71" s="10" t="str">
        <f t="shared" si="20"/>
        <v/>
      </c>
      <c r="J71" s="14" t="str">
        <f t="shared" si="17"/>
        <v/>
      </c>
      <c r="K71" s="13" t="str">
        <f t="shared" si="7"/>
        <v/>
      </c>
      <c r="L71" s="10" t="str">
        <f t="shared" si="8"/>
        <v/>
      </c>
      <c r="M71" s="10" t="str">
        <f t="shared" si="9"/>
        <v/>
      </c>
      <c r="N71" s="10" t="str">
        <f t="shared" si="10"/>
        <v/>
      </c>
      <c r="O71" s="10" t="str">
        <f t="shared" si="11"/>
        <v/>
      </c>
      <c r="P71" s="10" t="str">
        <f t="shared" si="12"/>
        <v/>
      </c>
      <c r="Q71" s="14" t="str">
        <f t="shared" si="13"/>
        <v/>
      </c>
    </row>
    <row r="72" spans="1:17" x14ac:dyDescent="0.25">
      <c r="A72" s="4">
        <v>46722</v>
      </c>
      <c r="B72" s="5" t="str">
        <f>IF('Catalogo de Variaveis'!U77="","",SUM('Catalogo de Variaveis'!U74:U77))</f>
        <v/>
      </c>
      <c r="C72" s="15" t="str">
        <f>IFERROR(IF($B72="","",AVERAGE('Catalogo de Variaveis'!U77-'Catalogo de Variaveis'!U76,'Catalogo de Variaveis'!U76-'Catalogo de Variaveis'!U75,'Catalogo de Variaveis'!U75-'Catalogo de Variaveis'!U74,'Catalogo de Variaveis'!U74-'Catalogo de Variaveis'!U73)),0)</f>
        <v/>
      </c>
      <c r="D72" s="13" t="str">
        <f t="shared" si="18"/>
        <v/>
      </c>
      <c r="E72" s="10" t="str">
        <f t="shared" si="14"/>
        <v/>
      </c>
      <c r="F72" s="10" t="str">
        <f t="shared" si="15"/>
        <v/>
      </c>
      <c r="G72" s="10" t="str">
        <f t="shared" si="19"/>
        <v/>
      </c>
      <c r="H72" s="10" t="str">
        <f t="shared" si="16"/>
        <v/>
      </c>
      <c r="I72" s="10" t="str">
        <f t="shared" si="20"/>
        <v/>
      </c>
      <c r="J72" s="14" t="str">
        <f t="shared" si="17"/>
        <v/>
      </c>
      <c r="K72" s="13" t="str">
        <f t="shared" si="7"/>
        <v/>
      </c>
      <c r="L72" s="10" t="str">
        <f t="shared" si="8"/>
        <v/>
      </c>
      <c r="M72" s="10" t="str">
        <f t="shared" si="9"/>
        <v/>
      </c>
      <c r="N72" s="10" t="str">
        <f t="shared" si="10"/>
        <v/>
      </c>
      <c r="O72" s="10" t="str">
        <f t="shared" si="11"/>
        <v/>
      </c>
      <c r="P72" s="10" t="str">
        <f t="shared" si="12"/>
        <v/>
      </c>
      <c r="Q72" s="14" t="str">
        <f t="shared" si="13"/>
        <v/>
      </c>
    </row>
    <row r="73" spans="1:17" x14ac:dyDescent="0.25">
      <c r="A73" s="4">
        <v>46753</v>
      </c>
      <c r="B73" s="5" t="str">
        <f>IF('Catalogo de Variaveis'!U78="","",SUM('Catalogo de Variaveis'!U75:U78))</f>
        <v/>
      </c>
      <c r="C73" s="15" t="str">
        <f>IFERROR(IF($B73="","",AVERAGE('Catalogo de Variaveis'!U78-'Catalogo de Variaveis'!U77,'Catalogo de Variaveis'!U77-'Catalogo de Variaveis'!U76,'Catalogo de Variaveis'!U76-'Catalogo de Variaveis'!U75,'Catalogo de Variaveis'!U75-'Catalogo de Variaveis'!U74)),0)</f>
        <v/>
      </c>
      <c r="D73" s="13" t="str">
        <f t="shared" si="18"/>
        <v/>
      </c>
      <c r="E73" s="10" t="str">
        <f t="shared" si="14"/>
        <v/>
      </c>
      <c r="F73" s="10" t="str">
        <f t="shared" si="15"/>
        <v/>
      </c>
      <c r="G73" s="10" t="str">
        <f t="shared" si="19"/>
        <v/>
      </c>
      <c r="H73" s="10" t="str">
        <f t="shared" si="16"/>
        <v/>
      </c>
      <c r="I73" s="10" t="str">
        <f t="shared" si="20"/>
        <v/>
      </c>
      <c r="J73" s="14" t="str">
        <f t="shared" si="17"/>
        <v/>
      </c>
      <c r="K73" s="13" t="str">
        <f t="shared" ref="K73:K96" si="21">IF($B73="","",$C$1-3*$C$2)</f>
        <v/>
      </c>
      <c r="L73" s="10" t="str">
        <f t="shared" ref="L73:L96" si="22">IF($B73="","",$C$1-2*$C$2)</f>
        <v/>
      </c>
      <c r="M73" s="10" t="str">
        <f t="shared" ref="M73:M96" si="23">IF($B73="","",$C$1-$C$2)</f>
        <v/>
      </c>
      <c r="N73" s="10" t="str">
        <f t="shared" ref="N73:N96" si="24">IF($B73="","",$C$1)</f>
        <v/>
      </c>
      <c r="O73" s="10" t="str">
        <f t="shared" ref="O73:O96" si="25">IF($B73="","",$C$1+1*$C$2)</f>
        <v/>
      </c>
      <c r="P73" s="10" t="str">
        <f t="shared" ref="P73:P96" si="26">IF($B73="","",$C$1+2*$C$2)</f>
        <v/>
      </c>
      <c r="Q73" s="14" t="str">
        <f t="shared" ref="Q73:Q96" si="27">IF($B73="","",$C$1+3*$C$2)</f>
        <v/>
      </c>
    </row>
    <row r="74" spans="1:17" x14ac:dyDescent="0.25">
      <c r="A74" s="4">
        <v>46784</v>
      </c>
      <c r="B74" s="5" t="str">
        <f>IF('Catalogo de Variaveis'!U79="","",SUM('Catalogo de Variaveis'!U76:U79))</f>
        <v/>
      </c>
      <c r="C74" s="15" t="str">
        <f>IFERROR(IF($B74="","",AVERAGE('Catalogo de Variaveis'!U79-'Catalogo de Variaveis'!U78,'Catalogo de Variaveis'!U78-'Catalogo de Variaveis'!U77,'Catalogo de Variaveis'!U77-'Catalogo de Variaveis'!U76,'Catalogo de Variaveis'!U76-'Catalogo de Variaveis'!U75)),0)</f>
        <v/>
      </c>
      <c r="D74" s="13" t="str">
        <f t="shared" si="18"/>
        <v/>
      </c>
      <c r="E74" s="10" t="str">
        <f t="shared" si="14"/>
        <v/>
      </c>
      <c r="F74" s="10" t="str">
        <f t="shared" si="15"/>
        <v/>
      </c>
      <c r="G74" s="10" t="str">
        <f t="shared" si="19"/>
        <v/>
      </c>
      <c r="H74" s="10" t="str">
        <f t="shared" si="16"/>
        <v/>
      </c>
      <c r="I74" s="10" t="str">
        <f t="shared" si="20"/>
        <v/>
      </c>
      <c r="J74" s="14" t="str">
        <f t="shared" si="17"/>
        <v/>
      </c>
      <c r="K74" s="13" t="str">
        <f t="shared" si="21"/>
        <v/>
      </c>
      <c r="L74" s="10" t="str">
        <f t="shared" si="22"/>
        <v/>
      </c>
      <c r="M74" s="10" t="str">
        <f t="shared" si="23"/>
        <v/>
      </c>
      <c r="N74" s="10" t="str">
        <f t="shared" si="24"/>
        <v/>
      </c>
      <c r="O74" s="10" t="str">
        <f t="shared" si="25"/>
        <v/>
      </c>
      <c r="P74" s="10" t="str">
        <f t="shared" si="26"/>
        <v/>
      </c>
      <c r="Q74" s="14" t="str">
        <f t="shared" si="27"/>
        <v/>
      </c>
    </row>
    <row r="75" spans="1:17" x14ac:dyDescent="0.25">
      <c r="A75" s="4">
        <v>46813</v>
      </c>
      <c r="B75" s="5" t="str">
        <f>IF('Catalogo de Variaveis'!U80="","",SUM('Catalogo de Variaveis'!U77:U80))</f>
        <v/>
      </c>
      <c r="C75" s="15" t="str">
        <f>IFERROR(IF($B75="","",AVERAGE('Catalogo de Variaveis'!U80-'Catalogo de Variaveis'!U79,'Catalogo de Variaveis'!U79-'Catalogo de Variaveis'!U78,'Catalogo de Variaveis'!U78-'Catalogo de Variaveis'!U77,'Catalogo de Variaveis'!U77-'Catalogo de Variaveis'!U76)),0)</f>
        <v/>
      </c>
      <c r="D75" s="13" t="str">
        <f t="shared" si="18"/>
        <v/>
      </c>
      <c r="E75" s="10" t="str">
        <f t="shared" si="14"/>
        <v/>
      </c>
      <c r="F75" s="10" t="str">
        <f t="shared" si="15"/>
        <v/>
      </c>
      <c r="G75" s="10" t="str">
        <f t="shared" si="19"/>
        <v/>
      </c>
      <c r="H75" s="10" t="str">
        <f t="shared" si="16"/>
        <v/>
      </c>
      <c r="I75" s="10" t="str">
        <f t="shared" si="20"/>
        <v/>
      </c>
      <c r="J75" s="14" t="str">
        <f t="shared" si="17"/>
        <v/>
      </c>
      <c r="K75" s="13" t="str">
        <f t="shared" si="21"/>
        <v/>
      </c>
      <c r="L75" s="10" t="str">
        <f t="shared" si="22"/>
        <v/>
      </c>
      <c r="M75" s="10" t="str">
        <f t="shared" si="23"/>
        <v/>
      </c>
      <c r="N75" s="10" t="str">
        <f t="shared" si="24"/>
        <v/>
      </c>
      <c r="O75" s="10" t="str">
        <f t="shared" si="25"/>
        <v/>
      </c>
      <c r="P75" s="10" t="str">
        <f t="shared" si="26"/>
        <v/>
      </c>
      <c r="Q75" s="14" t="str">
        <f t="shared" si="27"/>
        <v/>
      </c>
    </row>
    <row r="76" spans="1:17" x14ac:dyDescent="0.25">
      <c r="A76" s="4">
        <v>46844</v>
      </c>
      <c r="B76" s="5" t="str">
        <f>IF('Catalogo de Variaveis'!U81="","",SUM('Catalogo de Variaveis'!U78:U81))</f>
        <v/>
      </c>
      <c r="C76" s="15" t="str">
        <f>IFERROR(IF($B76="","",AVERAGE('Catalogo de Variaveis'!U81-'Catalogo de Variaveis'!U80,'Catalogo de Variaveis'!U80-'Catalogo de Variaveis'!U79,'Catalogo de Variaveis'!U79-'Catalogo de Variaveis'!U78,'Catalogo de Variaveis'!U78-'Catalogo de Variaveis'!U77)),0)</f>
        <v/>
      </c>
      <c r="D76" s="13" t="str">
        <f t="shared" si="18"/>
        <v/>
      </c>
      <c r="E76" s="10" t="str">
        <f t="shared" si="14"/>
        <v/>
      </c>
      <c r="F76" s="10" t="str">
        <f t="shared" si="15"/>
        <v/>
      </c>
      <c r="G76" s="10" t="str">
        <f t="shared" si="19"/>
        <v/>
      </c>
      <c r="H76" s="10" t="str">
        <f t="shared" si="16"/>
        <v/>
      </c>
      <c r="I76" s="10" t="str">
        <f t="shared" si="20"/>
        <v/>
      </c>
      <c r="J76" s="14" t="str">
        <f t="shared" si="17"/>
        <v/>
      </c>
      <c r="K76" s="13" t="str">
        <f t="shared" si="21"/>
        <v/>
      </c>
      <c r="L76" s="10" t="str">
        <f t="shared" si="22"/>
        <v/>
      </c>
      <c r="M76" s="10" t="str">
        <f t="shared" si="23"/>
        <v/>
      </c>
      <c r="N76" s="10" t="str">
        <f t="shared" si="24"/>
        <v/>
      </c>
      <c r="O76" s="10" t="str">
        <f t="shared" si="25"/>
        <v/>
      </c>
      <c r="P76" s="10" t="str">
        <f t="shared" si="26"/>
        <v/>
      </c>
      <c r="Q76" s="14" t="str">
        <f t="shared" si="27"/>
        <v/>
      </c>
    </row>
    <row r="77" spans="1:17" x14ac:dyDescent="0.25">
      <c r="A77" s="4">
        <v>46874</v>
      </c>
      <c r="B77" s="5" t="str">
        <f>IF('Catalogo de Variaveis'!U82="","",SUM('Catalogo de Variaveis'!U79:U82))</f>
        <v/>
      </c>
      <c r="C77" s="15" t="str">
        <f>IFERROR(IF($B77="","",AVERAGE('Catalogo de Variaveis'!U82-'Catalogo de Variaveis'!U81,'Catalogo de Variaveis'!U81-'Catalogo de Variaveis'!U80,'Catalogo de Variaveis'!U80-'Catalogo de Variaveis'!U79,'Catalogo de Variaveis'!U79-'Catalogo de Variaveis'!U78)),0)</f>
        <v/>
      </c>
      <c r="D77" s="13" t="str">
        <f t="shared" si="18"/>
        <v/>
      </c>
      <c r="E77" s="10" t="str">
        <f t="shared" si="14"/>
        <v/>
      </c>
      <c r="F77" s="10" t="str">
        <f t="shared" si="15"/>
        <v/>
      </c>
      <c r="G77" s="10" t="str">
        <f t="shared" si="19"/>
        <v/>
      </c>
      <c r="H77" s="10" t="str">
        <f t="shared" si="16"/>
        <v/>
      </c>
      <c r="I77" s="10" t="str">
        <f t="shared" si="20"/>
        <v/>
      </c>
      <c r="J77" s="14" t="str">
        <f t="shared" si="17"/>
        <v/>
      </c>
      <c r="K77" s="13" t="str">
        <f t="shared" si="21"/>
        <v/>
      </c>
      <c r="L77" s="10" t="str">
        <f t="shared" si="22"/>
        <v/>
      </c>
      <c r="M77" s="10" t="str">
        <f t="shared" si="23"/>
        <v/>
      </c>
      <c r="N77" s="10" t="str">
        <f t="shared" si="24"/>
        <v/>
      </c>
      <c r="O77" s="10" t="str">
        <f t="shared" si="25"/>
        <v/>
      </c>
      <c r="P77" s="10" t="str">
        <f t="shared" si="26"/>
        <v/>
      </c>
      <c r="Q77" s="14" t="str">
        <f t="shared" si="27"/>
        <v/>
      </c>
    </row>
    <row r="78" spans="1:17" x14ac:dyDescent="0.25">
      <c r="A78" s="4">
        <v>46905</v>
      </c>
      <c r="B78" s="5" t="str">
        <f>IF('Catalogo de Variaveis'!U83="","",SUM('Catalogo de Variaveis'!U80:U83))</f>
        <v/>
      </c>
      <c r="C78" s="15" t="str">
        <f>IFERROR(IF($B78="","",AVERAGE('Catalogo de Variaveis'!U83-'Catalogo de Variaveis'!U82,'Catalogo de Variaveis'!U82-'Catalogo de Variaveis'!U81,'Catalogo de Variaveis'!U81-'Catalogo de Variaveis'!U80,'Catalogo de Variaveis'!U80-'Catalogo de Variaveis'!U79)),0)</f>
        <v/>
      </c>
      <c r="D78" s="13" t="str">
        <f t="shared" si="18"/>
        <v/>
      </c>
      <c r="E78" s="10" t="str">
        <f t="shared" si="14"/>
        <v/>
      </c>
      <c r="F78" s="10" t="str">
        <f t="shared" si="15"/>
        <v/>
      </c>
      <c r="G78" s="10" t="str">
        <f t="shared" si="19"/>
        <v/>
      </c>
      <c r="H78" s="10" t="str">
        <f t="shared" si="16"/>
        <v/>
      </c>
      <c r="I78" s="10" t="str">
        <f t="shared" si="20"/>
        <v/>
      </c>
      <c r="J78" s="14" t="str">
        <f t="shared" si="17"/>
        <v/>
      </c>
      <c r="K78" s="13" t="str">
        <f t="shared" si="21"/>
        <v/>
      </c>
      <c r="L78" s="10" t="str">
        <f t="shared" si="22"/>
        <v/>
      </c>
      <c r="M78" s="10" t="str">
        <f t="shared" si="23"/>
        <v/>
      </c>
      <c r="N78" s="10" t="str">
        <f t="shared" si="24"/>
        <v/>
      </c>
      <c r="O78" s="10" t="str">
        <f t="shared" si="25"/>
        <v/>
      </c>
      <c r="P78" s="10" t="str">
        <f t="shared" si="26"/>
        <v/>
      </c>
      <c r="Q78" s="14" t="str">
        <f t="shared" si="27"/>
        <v/>
      </c>
    </row>
    <row r="79" spans="1:17" x14ac:dyDescent="0.25">
      <c r="A79" s="4">
        <v>46935</v>
      </c>
      <c r="B79" s="5" t="str">
        <f>IF('Catalogo de Variaveis'!U84="","",SUM('Catalogo de Variaveis'!U81:U84))</f>
        <v/>
      </c>
      <c r="C79" s="15" t="str">
        <f>IFERROR(IF($B79="","",AVERAGE('Catalogo de Variaveis'!U84-'Catalogo de Variaveis'!U83,'Catalogo de Variaveis'!U83-'Catalogo de Variaveis'!U82,'Catalogo de Variaveis'!U82-'Catalogo de Variaveis'!U81,'Catalogo de Variaveis'!U81-'Catalogo de Variaveis'!U80)),0)</f>
        <v/>
      </c>
      <c r="D79" s="13" t="str">
        <f t="shared" si="18"/>
        <v/>
      </c>
      <c r="E79" s="10" t="str">
        <f t="shared" si="14"/>
        <v/>
      </c>
      <c r="F79" s="10" t="str">
        <f t="shared" si="15"/>
        <v/>
      </c>
      <c r="G79" s="10" t="str">
        <f t="shared" si="19"/>
        <v/>
      </c>
      <c r="H79" s="10" t="str">
        <f t="shared" si="16"/>
        <v/>
      </c>
      <c r="I79" s="10" t="str">
        <f t="shared" si="20"/>
        <v/>
      </c>
      <c r="J79" s="14" t="str">
        <f t="shared" si="17"/>
        <v/>
      </c>
      <c r="K79" s="13" t="str">
        <f t="shared" si="21"/>
        <v/>
      </c>
      <c r="L79" s="10" t="str">
        <f t="shared" si="22"/>
        <v/>
      </c>
      <c r="M79" s="10" t="str">
        <f t="shared" si="23"/>
        <v/>
      </c>
      <c r="N79" s="10" t="str">
        <f t="shared" si="24"/>
        <v/>
      </c>
      <c r="O79" s="10" t="str">
        <f t="shared" si="25"/>
        <v/>
      </c>
      <c r="P79" s="10" t="str">
        <f t="shared" si="26"/>
        <v/>
      </c>
      <c r="Q79" s="14" t="str">
        <f t="shared" si="27"/>
        <v/>
      </c>
    </row>
    <row r="80" spans="1:17" x14ac:dyDescent="0.25">
      <c r="A80" s="4">
        <v>46966</v>
      </c>
      <c r="B80" s="5" t="str">
        <f>IF('Catalogo de Variaveis'!U85="","",SUM('Catalogo de Variaveis'!U82:U85))</f>
        <v/>
      </c>
      <c r="C80" s="15" t="str">
        <f>IFERROR(IF($B80="","",AVERAGE('Catalogo de Variaveis'!U85-'Catalogo de Variaveis'!U84,'Catalogo de Variaveis'!U84-'Catalogo de Variaveis'!U83,'Catalogo de Variaveis'!U83-'Catalogo de Variaveis'!U82,'Catalogo de Variaveis'!U82-'Catalogo de Variaveis'!U81)),0)</f>
        <v/>
      </c>
      <c r="D80" s="13" t="str">
        <f t="shared" si="18"/>
        <v/>
      </c>
      <c r="E80" s="10" t="str">
        <f t="shared" si="14"/>
        <v/>
      </c>
      <c r="F80" s="10" t="str">
        <f t="shared" si="15"/>
        <v/>
      </c>
      <c r="G80" s="10" t="str">
        <f t="shared" si="19"/>
        <v/>
      </c>
      <c r="H80" s="10" t="str">
        <f t="shared" si="16"/>
        <v/>
      </c>
      <c r="I80" s="10" t="str">
        <f t="shared" si="20"/>
        <v/>
      </c>
      <c r="J80" s="14" t="str">
        <f t="shared" si="17"/>
        <v/>
      </c>
      <c r="K80" s="13" t="str">
        <f t="shared" si="21"/>
        <v/>
      </c>
      <c r="L80" s="10" t="str">
        <f t="shared" si="22"/>
        <v/>
      </c>
      <c r="M80" s="10" t="str">
        <f t="shared" si="23"/>
        <v/>
      </c>
      <c r="N80" s="10" t="str">
        <f t="shared" si="24"/>
        <v/>
      </c>
      <c r="O80" s="10" t="str">
        <f t="shared" si="25"/>
        <v/>
      </c>
      <c r="P80" s="10" t="str">
        <f t="shared" si="26"/>
        <v/>
      </c>
      <c r="Q80" s="14" t="str">
        <f t="shared" si="27"/>
        <v/>
      </c>
    </row>
    <row r="81" spans="1:17" x14ac:dyDescent="0.25">
      <c r="A81" s="4">
        <v>46997</v>
      </c>
      <c r="B81" s="5" t="str">
        <f>IF('Catalogo de Variaveis'!U86="","",SUM('Catalogo de Variaveis'!U83:U86))</f>
        <v/>
      </c>
      <c r="C81" s="15" t="str">
        <f>IFERROR(IF($B81="","",AVERAGE('Catalogo de Variaveis'!U86-'Catalogo de Variaveis'!U85,'Catalogo de Variaveis'!U85-'Catalogo de Variaveis'!U84,'Catalogo de Variaveis'!U84-'Catalogo de Variaveis'!U83,'Catalogo de Variaveis'!U83-'Catalogo de Variaveis'!U82)),0)</f>
        <v/>
      </c>
      <c r="D81" s="13" t="str">
        <f t="shared" si="18"/>
        <v/>
      </c>
      <c r="E81" s="10" t="str">
        <f t="shared" si="14"/>
        <v/>
      </c>
      <c r="F81" s="10" t="str">
        <f t="shared" si="15"/>
        <v/>
      </c>
      <c r="G81" s="10" t="str">
        <f t="shared" si="19"/>
        <v/>
      </c>
      <c r="H81" s="10" t="str">
        <f t="shared" si="16"/>
        <v/>
      </c>
      <c r="I81" s="10" t="str">
        <f t="shared" si="20"/>
        <v/>
      </c>
      <c r="J81" s="14" t="str">
        <f t="shared" si="17"/>
        <v/>
      </c>
      <c r="K81" s="13" t="str">
        <f t="shared" si="21"/>
        <v/>
      </c>
      <c r="L81" s="10" t="str">
        <f t="shared" si="22"/>
        <v/>
      </c>
      <c r="M81" s="10" t="str">
        <f t="shared" si="23"/>
        <v/>
      </c>
      <c r="N81" s="10" t="str">
        <f t="shared" si="24"/>
        <v/>
      </c>
      <c r="O81" s="10" t="str">
        <f t="shared" si="25"/>
        <v/>
      </c>
      <c r="P81" s="10" t="str">
        <f t="shared" si="26"/>
        <v/>
      </c>
      <c r="Q81" s="14" t="str">
        <f t="shared" si="27"/>
        <v/>
      </c>
    </row>
    <row r="82" spans="1:17" x14ac:dyDescent="0.25">
      <c r="A82" s="4">
        <v>47027</v>
      </c>
      <c r="B82" s="5" t="str">
        <f>IF('Catalogo de Variaveis'!U87="","",SUM('Catalogo de Variaveis'!U84:U87))</f>
        <v/>
      </c>
      <c r="C82" s="15" t="str">
        <f>IFERROR(IF($B82="","",AVERAGE('Catalogo de Variaveis'!U87-'Catalogo de Variaveis'!U86,'Catalogo de Variaveis'!U86-'Catalogo de Variaveis'!U85,'Catalogo de Variaveis'!U85-'Catalogo de Variaveis'!U84,'Catalogo de Variaveis'!U84-'Catalogo de Variaveis'!U83)),0)</f>
        <v/>
      </c>
      <c r="D82" s="13" t="str">
        <f t="shared" si="18"/>
        <v/>
      </c>
      <c r="E82" s="10" t="str">
        <f t="shared" si="14"/>
        <v/>
      </c>
      <c r="F82" s="10" t="str">
        <f t="shared" si="15"/>
        <v/>
      </c>
      <c r="G82" s="10" t="str">
        <f t="shared" si="19"/>
        <v/>
      </c>
      <c r="H82" s="10" t="str">
        <f t="shared" si="16"/>
        <v/>
      </c>
      <c r="I82" s="10" t="str">
        <f t="shared" si="20"/>
        <v/>
      </c>
      <c r="J82" s="14" t="str">
        <f t="shared" si="17"/>
        <v/>
      </c>
      <c r="K82" s="13" t="str">
        <f t="shared" si="21"/>
        <v/>
      </c>
      <c r="L82" s="10" t="str">
        <f t="shared" si="22"/>
        <v/>
      </c>
      <c r="M82" s="10" t="str">
        <f t="shared" si="23"/>
        <v/>
      </c>
      <c r="N82" s="10" t="str">
        <f t="shared" si="24"/>
        <v/>
      </c>
      <c r="O82" s="10" t="str">
        <f t="shared" si="25"/>
        <v/>
      </c>
      <c r="P82" s="10" t="str">
        <f t="shared" si="26"/>
        <v/>
      </c>
      <c r="Q82" s="14" t="str">
        <f t="shared" si="27"/>
        <v/>
      </c>
    </row>
    <row r="83" spans="1:17" x14ac:dyDescent="0.25">
      <c r="A83" s="4">
        <v>47058</v>
      </c>
      <c r="B83" s="5" t="str">
        <f>IF('Catalogo de Variaveis'!U88="","",SUM('Catalogo de Variaveis'!U85:U88))</f>
        <v/>
      </c>
      <c r="C83" s="15" t="str">
        <f>IFERROR(IF($B83="","",AVERAGE('Catalogo de Variaveis'!U88-'Catalogo de Variaveis'!U87,'Catalogo de Variaveis'!U87-'Catalogo de Variaveis'!U86,'Catalogo de Variaveis'!U86-'Catalogo de Variaveis'!U85,'Catalogo de Variaveis'!U85-'Catalogo de Variaveis'!U84)),0)</f>
        <v/>
      </c>
      <c r="D83" s="13" t="str">
        <f t="shared" si="18"/>
        <v/>
      </c>
      <c r="E83" s="10" t="str">
        <f t="shared" si="14"/>
        <v/>
      </c>
      <c r="F83" s="10" t="str">
        <f t="shared" si="15"/>
        <v/>
      </c>
      <c r="G83" s="10" t="str">
        <f t="shared" si="19"/>
        <v/>
      </c>
      <c r="H83" s="10" t="str">
        <f t="shared" si="16"/>
        <v/>
      </c>
      <c r="I83" s="10" t="str">
        <f t="shared" si="20"/>
        <v/>
      </c>
      <c r="J83" s="14" t="str">
        <f t="shared" si="17"/>
        <v/>
      </c>
      <c r="K83" s="13" t="str">
        <f t="shared" si="21"/>
        <v/>
      </c>
      <c r="L83" s="10" t="str">
        <f t="shared" si="22"/>
        <v/>
      </c>
      <c r="M83" s="10" t="str">
        <f t="shared" si="23"/>
        <v/>
      </c>
      <c r="N83" s="10" t="str">
        <f t="shared" si="24"/>
        <v/>
      </c>
      <c r="O83" s="10" t="str">
        <f t="shared" si="25"/>
        <v/>
      </c>
      <c r="P83" s="10" t="str">
        <f t="shared" si="26"/>
        <v/>
      </c>
      <c r="Q83" s="14" t="str">
        <f t="shared" si="27"/>
        <v/>
      </c>
    </row>
    <row r="84" spans="1:17" x14ac:dyDescent="0.25">
      <c r="A84" s="4">
        <v>47088</v>
      </c>
      <c r="B84" s="5" t="str">
        <f>IF('Catalogo de Variaveis'!U89="","",SUM('Catalogo de Variaveis'!U86:U89))</f>
        <v/>
      </c>
      <c r="C84" s="15" t="str">
        <f>IFERROR(IF($B84="","",AVERAGE('Catalogo de Variaveis'!U89-'Catalogo de Variaveis'!U88,'Catalogo de Variaveis'!U88-'Catalogo de Variaveis'!U87,'Catalogo de Variaveis'!U87-'Catalogo de Variaveis'!U86,'Catalogo de Variaveis'!U86-'Catalogo de Variaveis'!U85)),0)</f>
        <v/>
      </c>
      <c r="D84" s="13" t="str">
        <f t="shared" si="18"/>
        <v/>
      </c>
      <c r="E84" s="10" t="str">
        <f t="shared" si="14"/>
        <v/>
      </c>
      <c r="F84" s="10" t="str">
        <f t="shared" si="15"/>
        <v/>
      </c>
      <c r="G84" s="10" t="str">
        <f t="shared" si="19"/>
        <v/>
      </c>
      <c r="H84" s="10" t="str">
        <f t="shared" si="16"/>
        <v/>
      </c>
      <c r="I84" s="10" t="str">
        <f t="shared" si="20"/>
        <v/>
      </c>
      <c r="J84" s="14" t="str">
        <f t="shared" si="17"/>
        <v/>
      </c>
      <c r="K84" s="13" t="str">
        <f t="shared" si="21"/>
        <v/>
      </c>
      <c r="L84" s="10" t="str">
        <f t="shared" si="22"/>
        <v/>
      </c>
      <c r="M84" s="10" t="str">
        <f t="shared" si="23"/>
        <v/>
      </c>
      <c r="N84" s="10" t="str">
        <f t="shared" si="24"/>
        <v/>
      </c>
      <c r="O84" s="10" t="str">
        <f t="shared" si="25"/>
        <v/>
      </c>
      <c r="P84" s="10" t="str">
        <f t="shared" si="26"/>
        <v/>
      </c>
      <c r="Q84" s="14" t="str">
        <f t="shared" si="27"/>
        <v/>
      </c>
    </row>
    <row r="85" spans="1:17" x14ac:dyDescent="0.25">
      <c r="A85" s="4">
        <v>47119</v>
      </c>
      <c r="B85" s="5" t="str">
        <f>IF('Catalogo de Variaveis'!U90="","",SUM('Catalogo de Variaveis'!U87:U90))</f>
        <v/>
      </c>
      <c r="C85" s="15" t="str">
        <f>IFERROR(IF($B85="","",AVERAGE('Catalogo de Variaveis'!U90-'Catalogo de Variaveis'!U89,'Catalogo de Variaveis'!U89-'Catalogo de Variaveis'!U88,'Catalogo de Variaveis'!U88-'Catalogo de Variaveis'!U87,'Catalogo de Variaveis'!U87-'Catalogo de Variaveis'!U86)),0)</f>
        <v/>
      </c>
      <c r="D85" s="13" t="str">
        <f t="shared" si="18"/>
        <v/>
      </c>
      <c r="E85" s="10" t="str">
        <f t="shared" si="14"/>
        <v/>
      </c>
      <c r="F85" s="10" t="str">
        <f t="shared" si="15"/>
        <v/>
      </c>
      <c r="G85" s="10" t="str">
        <f t="shared" si="19"/>
        <v/>
      </c>
      <c r="H85" s="10" t="str">
        <f t="shared" si="16"/>
        <v/>
      </c>
      <c r="I85" s="10" t="str">
        <f t="shared" si="20"/>
        <v/>
      </c>
      <c r="J85" s="14" t="str">
        <f t="shared" si="17"/>
        <v/>
      </c>
      <c r="K85" s="13" t="str">
        <f t="shared" si="21"/>
        <v/>
      </c>
      <c r="L85" s="10" t="str">
        <f t="shared" si="22"/>
        <v/>
      </c>
      <c r="M85" s="10" t="str">
        <f t="shared" si="23"/>
        <v/>
      </c>
      <c r="N85" s="10" t="str">
        <f t="shared" si="24"/>
        <v/>
      </c>
      <c r="O85" s="10" t="str">
        <f t="shared" si="25"/>
        <v/>
      </c>
      <c r="P85" s="10" t="str">
        <f t="shared" si="26"/>
        <v/>
      </c>
      <c r="Q85" s="14" t="str">
        <f t="shared" si="27"/>
        <v/>
      </c>
    </row>
    <row r="86" spans="1:17" x14ac:dyDescent="0.25">
      <c r="A86" s="4">
        <v>47150</v>
      </c>
      <c r="B86" s="5" t="str">
        <f>IF('Catalogo de Variaveis'!U91="","",SUM('Catalogo de Variaveis'!U88:U91))</f>
        <v/>
      </c>
      <c r="C86" s="15" t="str">
        <f>IFERROR(IF($B86="","",AVERAGE('Catalogo de Variaveis'!U91-'Catalogo de Variaveis'!U90,'Catalogo de Variaveis'!U90-'Catalogo de Variaveis'!U89,'Catalogo de Variaveis'!U89-'Catalogo de Variaveis'!U88,'Catalogo de Variaveis'!U88-'Catalogo de Variaveis'!U87)),0)</f>
        <v/>
      </c>
      <c r="D86" s="13" t="str">
        <f t="shared" si="18"/>
        <v/>
      </c>
      <c r="E86" s="10" t="str">
        <f t="shared" si="14"/>
        <v/>
      </c>
      <c r="F86" s="10" t="str">
        <f t="shared" si="15"/>
        <v/>
      </c>
      <c r="G86" s="10" t="str">
        <f t="shared" si="19"/>
        <v/>
      </c>
      <c r="H86" s="10" t="str">
        <f t="shared" si="16"/>
        <v/>
      </c>
      <c r="I86" s="10" t="str">
        <f t="shared" si="20"/>
        <v/>
      </c>
      <c r="J86" s="14" t="str">
        <f t="shared" si="17"/>
        <v/>
      </c>
      <c r="K86" s="13" t="str">
        <f t="shared" si="21"/>
        <v/>
      </c>
      <c r="L86" s="10" t="str">
        <f t="shared" si="22"/>
        <v/>
      </c>
      <c r="M86" s="10" t="str">
        <f t="shared" si="23"/>
        <v/>
      </c>
      <c r="N86" s="10" t="str">
        <f t="shared" si="24"/>
        <v/>
      </c>
      <c r="O86" s="10" t="str">
        <f t="shared" si="25"/>
        <v/>
      </c>
      <c r="P86" s="10" t="str">
        <f t="shared" si="26"/>
        <v/>
      </c>
      <c r="Q86" s="14" t="str">
        <f t="shared" si="27"/>
        <v/>
      </c>
    </row>
    <row r="87" spans="1:17" x14ac:dyDescent="0.25">
      <c r="A87" s="4">
        <v>47178</v>
      </c>
      <c r="B87" s="5" t="str">
        <f>IF('Catalogo de Variaveis'!U92="","",SUM('Catalogo de Variaveis'!U89:U92))</f>
        <v/>
      </c>
      <c r="C87" s="15" t="str">
        <f>IFERROR(IF($B87="","",AVERAGE('Catalogo de Variaveis'!U92-'Catalogo de Variaveis'!U91,'Catalogo de Variaveis'!U91-'Catalogo de Variaveis'!U90,'Catalogo de Variaveis'!U90-'Catalogo de Variaveis'!U89,'Catalogo de Variaveis'!U89-'Catalogo de Variaveis'!U88)),0)</f>
        <v/>
      </c>
      <c r="D87" s="13" t="str">
        <f t="shared" si="18"/>
        <v/>
      </c>
      <c r="E87" s="10" t="str">
        <f t="shared" si="14"/>
        <v/>
      </c>
      <c r="F87" s="10" t="str">
        <f t="shared" si="15"/>
        <v/>
      </c>
      <c r="G87" s="10" t="str">
        <f t="shared" si="19"/>
        <v/>
      </c>
      <c r="H87" s="10" t="str">
        <f t="shared" si="16"/>
        <v/>
      </c>
      <c r="I87" s="10" t="str">
        <f t="shared" si="20"/>
        <v/>
      </c>
      <c r="J87" s="14" t="str">
        <f t="shared" si="17"/>
        <v/>
      </c>
      <c r="K87" s="13" t="str">
        <f t="shared" si="21"/>
        <v/>
      </c>
      <c r="L87" s="10" t="str">
        <f t="shared" si="22"/>
        <v/>
      </c>
      <c r="M87" s="10" t="str">
        <f t="shared" si="23"/>
        <v/>
      </c>
      <c r="N87" s="10" t="str">
        <f t="shared" si="24"/>
        <v/>
      </c>
      <c r="O87" s="10" t="str">
        <f t="shared" si="25"/>
        <v/>
      </c>
      <c r="P87" s="10" t="str">
        <f t="shared" si="26"/>
        <v/>
      </c>
      <c r="Q87" s="14" t="str">
        <f t="shared" si="27"/>
        <v/>
      </c>
    </row>
    <row r="88" spans="1:17" x14ac:dyDescent="0.25">
      <c r="A88" s="4">
        <v>47209</v>
      </c>
      <c r="B88" s="5" t="str">
        <f>IF('Catalogo de Variaveis'!U93="","",SUM('Catalogo de Variaveis'!U90:U93))</f>
        <v/>
      </c>
      <c r="C88" s="15" t="str">
        <f>IFERROR(IF($B88="","",AVERAGE('Catalogo de Variaveis'!U93-'Catalogo de Variaveis'!U92,'Catalogo de Variaveis'!U92-'Catalogo de Variaveis'!U91,'Catalogo de Variaveis'!U91-'Catalogo de Variaveis'!U90,'Catalogo de Variaveis'!U90-'Catalogo de Variaveis'!U89)),0)</f>
        <v/>
      </c>
      <c r="D88" s="13" t="str">
        <f t="shared" si="18"/>
        <v/>
      </c>
      <c r="E88" s="10" t="str">
        <f t="shared" si="14"/>
        <v/>
      </c>
      <c r="F88" s="10" t="str">
        <f t="shared" si="15"/>
        <v/>
      </c>
      <c r="G88" s="10" t="str">
        <f t="shared" si="19"/>
        <v/>
      </c>
      <c r="H88" s="10" t="str">
        <f t="shared" si="16"/>
        <v/>
      </c>
      <c r="I88" s="10" t="str">
        <f t="shared" si="20"/>
        <v/>
      </c>
      <c r="J88" s="14" t="str">
        <f t="shared" si="17"/>
        <v/>
      </c>
      <c r="K88" s="13" t="str">
        <f t="shared" si="21"/>
        <v/>
      </c>
      <c r="L88" s="10" t="str">
        <f t="shared" si="22"/>
        <v/>
      </c>
      <c r="M88" s="10" t="str">
        <f t="shared" si="23"/>
        <v/>
      </c>
      <c r="N88" s="10" t="str">
        <f t="shared" si="24"/>
        <v/>
      </c>
      <c r="O88" s="10" t="str">
        <f t="shared" si="25"/>
        <v/>
      </c>
      <c r="P88" s="10" t="str">
        <f t="shared" si="26"/>
        <v/>
      </c>
      <c r="Q88" s="14" t="str">
        <f t="shared" si="27"/>
        <v/>
      </c>
    </row>
    <row r="89" spans="1:17" x14ac:dyDescent="0.25">
      <c r="A89" s="4">
        <v>47239</v>
      </c>
      <c r="B89" s="5" t="str">
        <f>IF('Catalogo de Variaveis'!U94="","",SUM('Catalogo de Variaveis'!U91:U94))</f>
        <v/>
      </c>
      <c r="C89" s="15" t="str">
        <f>IFERROR(IF($B89="","",AVERAGE('Catalogo de Variaveis'!U94-'Catalogo de Variaveis'!U93,'Catalogo de Variaveis'!U93-'Catalogo de Variaveis'!U92,'Catalogo de Variaveis'!U92-'Catalogo de Variaveis'!U91,'Catalogo de Variaveis'!U91-'Catalogo de Variaveis'!U90)),0)</f>
        <v/>
      </c>
      <c r="D89" s="13" t="str">
        <f t="shared" si="18"/>
        <v/>
      </c>
      <c r="E89" s="10" t="str">
        <f t="shared" si="14"/>
        <v/>
      </c>
      <c r="F89" s="10" t="str">
        <f t="shared" si="15"/>
        <v/>
      </c>
      <c r="G89" s="10" t="str">
        <f t="shared" si="19"/>
        <v/>
      </c>
      <c r="H89" s="10" t="str">
        <f t="shared" si="16"/>
        <v/>
      </c>
      <c r="I89" s="10" t="str">
        <f t="shared" si="20"/>
        <v/>
      </c>
      <c r="J89" s="14" t="str">
        <f t="shared" si="17"/>
        <v/>
      </c>
      <c r="K89" s="13" t="str">
        <f t="shared" si="21"/>
        <v/>
      </c>
      <c r="L89" s="10" t="str">
        <f t="shared" si="22"/>
        <v/>
      </c>
      <c r="M89" s="10" t="str">
        <f t="shared" si="23"/>
        <v/>
      </c>
      <c r="N89" s="10" t="str">
        <f t="shared" si="24"/>
        <v/>
      </c>
      <c r="O89" s="10" t="str">
        <f t="shared" si="25"/>
        <v/>
      </c>
      <c r="P89" s="10" t="str">
        <f t="shared" si="26"/>
        <v/>
      </c>
      <c r="Q89" s="14" t="str">
        <f t="shared" si="27"/>
        <v/>
      </c>
    </row>
    <row r="90" spans="1:17" x14ac:dyDescent="0.25">
      <c r="A90" s="4">
        <v>47270</v>
      </c>
      <c r="B90" s="5" t="str">
        <f>IF('Catalogo de Variaveis'!U95="","",SUM('Catalogo de Variaveis'!U92:U95))</f>
        <v/>
      </c>
      <c r="C90" s="15" t="str">
        <f>IFERROR(IF($B90="","",AVERAGE('Catalogo de Variaveis'!U95-'Catalogo de Variaveis'!U94,'Catalogo de Variaveis'!U94-'Catalogo de Variaveis'!U93,'Catalogo de Variaveis'!U93-'Catalogo de Variaveis'!U92,'Catalogo de Variaveis'!U92-'Catalogo de Variaveis'!U91)),0)</f>
        <v/>
      </c>
      <c r="D90" s="13" t="str">
        <f t="shared" si="18"/>
        <v/>
      </c>
      <c r="E90" s="10" t="str">
        <f t="shared" si="14"/>
        <v/>
      </c>
      <c r="F90" s="10" t="str">
        <f t="shared" si="15"/>
        <v/>
      </c>
      <c r="G90" s="10" t="str">
        <f t="shared" si="19"/>
        <v/>
      </c>
      <c r="H90" s="10" t="str">
        <f t="shared" si="16"/>
        <v/>
      </c>
      <c r="I90" s="10" t="str">
        <f t="shared" si="20"/>
        <v/>
      </c>
      <c r="J90" s="14" t="str">
        <f t="shared" si="17"/>
        <v/>
      </c>
      <c r="K90" s="13" t="str">
        <f t="shared" si="21"/>
        <v/>
      </c>
      <c r="L90" s="10" t="str">
        <f t="shared" si="22"/>
        <v/>
      </c>
      <c r="M90" s="10" t="str">
        <f t="shared" si="23"/>
        <v/>
      </c>
      <c r="N90" s="10" t="str">
        <f t="shared" si="24"/>
        <v/>
      </c>
      <c r="O90" s="10" t="str">
        <f t="shared" si="25"/>
        <v/>
      </c>
      <c r="P90" s="10" t="str">
        <f t="shared" si="26"/>
        <v/>
      </c>
      <c r="Q90" s="14" t="str">
        <f t="shared" si="27"/>
        <v/>
      </c>
    </row>
    <row r="91" spans="1:17" x14ac:dyDescent="0.25">
      <c r="A91" s="4">
        <v>47300</v>
      </c>
      <c r="B91" s="5" t="str">
        <f>IF('Catalogo de Variaveis'!U96="","",SUM('Catalogo de Variaveis'!U93:U96))</f>
        <v/>
      </c>
      <c r="C91" s="15" t="str">
        <f>IFERROR(IF($B91="","",AVERAGE('Catalogo de Variaveis'!U96-'Catalogo de Variaveis'!U95,'Catalogo de Variaveis'!U95-'Catalogo de Variaveis'!U94,'Catalogo de Variaveis'!U94-'Catalogo de Variaveis'!U93,'Catalogo de Variaveis'!U93-'Catalogo de Variaveis'!U92)),0)</f>
        <v/>
      </c>
      <c r="D91" s="13" t="str">
        <f t="shared" si="18"/>
        <v/>
      </c>
      <c r="E91" s="10" t="str">
        <f t="shared" si="14"/>
        <v/>
      </c>
      <c r="F91" s="10" t="str">
        <f t="shared" si="15"/>
        <v/>
      </c>
      <c r="G91" s="10" t="str">
        <f t="shared" si="19"/>
        <v/>
      </c>
      <c r="H91" s="10" t="str">
        <f t="shared" si="16"/>
        <v/>
      </c>
      <c r="I91" s="10" t="str">
        <f t="shared" si="20"/>
        <v/>
      </c>
      <c r="J91" s="14" t="str">
        <f t="shared" si="17"/>
        <v/>
      </c>
      <c r="K91" s="13" t="str">
        <f t="shared" si="21"/>
        <v/>
      </c>
      <c r="L91" s="10" t="str">
        <f t="shared" si="22"/>
        <v/>
      </c>
      <c r="M91" s="10" t="str">
        <f t="shared" si="23"/>
        <v/>
      </c>
      <c r="N91" s="10" t="str">
        <f t="shared" si="24"/>
        <v/>
      </c>
      <c r="O91" s="10" t="str">
        <f t="shared" si="25"/>
        <v/>
      </c>
      <c r="P91" s="10" t="str">
        <f t="shared" si="26"/>
        <v/>
      </c>
      <c r="Q91" s="14" t="str">
        <f t="shared" si="27"/>
        <v/>
      </c>
    </row>
    <row r="92" spans="1:17" x14ac:dyDescent="0.25">
      <c r="A92" s="4">
        <v>47331</v>
      </c>
      <c r="B92" s="5" t="str">
        <f>IF('Catalogo de Variaveis'!U97="","",SUM('Catalogo de Variaveis'!U94:U97))</f>
        <v/>
      </c>
      <c r="C92" s="15" t="str">
        <f>IFERROR(IF($B92="","",AVERAGE('Catalogo de Variaveis'!U97-'Catalogo de Variaveis'!U96,'Catalogo de Variaveis'!U96-'Catalogo de Variaveis'!U95,'Catalogo de Variaveis'!U95-'Catalogo de Variaveis'!U94,'Catalogo de Variaveis'!U94-'Catalogo de Variaveis'!U93)),0)</f>
        <v/>
      </c>
      <c r="D92" s="13" t="str">
        <f t="shared" si="18"/>
        <v/>
      </c>
      <c r="E92" s="10" t="str">
        <f t="shared" si="14"/>
        <v/>
      </c>
      <c r="F92" s="10" t="str">
        <f t="shared" si="15"/>
        <v/>
      </c>
      <c r="G92" s="10" t="str">
        <f t="shared" si="19"/>
        <v/>
      </c>
      <c r="H92" s="10" t="str">
        <f t="shared" si="16"/>
        <v/>
      </c>
      <c r="I92" s="10" t="str">
        <f t="shared" si="20"/>
        <v/>
      </c>
      <c r="J92" s="14" t="str">
        <f t="shared" si="17"/>
        <v/>
      </c>
      <c r="K92" s="13" t="str">
        <f t="shared" si="21"/>
        <v/>
      </c>
      <c r="L92" s="10" t="str">
        <f t="shared" si="22"/>
        <v/>
      </c>
      <c r="M92" s="10" t="str">
        <f t="shared" si="23"/>
        <v/>
      </c>
      <c r="N92" s="10" t="str">
        <f t="shared" si="24"/>
        <v/>
      </c>
      <c r="O92" s="10" t="str">
        <f t="shared" si="25"/>
        <v/>
      </c>
      <c r="P92" s="10" t="str">
        <f t="shared" si="26"/>
        <v/>
      </c>
      <c r="Q92" s="14" t="str">
        <f t="shared" si="27"/>
        <v/>
      </c>
    </row>
    <row r="93" spans="1:17" x14ac:dyDescent="0.25">
      <c r="A93" s="4">
        <v>47362</v>
      </c>
      <c r="B93" s="5" t="str">
        <f>IF('Catalogo de Variaveis'!U98="","",SUM('Catalogo de Variaveis'!U95:U98))</f>
        <v/>
      </c>
      <c r="C93" s="15" t="str">
        <f>IFERROR(IF($B93="","",AVERAGE('Catalogo de Variaveis'!U98-'Catalogo de Variaveis'!U97,'Catalogo de Variaveis'!U97-'Catalogo de Variaveis'!U96,'Catalogo de Variaveis'!U96-'Catalogo de Variaveis'!U95,'Catalogo de Variaveis'!U95-'Catalogo de Variaveis'!U94)),0)</f>
        <v/>
      </c>
      <c r="D93" s="13" t="str">
        <f t="shared" si="18"/>
        <v/>
      </c>
      <c r="E93" s="10" t="str">
        <f t="shared" si="14"/>
        <v/>
      </c>
      <c r="F93" s="10" t="str">
        <f t="shared" si="15"/>
        <v/>
      </c>
      <c r="G93" s="10" t="str">
        <f t="shared" si="19"/>
        <v/>
      </c>
      <c r="H93" s="10" t="str">
        <f t="shared" si="16"/>
        <v/>
      </c>
      <c r="I93" s="10" t="str">
        <f t="shared" si="20"/>
        <v/>
      </c>
      <c r="J93" s="14" t="str">
        <f t="shared" si="17"/>
        <v/>
      </c>
      <c r="K93" s="13" t="str">
        <f t="shared" si="21"/>
        <v/>
      </c>
      <c r="L93" s="10" t="str">
        <f t="shared" si="22"/>
        <v/>
      </c>
      <c r="M93" s="10" t="str">
        <f t="shared" si="23"/>
        <v/>
      </c>
      <c r="N93" s="10" t="str">
        <f t="shared" si="24"/>
        <v/>
      </c>
      <c r="O93" s="10" t="str">
        <f t="shared" si="25"/>
        <v/>
      </c>
      <c r="P93" s="10" t="str">
        <f t="shared" si="26"/>
        <v/>
      </c>
      <c r="Q93" s="14" t="str">
        <f t="shared" si="27"/>
        <v/>
      </c>
    </row>
    <row r="94" spans="1:17" x14ac:dyDescent="0.25">
      <c r="A94" s="4">
        <v>47392</v>
      </c>
      <c r="B94" s="5" t="str">
        <f>IF('Catalogo de Variaveis'!U99="","",SUM('Catalogo de Variaveis'!U96:U99))</f>
        <v/>
      </c>
      <c r="C94" s="15" t="str">
        <f>IFERROR(IF($B94="","",AVERAGE('Catalogo de Variaveis'!U99-'Catalogo de Variaveis'!U98,'Catalogo de Variaveis'!U98-'Catalogo de Variaveis'!U97,'Catalogo de Variaveis'!U97-'Catalogo de Variaveis'!U96,'Catalogo de Variaveis'!U96-'Catalogo de Variaveis'!U95)),0)</f>
        <v/>
      </c>
      <c r="D94" s="13" t="str">
        <f t="shared" si="18"/>
        <v/>
      </c>
      <c r="E94" s="10" t="str">
        <f t="shared" si="14"/>
        <v/>
      </c>
      <c r="F94" s="10" t="str">
        <f t="shared" si="15"/>
        <v/>
      </c>
      <c r="G94" s="10" t="str">
        <f t="shared" si="19"/>
        <v/>
      </c>
      <c r="H94" s="10" t="str">
        <f t="shared" si="16"/>
        <v/>
      </c>
      <c r="I94" s="10" t="str">
        <f t="shared" si="20"/>
        <v/>
      </c>
      <c r="J94" s="14" t="str">
        <f t="shared" si="17"/>
        <v/>
      </c>
      <c r="K94" s="13" t="str">
        <f t="shared" si="21"/>
        <v/>
      </c>
      <c r="L94" s="10" t="str">
        <f t="shared" si="22"/>
        <v/>
      </c>
      <c r="M94" s="10" t="str">
        <f t="shared" si="23"/>
        <v/>
      </c>
      <c r="N94" s="10" t="str">
        <f t="shared" si="24"/>
        <v/>
      </c>
      <c r="O94" s="10" t="str">
        <f t="shared" si="25"/>
        <v/>
      </c>
      <c r="P94" s="10" t="str">
        <f t="shared" si="26"/>
        <v/>
      </c>
      <c r="Q94" s="14" t="str">
        <f t="shared" si="27"/>
        <v/>
      </c>
    </row>
    <row r="95" spans="1:17" x14ac:dyDescent="0.25">
      <c r="A95" s="4">
        <v>47423</v>
      </c>
      <c r="B95" s="5" t="str">
        <f>IF('Catalogo de Variaveis'!U100="","",SUM('Catalogo de Variaveis'!U97:U100))</f>
        <v/>
      </c>
      <c r="C95" s="15" t="str">
        <f>IFERROR(IF($B95="","",AVERAGE('Catalogo de Variaveis'!U100-'Catalogo de Variaveis'!U99,'Catalogo de Variaveis'!U99-'Catalogo de Variaveis'!U98,'Catalogo de Variaveis'!U98-'Catalogo de Variaveis'!U97,'Catalogo de Variaveis'!U97-'Catalogo de Variaveis'!U96)),0)</f>
        <v/>
      </c>
      <c r="D95" s="13" t="str">
        <f t="shared" si="18"/>
        <v/>
      </c>
      <c r="E95" s="10" t="str">
        <f t="shared" ref="E95:E96" si="28">IF($B95="","",IF(OR($J$1="",$J$2=""),$B$1-2*$B$2,$J$1-2*$J$2))</f>
        <v/>
      </c>
      <c r="F95" s="10" t="str">
        <f t="shared" ref="F95:F96" si="29">IF($B95="","",IF(OR($J$1="",$J$2=""),$B$1-$B$2,$J$1-$J$2))</f>
        <v/>
      </c>
      <c r="G95" s="10" t="str">
        <f t="shared" si="19"/>
        <v/>
      </c>
      <c r="H95" s="10" t="str">
        <f t="shared" ref="H95:H96" si="30">IF($B95="","",IF(OR($J$1="",$J$2=""),$B$1+$B$2,$J$1+$J$2))</f>
        <v/>
      </c>
      <c r="I95" s="10" t="str">
        <f t="shared" si="20"/>
        <v/>
      </c>
      <c r="J95" s="14" t="str">
        <f t="shared" ref="J95:J96" si="31">IF($B95="","",IF(OR($J$1="",$J$2=""),$B$1+3*$B$2,$J$1+3*$J$2))</f>
        <v/>
      </c>
      <c r="K95" s="13" t="str">
        <f t="shared" si="21"/>
        <v/>
      </c>
      <c r="L95" s="10" t="str">
        <f t="shared" si="22"/>
        <v/>
      </c>
      <c r="M95" s="10" t="str">
        <f t="shared" si="23"/>
        <v/>
      </c>
      <c r="N95" s="10" t="str">
        <f t="shared" si="24"/>
        <v/>
      </c>
      <c r="O95" s="10" t="str">
        <f t="shared" si="25"/>
        <v/>
      </c>
      <c r="P95" s="10" t="str">
        <f t="shared" si="26"/>
        <v/>
      </c>
      <c r="Q95" s="14" t="str">
        <f t="shared" si="27"/>
        <v/>
      </c>
    </row>
    <row r="96" spans="1:17" x14ac:dyDescent="0.25">
      <c r="A96" s="4">
        <v>47453</v>
      </c>
      <c r="B96" s="5" t="str">
        <f>IF('Catalogo de Variaveis'!U101="","",SUM('Catalogo de Variaveis'!U98:U101))</f>
        <v/>
      </c>
      <c r="C96" s="15" t="str">
        <f>IFERROR(IF($B96="","",AVERAGE('Catalogo de Variaveis'!U101-'Catalogo de Variaveis'!U100,'Catalogo de Variaveis'!U100-'Catalogo de Variaveis'!U99,'Catalogo de Variaveis'!U99-'Catalogo de Variaveis'!U98,'Catalogo de Variaveis'!U98-'Catalogo de Variaveis'!U97)),0)</f>
        <v/>
      </c>
      <c r="D96" s="13" t="str">
        <f t="shared" si="18"/>
        <v/>
      </c>
      <c r="E96" s="10" t="str">
        <f t="shared" si="28"/>
        <v/>
      </c>
      <c r="F96" s="10" t="str">
        <f t="shared" si="29"/>
        <v/>
      </c>
      <c r="G96" s="10" t="str">
        <f t="shared" si="19"/>
        <v/>
      </c>
      <c r="H96" s="10" t="str">
        <f t="shared" si="30"/>
        <v/>
      </c>
      <c r="I96" s="10" t="str">
        <f t="shared" si="20"/>
        <v/>
      </c>
      <c r="J96" s="14" t="str">
        <f t="shared" si="31"/>
        <v/>
      </c>
      <c r="K96" s="13" t="str">
        <f t="shared" si="21"/>
        <v/>
      </c>
      <c r="L96" s="10" t="str">
        <f t="shared" si="22"/>
        <v/>
      </c>
      <c r="M96" s="10" t="str">
        <f t="shared" si="23"/>
        <v/>
      </c>
      <c r="N96" s="10" t="str">
        <f t="shared" si="24"/>
        <v/>
      </c>
      <c r="O96" s="10" t="str">
        <f t="shared" si="25"/>
        <v/>
      </c>
      <c r="P96" s="10" t="str">
        <f t="shared" si="26"/>
        <v/>
      </c>
      <c r="Q96" s="14" t="str">
        <f t="shared" si="27"/>
        <v/>
      </c>
    </row>
  </sheetData>
  <mergeCells count="4">
    <mergeCell ref="A5:Q6"/>
    <mergeCell ref="A7:C7"/>
    <mergeCell ref="D7:J7"/>
    <mergeCell ref="K7:Q7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1F7F-1C4A-4203-9A17-90F62ADE5326}">
  <dimension ref="A1:R60"/>
  <sheetViews>
    <sheetView topLeftCell="A5" zoomScale="152" zoomScaleNormal="152" workbookViewId="0">
      <selection activeCell="B15" sqref="B15"/>
    </sheetView>
  </sheetViews>
  <sheetFormatPr defaultRowHeight="15" x14ac:dyDescent="0.25"/>
  <cols>
    <col min="1" max="1" width="13.85546875" style="2" bestFit="1" customWidth="1"/>
    <col min="2" max="2" width="10.7109375" style="2" customWidth="1"/>
    <col min="3" max="4" width="10.7109375" customWidth="1"/>
  </cols>
  <sheetData>
    <row r="1" spans="1:18" hidden="1" x14ac:dyDescent="0.25">
      <c r="A1" s="7" t="s">
        <v>0</v>
      </c>
      <c r="B1" s="7"/>
      <c r="C1" s="9"/>
      <c r="D1" s="9"/>
    </row>
    <row r="2" spans="1:18" hidden="1" x14ac:dyDescent="0.25">
      <c r="A2" s="7" t="s">
        <v>1</v>
      </c>
      <c r="B2" s="7"/>
      <c r="C2" s="9"/>
      <c r="D2" s="9"/>
    </row>
    <row r="3" spans="1:18" hidden="1" x14ac:dyDescent="0.25">
      <c r="A3" s="7" t="s">
        <v>2</v>
      </c>
      <c r="B3" s="7"/>
      <c r="C3" s="9"/>
      <c r="D3" s="9"/>
    </row>
    <row r="4" spans="1:18" hidden="1" x14ac:dyDescent="0.25">
      <c r="A4" s="7" t="s">
        <v>3</v>
      </c>
      <c r="B4" s="7"/>
      <c r="C4" s="9"/>
      <c r="D4" s="9"/>
    </row>
    <row r="5" spans="1:18" ht="15" customHeight="1" x14ac:dyDescent="0.25">
      <c r="A5" s="22" t="s">
        <v>59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x14ac:dyDescent="0.25">
      <c r="A7" s="26" t="s">
        <v>28</v>
      </c>
      <c r="B7" s="26"/>
      <c r="C7" s="26"/>
      <c r="D7" s="26"/>
      <c r="E7" s="27" t="s">
        <v>60</v>
      </c>
      <c r="F7" s="28"/>
      <c r="G7" s="28"/>
      <c r="H7" s="28"/>
      <c r="I7" s="28"/>
      <c r="J7" s="28"/>
      <c r="K7" s="29"/>
      <c r="L7" s="27" t="s">
        <v>30</v>
      </c>
      <c r="M7" s="28"/>
      <c r="N7" s="28"/>
      <c r="O7" s="28"/>
      <c r="P7" s="28"/>
      <c r="Q7" s="28"/>
      <c r="R7" s="29"/>
    </row>
    <row r="8" spans="1:18" ht="15.75" thickBot="1" x14ac:dyDescent="0.3">
      <c r="A8" s="11" t="s">
        <v>31</v>
      </c>
      <c r="B8" s="3" t="s">
        <v>16</v>
      </c>
      <c r="C8" s="3" t="s">
        <v>17</v>
      </c>
      <c r="D8" s="12" t="s">
        <v>61</v>
      </c>
      <c r="E8" s="11" t="s">
        <v>34</v>
      </c>
      <c r="F8" s="3" t="s">
        <v>35</v>
      </c>
      <c r="G8" s="3" t="s">
        <v>36</v>
      </c>
      <c r="H8" s="3" t="s">
        <v>37</v>
      </c>
      <c r="I8" s="3" t="s">
        <v>38</v>
      </c>
      <c r="J8" s="3" t="s">
        <v>39</v>
      </c>
      <c r="K8" s="12" t="s">
        <v>40</v>
      </c>
      <c r="L8" s="11" t="s">
        <v>34</v>
      </c>
      <c r="M8" s="3" t="s">
        <v>35</v>
      </c>
      <c r="N8" s="3" t="s">
        <v>36</v>
      </c>
      <c r="O8" s="3" t="s">
        <v>37</v>
      </c>
      <c r="P8" s="3" t="s">
        <v>38</v>
      </c>
      <c r="Q8" s="3" t="s">
        <v>39</v>
      </c>
      <c r="R8" s="12" t="s">
        <v>40</v>
      </c>
    </row>
    <row r="9" spans="1:18" x14ac:dyDescent="0.25">
      <c r="A9" s="4" t="s">
        <v>45</v>
      </c>
      <c r="B9" s="18">
        <f>IFERROR(VLOOKUP(A9,'V07'!$A$8:$B$1048576,2,0),"")</f>
        <v>0</v>
      </c>
      <c r="C9" s="18">
        <f>IFERROR(VLOOKUP(A9,'V08'!$A$8:$B$1048576,2,0),"")</f>
        <v>0</v>
      </c>
      <c r="D9" s="20" t="str">
        <f>IFERROR(IF(A9="","",100*B9/C9),"")</f>
        <v/>
      </c>
      <c r="E9" s="13"/>
      <c r="F9" s="10"/>
      <c r="G9" s="10"/>
      <c r="H9" s="10"/>
      <c r="I9" s="10"/>
      <c r="J9" s="10"/>
      <c r="K9" s="14"/>
      <c r="L9" s="13"/>
      <c r="M9" s="10"/>
      <c r="N9" s="10"/>
      <c r="O9" s="10"/>
      <c r="P9" s="10"/>
      <c r="Q9" s="10"/>
      <c r="R9" s="14"/>
    </row>
    <row r="10" spans="1:18" x14ac:dyDescent="0.25">
      <c r="A10" s="4" t="s">
        <v>46</v>
      </c>
      <c r="B10" s="18">
        <f>IFERROR(VLOOKUP(A10,'V07'!$A$8:$B$1048576,2,0),"")</f>
        <v>80</v>
      </c>
      <c r="C10" s="18">
        <f>IFERROR(VLOOKUP(A10,'V08'!$A$8:$B$1048576,2,0),"")</f>
        <v>54</v>
      </c>
      <c r="D10" s="20">
        <f t="shared" ref="D10:D60" si="0">IFERROR(IF(A10="","",100*B10/C10),"")</f>
        <v>148.14814814814815</v>
      </c>
      <c r="E10" s="13"/>
      <c r="F10" s="10"/>
      <c r="G10" s="10"/>
      <c r="H10" s="10"/>
      <c r="I10" s="10"/>
      <c r="J10" s="10"/>
      <c r="K10" s="14"/>
      <c r="L10" s="13"/>
      <c r="M10" s="10"/>
      <c r="N10" s="10"/>
      <c r="O10" s="10"/>
      <c r="P10" s="10"/>
      <c r="Q10" s="10"/>
      <c r="R10" s="14"/>
    </row>
    <row r="11" spans="1:18" x14ac:dyDescent="0.25">
      <c r="A11" s="4" t="s">
        <v>47</v>
      </c>
      <c r="B11" s="18">
        <f>IFERROR(VLOOKUP(A11,'V07'!$A$8:$B$1048576,2,0),"")</f>
        <v>98</v>
      </c>
      <c r="C11" s="18">
        <f>IFERROR(VLOOKUP(A11,'V08'!$A$8:$B$1048576,2,0),"")</f>
        <v>65</v>
      </c>
      <c r="D11" s="20">
        <f t="shared" si="0"/>
        <v>150.76923076923077</v>
      </c>
      <c r="E11" s="13"/>
      <c r="F11" s="10"/>
      <c r="G11" s="10"/>
      <c r="H11" s="10"/>
      <c r="I11" s="10"/>
      <c r="J11" s="10"/>
      <c r="K11" s="14"/>
      <c r="L11" s="13"/>
      <c r="M11" s="10"/>
      <c r="N11" s="10"/>
      <c r="O11" s="10"/>
      <c r="P11" s="10"/>
      <c r="Q11" s="10"/>
      <c r="R11" s="14"/>
    </row>
    <row r="12" spans="1:18" x14ac:dyDescent="0.25">
      <c r="A12" s="4" t="s">
        <v>48</v>
      </c>
      <c r="B12" s="18">
        <f>IFERROR(VLOOKUP(A12,'V07'!$A$8:$B$1048576,2,0),"")</f>
        <v>0</v>
      </c>
      <c r="C12" s="18">
        <f>IFERROR(VLOOKUP(A12,'V08'!$A$8:$B$1048576,2,0),"")</f>
        <v>0</v>
      </c>
      <c r="D12" s="20" t="str">
        <f t="shared" si="0"/>
        <v/>
      </c>
      <c r="E12" s="13"/>
      <c r="F12" s="10"/>
      <c r="G12" s="10"/>
      <c r="H12" s="10"/>
      <c r="I12" s="10"/>
      <c r="J12" s="10"/>
      <c r="K12" s="14"/>
      <c r="L12" s="13"/>
      <c r="M12" s="10"/>
      <c r="N12" s="10"/>
      <c r="O12" s="10"/>
      <c r="P12" s="10"/>
      <c r="Q12" s="10"/>
      <c r="R12" s="14"/>
    </row>
    <row r="13" spans="1:18" x14ac:dyDescent="0.25">
      <c r="A13" s="4" t="s">
        <v>49</v>
      </c>
      <c r="B13" s="18">
        <f>IFERROR(VLOOKUP(A13,'V07'!$A$8:$B$1048576,2,0),"")</f>
        <v>0</v>
      </c>
      <c r="C13" s="18">
        <f>IFERROR(VLOOKUP(A13,'V08'!$A$8:$B$1048576,2,0),"")</f>
        <v>0</v>
      </c>
      <c r="D13" s="20" t="str">
        <f t="shared" si="0"/>
        <v/>
      </c>
      <c r="E13" s="13"/>
      <c r="F13" s="10"/>
      <c r="G13" s="10"/>
      <c r="H13" s="10"/>
      <c r="I13" s="10"/>
      <c r="J13" s="10"/>
      <c r="K13" s="14"/>
      <c r="L13" s="13"/>
      <c r="M13" s="10"/>
      <c r="N13" s="10"/>
      <c r="O13" s="10"/>
      <c r="P13" s="10"/>
      <c r="Q13" s="10"/>
      <c r="R13" s="14"/>
    </row>
    <row r="14" spans="1:18" x14ac:dyDescent="0.25">
      <c r="A14" s="4" t="s">
        <v>50</v>
      </c>
      <c r="B14" s="18">
        <f>IFERROR(VLOOKUP(A14,'V07'!$A$8:$B$1048576,2,0),"")</f>
        <v>124</v>
      </c>
      <c r="C14" s="18">
        <f>IFERROR(VLOOKUP(A14,'V08'!$A$8:$B$1048576,2,0),"")</f>
        <v>106</v>
      </c>
      <c r="D14" s="20">
        <f t="shared" si="0"/>
        <v>116.98113207547169</v>
      </c>
      <c r="E14" s="13"/>
      <c r="F14" s="10"/>
      <c r="G14" s="10"/>
      <c r="H14" s="10"/>
      <c r="I14" s="10"/>
      <c r="J14" s="10"/>
      <c r="K14" s="14"/>
      <c r="L14" s="13"/>
      <c r="M14" s="10"/>
      <c r="N14" s="10"/>
      <c r="O14" s="10"/>
      <c r="P14" s="10"/>
      <c r="Q14" s="10"/>
      <c r="R14" s="14"/>
    </row>
    <row r="15" spans="1:18" x14ac:dyDescent="0.25">
      <c r="A15" s="4" t="s">
        <v>51</v>
      </c>
      <c r="B15" s="18">
        <f>IFERROR(VLOOKUP(A15,'V07'!$A$8:$B$1048576,2,0),"")</f>
        <v>63</v>
      </c>
      <c r="C15" s="18">
        <f>IFERROR(VLOOKUP(A15,'V08'!$A$8:$B$1048576,2,0),"")</f>
        <v>63</v>
      </c>
      <c r="D15" s="20">
        <f t="shared" si="0"/>
        <v>100</v>
      </c>
      <c r="E15" s="13"/>
      <c r="F15" s="10"/>
      <c r="G15" s="10"/>
      <c r="H15" s="10"/>
      <c r="I15" s="10"/>
      <c r="J15" s="10"/>
      <c r="K15" s="14"/>
      <c r="L15" s="13"/>
      <c r="M15" s="10"/>
      <c r="N15" s="10"/>
      <c r="O15" s="10"/>
      <c r="P15" s="10"/>
      <c r="Q15" s="10"/>
      <c r="R15" s="14"/>
    </row>
    <row r="16" spans="1:18" x14ac:dyDescent="0.25">
      <c r="A16" s="4"/>
      <c r="B16" s="18" t="str">
        <f>IFERROR(VLOOKUP(A16,'V07'!$A$8:$B$1048576,2,0),"")</f>
        <v/>
      </c>
      <c r="C16" s="18" t="str">
        <f>IFERROR(VLOOKUP(A16,'V08'!$A$8:$B$1048576,2,0),"")</f>
        <v/>
      </c>
      <c r="D16" s="20" t="str">
        <f t="shared" si="0"/>
        <v/>
      </c>
      <c r="E16" s="13"/>
      <c r="F16" s="10"/>
      <c r="G16" s="10"/>
      <c r="H16" s="10"/>
      <c r="I16" s="10"/>
      <c r="J16" s="10"/>
      <c r="K16" s="14"/>
      <c r="L16" s="13"/>
      <c r="M16" s="10"/>
      <c r="N16" s="10"/>
      <c r="O16" s="10"/>
      <c r="P16" s="10"/>
      <c r="Q16" s="10"/>
      <c r="R16" s="14"/>
    </row>
    <row r="17" spans="1:18" x14ac:dyDescent="0.25">
      <c r="A17" s="4"/>
      <c r="B17" s="18" t="str">
        <f>IFERROR(VLOOKUP(A17,'V07'!$A$8:$B$1048576,2,0),"")</f>
        <v/>
      </c>
      <c r="C17" s="18" t="str">
        <f>IFERROR(VLOOKUP(A17,'V08'!$A$8:$B$1048576,2,0),"")</f>
        <v/>
      </c>
      <c r="D17" s="20" t="str">
        <f t="shared" si="0"/>
        <v/>
      </c>
      <c r="E17" s="13"/>
      <c r="F17" s="10"/>
      <c r="G17" s="10"/>
      <c r="H17" s="10"/>
      <c r="I17" s="10"/>
      <c r="J17" s="10"/>
      <c r="K17" s="14"/>
      <c r="L17" s="13"/>
      <c r="M17" s="10"/>
      <c r="N17" s="10"/>
      <c r="O17" s="10"/>
      <c r="P17" s="10"/>
      <c r="Q17" s="10"/>
      <c r="R17" s="14"/>
    </row>
    <row r="18" spans="1:18" x14ac:dyDescent="0.25">
      <c r="A18" s="4"/>
      <c r="B18" s="18" t="str">
        <f>IFERROR(VLOOKUP(A18,'V07'!$A$8:$B$1048576,2,0),"")</f>
        <v/>
      </c>
      <c r="C18" s="18" t="str">
        <f>IFERROR(VLOOKUP(A18,'V08'!$A$8:$B$1048576,2,0),"")</f>
        <v/>
      </c>
      <c r="D18" s="20" t="str">
        <f t="shared" si="0"/>
        <v/>
      </c>
      <c r="E18" s="13"/>
      <c r="F18" s="10"/>
      <c r="G18" s="10"/>
      <c r="H18" s="10"/>
      <c r="I18" s="10"/>
      <c r="J18" s="10"/>
      <c r="K18" s="14"/>
      <c r="L18" s="13"/>
      <c r="M18" s="10"/>
      <c r="N18" s="10"/>
      <c r="O18" s="10"/>
      <c r="P18" s="10"/>
      <c r="Q18" s="10"/>
      <c r="R18" s="14"/>
    </row>
    <row r="19" spans="1:18" x14ac:dyDescent="0.25">
      <c r="A19" s="4"/>
      <c r="B19" s="18" t="str">
        <f>IFERROR(VLOOKUP(A19,'V07'!$A$8:$B$1048576,2,0),"")</f>
        <v/>
      </c>
      <c r="C19" s="18" t="str">
        <f>IFERROR(VLOOKUP(A19,'V08'!$A$8:$B$1048576,2,0),"")</f>
        <v/>
      </c>
      <c r="D19" s="20" t="str">
        <f t="shared" si="0"/>
        <v/>
      </c>
      <c r="E19" s="13"/>
      <c r="F19" s="10"/>
      <c r="G19" s="10"/>
      <c r="H19" s="10"/>
      <c r="I19" s="10"/>
      <c r="J19" s="10"/>
      <c r="K19" s="14"/>
      <c r="L19" s="13"/>
      <c r="M19" s="10"/>
      <c r="N19" s="10"/>
      <c r="O19" s="10"/>
      <c r="P19" s="10"/>
      <c r="Q19" s="10"/>
      <c r="R19" s="14"/>
    </row>
    <row r="20" spans="1:18" x14ac:dyDescent="0.25">
      <c r="A20" s="4"/>
      <c r="B20" s="18" t="str">
        <f>IFERROR(VLOOKUP(A20,'V07'!$A$8:$B$1048576,2,0),"")</f>
        <v/>
      </c>
      <c r="C20" s="18" t="str">
        <f>IFERROR(VLOOKUP(A20,'V08'!$A$8:$B$1048576,2,0),"")</f>
        <v/>
      </c>
      <c r="D20" s="20" t="str">
        <f t="shared" si="0"/>
        <v/>
      </c>
      <c r="E20" s="13"/>
      <c r="F20" s="10"/>
      <c r="G20" s="10"/>
      <c r="H20" s="10"/>
      <c r="I20" s="10"/>
      <c r="J20" s="10"/>
      <c r="K20" s="14"/>
      <c r="L20" s="13"/>
      <c r="M20" s="10"/>
      <c r="N20" s="10"/>
      <c r="O20" s="10"/>
      <c r="P20" s="10"/>
      <c r="Q20" s="10"/>
      <c r="R20" s="14"/>
    </row>
    <row r="21" spans="1:18" x14ac:dyDescent="0.25">
      <c r="A21" s="4"/>
      <c r="B21" s="18" t="str">
        <f>IFERROR(VLOOKUP(A21,'V07'!$A$8:$B$1048576,2,0),"")</f>
        <v/>
      </c>
      <c r="C21" s="18" t="str">
        <f>IFERROR(VLOOKUP(A21,'V08'!$A$8:$B$1048576,2,0),"")</f>
        <v/>
      </c>
      <c r="D21" s="20" t="str">
        <f t="shared" si="0"/>
        <v/>
      </c>
      <c r="E21" s="13"/>
      <c r="F21" s="10"/>
      <c r="G21" s="10"/>
      <c r="H21" s="10"/>
      <c r="I21" s="10"/>
      <c r="J21" s="10"/>
      <c r="K21" s="14"/>
      <c r="L21" s="13"/>
      <c r="M21" s="10"/>
      <c r="N21" s="10"/>
      <c r="O21" s="10"/>
      <c r="P21" s="10"/>
      <c r="Q21" s="10"/>
      <c r="R21" s="14"/>
    </row>
    <row r="22" spans="1:18" x14ac:dyDescent="0.25">
      <c r="A22" s="4"/>
      <c r="B22" s="18" t="str">
        <f>IFERROR(VLOOKUP(A22,'V07'!$A$8:$B$1048576,2,0),"")</f>
        <v/>
      </c>
      <c r="C22" s="18" t="str">
        <f>IFERROR(VLOOKUP(A22,'V08'!$A$8:$B$1048576,2,0),"")</f>
        <v/>
      </c>
      <c r="D22" s="20" t="str">
        <f t="shared" si="0"/>
        <v/>
      </c>
      <c r="E22" s="13"/>
      <c r="F22" s="10"/>
      <c r="G22" s="10"/>
      <c r="H22" s="10"/>
      <c r="I22" s="10"/>
      <c r="J22" s="10"/>
      <c r="K22" s="14"/>
      <c r="L22" s="13"/>
      <c r="M22" s="10"/>
      <c r="N22" s="10"/>
      <c r="O22" s="10"/>
      <c r="P22" s="10"/>
      <c r="Q22" s="10"/>
      <c r="R22" s="14"/>
    </row>
    <row r="23" spans="1:18" x14ac:dyDescent="0.25">
      <c r="A23" s="4"/>
      <c r="B23" s="18" t="str">
        <f>IFERROR(VLOOKUP(A23,'V07'!$A$8:$B$1048576,2,0),"")</f>
        <v/>
      </c>
      <c r="C23" s="18" t="str">
        <f>IFERROR(VLOOKUP(A23,'V08'!$A$8:$B$1048576,2,0),"")</f>
        <v/>
      </c>
      <c r="D23" s="20" t="str">
        <f t="shared" si="0"/>
        <v/>
      </c>
      <c r="E23" s="13"/>
      <c r="F23" s="10"/>
      <c r="G23" s="10"/>
      <c r="H23" s="10"/>
      <c r="I23" s="10"/>
      <c r="J23" s="10"/>
      <c r="K23" s="14"/>
      <c r="L23" s="13"/>
      <c r="M23" s="10"/>
      <c r="N23" s="10"/>
      <c r="O23" s="10"/>
      <c r="P23" s="10"/>
      <c r="Q23" s="10"/>
      <c r="R23" s="14"/>
    </row>
    <row r="24" spans="1:18" x14ac:dyDescent="0.25">
      <c r="A24" s="4"/>
      <c r="B24" s="18" t="str">
        <f>IFERROR(VLOOKUP(A24,'V07'!$A$8:$B$1048576,2,0),"")</f>
        <v/>
      </c>
      <c r="C24" s="18" t="str">
        <f>IFERROR(VLOOKUP(A24,'V08'!$A$8:$B$1048576,2,0),"")</f>
        <v/>
      </c>
      <c r="D24" s="20" t="str">
        <f t="shared" si="0"/>
        <v/>
      </c>
      <c r="E24" s="13"/>
      <c r="F24" s="10"/>
      <c r="G24" s="10"/>
      <c r="H24" s="10"/>
      <c r="I24" s="10"/>
      <c r="J24" s="10"/>
      <c r="K24" s="14"/>
      <c r="L24" s="13"/>
      <c r="M24" s="10"/>
      <c r="N24" s="10"/>
      <c r="O24" s="10"/>
      <c r="P24" s="10"/>
      <c r="Q24" s="10"/>
      <c r="R24" s="14"/>
    </row>
    <row r="25" spans="1:18" x14ac:dyDescent="0.25">
      <c r="A25" s="4"/>
      <c r="B25" s="18" t="str">
        <f>IFERROR(VLOOKUP(A25,'V07'!$A$8:$B$1048576,2,0),"")</f>
        <v/>
      </c>
      <c r="C25" s="18" t="str">
        <f>IFERROR(VLOOKUP(A25,'V08'!$A$8:$B$1048576,2,0),"")</f>
        <v/>
      </c>
      <c r="D25" s="20" t="str">
        <f t="shared" si="0"/>
        <v/>
      </c>
      <c r="E25" s="13"/>
      <c r="F25" s="10"/>
      <c r="G25" s="10"/>
      <c r="H25" s="10"/>
      <c r="I25" s="10"/>
      <c r="J25" s="10"/>
      <c r="K25" s="14"/>
      <c r="L25" s="13"/>
      <c r="M25" s="10"/>
      <c r="N25" s="10"/>
      <c r="O25" s="10"/>
      <c r="P25" s="10"/>
      <c r="Q25" s="10"/>
      <c r="R25" s="14"/>
    </row>
    <row r="26" spans="1:18" x14ac:dyDescent="0.25">
      <c r="A26" s="4"/>
      <c r="B26" s="18" t="str">
        <f>IFERROR(VLOOKUP(A26,'V07'!$A$8:$B$1048576,2,0),"")</f>
        <v/>
      </c>
      <c r="C26" s="18" t="str">
        <f>IFERROR(VLOOKUP(A26,'V08'!$A$8:$B$1048576,2,0),"")</f>
        <v/>
      </c>
      <c r="D26" s="20" t="str">
        <f t="shared" si="0"/>
        <v/>
      </c>
      <c r="E26" s="13"/>
      <c r="F26" s="10"/>
      <c r="G26" s="10"/>
      <c r="H26" s="10"/>
      <c r="I26" s="10"/>
      <c r="J26" s="10"/>
      <c r="K26" s="14"/>
      <c r="L26" s="13"/>
      <c r="M26" s="10"/>
      <c r="N26" s="10"/>
      <c r="O26" s="10"/>
      <c r="P26" s="10"/>
      <c r="Q26" s="10"/>
      <c r="R26" s="14"/>
    </row>
    <row r="27" spans="1:18" x14ac:dyDescent="0.25">
      <c r="A27" s="4"/>
      <c r="B27" s="18" t="str">
        <f>IFERROR(VLOOKUP(A27,'V07'!$A$8:$B$1048576,2,0),"")</f>
        <v/>
      </c>
      <c r="C27" s="18" t="str">
        <f>IFERROR(VLOOKUP(A27,'V08'!$A$8:$B$1048576,2,0),"")</f>
        <v/>
      </c>
      <c r="D27" s="20" t="str">
        <f t="shared" si="0"/>
        <v/>
      </c>
      <c r="E27" s="13"/>
      <c r="F27" s="10"/>
      <c r="G27" s="10"/>
      <c r="H27" s="10"/>
      <c r="I27" s="10"/>
      <c r="J27" s="10"/>
      <c r="K27" s="14"/>
      <c r="L27" s="13"/>
      <c r="M27" s="10"/>
      <c r="N27" s="10"/>
      <c r="O27" s="10"/>
      <c r="P27" s="10"/>
      <c r="Q27" s="10"/>
      <c r="R27" s="14"/>
    </row>
    <row r="28" spans="1:18" x14ac:dyDescent="0.25">
      <c r="A28" s="4"/>
      <c r="B28" s="18" t="str">
        <f>IFERROR(VLOOKUP(A28,'V07'!$A$8:$B$1048576,2,0),"")</f>
        <v/>
      </c>
      <c r="C28" s="18" t="str">
        <f>IFERROR(VLOOKUP(A28,'V08'!$A$8:$B$1048576,2,0),"")</f>
        <v/>
      </c>
      <c r="D28" s="20" t="str">
        <f t="shared" si="0"/>
        <v/>
      </c>
      <c r="E28" s="13"/>
      <c r="F28" s="10"/>
      <c r="G28" s="10"/>
      <c r="H28" s="10"/>
      <c r="I28" s="10"/>
      <c r="J28" s="10"/>
      <c r="K28" s="14"/>
      <c r="L28" s="13"/>
      <c r="M28" s="10"/>
      <c r="N28" s="10"/>
      <c r="O28" s="10"/>
      <c r="P28" s="10"/>
      <c r="Q28" s="10"/>
      <c r="R28" s="14"/>
    </row>
    <row r="29" spans="1:18" x14ac:dyDescent="0.25">
      <c r="A29" s="4"/>
      <c r="B29" s="18" t="str">
        <f>IFERROR(VLOOKUP(A29,'V07'!$A$8:$B$1048576,2,0),"")</f>
        <v/>
      </c>
      <c r="C29" s="18" t="str">
        <f>IFERROR(VLOOKUP(A29,'V08'!$A$8:$B$1048576,2,0),"")</f>
        <v/>
      </c>
      <c r="D29" s="20" t="str">
        <f t="shared" si="0"/>
        <v/>
      </c>
      <c r="E29" s="13"/>
      <c r="F29" s="10"/>
      <c r="G29" s="10"/>
      <c r="H29" s="10"/>
      <c r="I29" s="10"/>
      <c r="J29" s="10"/>
      <c r="K29" s="14"/>
      <c r="L29" s="13"/>
      <c r="M29" s="10"/>
      <c r="N29" s="10"/>
      <c r="O29" s="10"/>
      <c r="P29" s="10"/>
      <c r="Q29" s="10"/>
      <c r="R29" s="14"/>
    </row>
    <row r="30" spans="1:18" x14ac:dyDescent="0.25">
      <c r="A30" s="4"/>
      <c r="B30" s="18" t="str">
        <f>IFERROR(VLOOKUP(A30,'V07'!$A$8:$B$1048576,2,0),"")</f>
        <v/>
      </c>
      <c r="C30" s="18" t="str">
        <f>IFERROR(VLOOKUP(A30,'V08'!$A$8:$B$1048576,2,0),"")</f>
        <v/>
      </c>
      <c r="D30" s="20" t="str">
        <f t="shared" si="0"/>
        <v/>
      </c>
      <c r="E30" s="13"/>
      <c r="F30" s="10"/>
      <c r="G30" s="10"/>
      <c r="H30" s="10"/>
      <c r="I30" s="10"/>
      <c r="J30" s="10"/>
      <c r="K30" s="14"/>
      <c r="L30" s="13"/>
      <c r="M30" s="10"/>
      <c r="N30" s="10"/>
      <c r="O30" s="10"/>
      <c r="P30" s="10"/>
      <c r="Q30" s="10"/>
      <c r="R30" s="14"/>
    </row>
    <row r="31" spans="1:18" x14ac:dyDescent="0.25">
      <c r="A31" s="4"/>
      <c r="B31" s="18" t="str">
        <f>IFERROR(VLOOKUP(A31,'V07'!$A$8:$B$1048576,2,0),"")</f>
        <v/>
      </c>
      <c r="C31" s="18" t="str">
        <f>IFERROR(VLOOKUP(A31,'V08'!$A$8:$B$1048576,2,0),"")</f>
        <v/>
      </c>
      <c r="D31" s="20" t="str">
        <f t="shared" si="0"/>
        <v/>
      </c>
      <c r="E31" s="13"/>
      <c r="F31" s="10"/>
      <c r="G31" s="10"/>
      <c r="H31" s="10"/>
      <c r="I31" s="10"/>
      <c r="J31" s="10"/>
      <c r="K31" s="14"/>
      <c r="L31" s="13"/>
      <c r="M31" s="10"/>
      <c r="N31" s="10"/>
      <c r="O31" s="10"/>
      <c r="P31" s="10"/>
      <c r="Q31" s="10"/>
      <c r="R31" s="14"/>
    </row>
    <row r="32" spans="1:18" x14ac:dyDescent="0.25">
      <c r="A32" s="4"/>
      <c r="B32" s="18" t="str">
        <f>IFERROR(VLOOKUP(A32,'V07'!$A$8:$B$1048576,2,0),"")</f>
        <v/>
      </c>
      <c r="C32" s="18" t="str">
        <f>IFERROR(VLOOKUP(A32,'V08'!$A$8:$B$1048576,2,0),"")</f>
        <v/>
      </c>
      <c r="D32" s="20" t="str">
        <f t="shared" si="0"/>
        <v/>
      </c>
      <c r="E32" s="13"/>
      <c r="F32" s="10"/>
      <c r="G32" s="10"/>
      <c r="H32" s="10"/>
      <c r="I32" s="10"/>
      <c r="J32" s="10"/>
      <c r="K32" s="14"/>
      <c r="L32" s="13"/>
      <c r="M32" s="10"/>
      <c r="N32" s="10"/>
      <c r="O32" s="10"/>
      <c r="P32" s="10"/>
      <c r="Q32" s="10"/>
      <c r="R32" s="14"/>
    </row>
    <row r="33" spans="1:18" x14ac:dyDescent="0.25">
      <c r="A33" s="4"/>
      <c r="B33" s="18" t="str">
        <f>IFERROR(VLOOKUP(A33,'V07'!$A$8:$B$1048576,2,0),"")</f>
        <v/>
      </c>
      <c r="C33" s="18" t="str">
        <f>IFERROR(VLOOKUP(A33,'V08'!$A$8:$B$1048576,2,0),"")</f>
        <v/>
      </c>
      <c r="D33" s="20" t="str">
        <f t="shared" si="0"/>
        <v/>
      </c>
      <c r="E33" s="13"/>
      <c r="F33" s="10"/>
      <c r="G33" s="10"/>
      <c r="H33" s="10"/>
      <c r="I33" s="10"/>
      <c r="J33" s="10"/>
      <c r="K33" s="14"/>
      <c r="L33" s="13"/>
      <c r="M33" s="10"/>
      <c r="N33" s="10"/>
      <c r="O33" s="10"/>
      <c r="P33" s="10"/>
      <c r="Q33" s="10"/>
      <c r="R33" s="14"/>
    </row>
    <row r="34" spans="1:18" x14ac:dyDescent="0.25">
      <c r="A34" s="4"/>
      <c r="B34" s="18" t="str">
        <f>IFERROR(VLOOKUP(A34,'V07'!$A$8:$B$1048576,2,0),"")</f>
        <v/>
      </c>
      <c r="C34" s="18" t="str">
        <f>IFERROR(VLOOKUP(A34,'V08'!$A$8:$B$1048576,2,0),"")</f>
        <v/>
      </c>
      <c r="D34" s="20" t="str">
        <f t="shared" si="0"/>
        <v/>
      </c>
      <c r="E34" s="13"/>
      <c r="F34" s="10"/>
      <c r="G34" s="10"/>
      <c r="H34" s="10"/>
      <c r="I34" s="10"/>
      <c r="J34" s="10"/>
      <c r="K34" s="14"/>
      <c r="L34" s="13"/>
      <c r="M34" s="10"/>
      <c r="N34" s="10"/>
      <c r="O34" s="10"/>
      <c r="P34" s="10"/>
      <c r="Q34" s="10"/>
      <c r="R34" s="14"/>
    </row>
    <row r="35" spans="1:18" x14ac:dyDescent="0.25">
      <c r="A35" s="4"/>
      <c r="B35" s="18" t="str">
        <f>IFERROR(VLOOKUP(A35,'V07'!$A$8:$B$1048576,2,0),"")</f>
        <v/>
      </c>
      <c r="C35" s="18" t="str">
        <f>IFERROR(VLOOKUP(A35,'V08'!$A$8:$B$1048576,2,0),"")</f>
        <v/>
      </c>
      <c r="D35" s="20" t="str">
        <f t="shared" si="0"/>
        <v/>
      </c>
      <c r="E35" s="13"/>
      <c r="F35" s="10"/>
      <c r="G35" s="10"/>
      <c r="H35" s="10"/>
      <c r="I35" s="10"/>
      <c r="J35" s="10"/>
      <c r="K35" s="14"/>
      <c r="L35" s="13"/>
      <c r="M35" s="10"/>
      <c r="N35" s="10"/>
      <c r="O35" s="10"/>
      <c r="P35" s="10"/>
      <c r="Q35" s="10"/>
      <c r="R35" s="14"/>
    </row>
    <row r="36" spans="1:18" x14ac:dyDescent="0.25">
      <c r="A36" s="4"/>
      <c r="B36" s="18" t="str">
        <f>IFERROR(VLOOKUP(A36,'V07'!$A$8:$B$1048576,2,0),"")</f>
        <v/>
      </c>
      <c r="C36" s="18" t="str">
        <f>IFERROR(VLOOKUP(A36,'V08'!$A$8:$B$1048576,2,0),"")</f>
        <v/>
      </c>
      <c r="D36" s="20" t="str">
        <f t="shared" si="0"/>
        <v/>
      </c>
      <c r="E36" s="13"/>
      <c r="F36" s="10"/>
      <c r="G36" s="10"/>
      <c r="H36" s="10"/>
      <c r="I36" s="10"/>
      <c r="J36" s="10"/>
      <c r="K36" s="14"/>
      <c r="L36" s="13"/>
      <c r="M36" s="10"/>
      <c r="N36" s="10"/>
      <c r="O36" s="10"/>
      <c r="P36" s="10"/>
      <c r="Q36" s="10"/>
      <c r="R36" s="14"/>
    </row>
    <row r="37" spans="1:18" x14ac:dyDescent="0.25">
      <c r="A37" s="4"/>
      <c r="B37" s="18" t="str">
        <f>IFERROR(VLOOKUP(A37,'V07'!$A$8:$B$1048576,2,0),"")</f>
        <v/>
      </c>
      <c r="C37" s="18" t="str">
        <f>IFERROR(VLOOKUP(A37,'V08'!$A$8:$B$1048576,2,0),"")</f>
        <v/>
      </c>
      <c r="D37" s="20" t="str">
        <f t="shared" si="0"/>
        <v/>
      </c>
      <c r="E37" s="13"/>
      <c r="F37" s="10"/>
      <c r="G37" s="10"/>
      <c r="H37" s="10"/>
      <c r="I37" s="10"/>
      <c r="J37" s="10"/>
      <c r="K37" s="14"/>
      <c r="L37" s="13"/>
      <c r="M37" s="10"/>
      <c r="N37" s="10"/>
      <c r="O37" s="10"/>
      <c r="P37" s="10"/>
      <c r="Q37" s="10"/>
      <c r="R37" s="14"/>
    </row>
    <row r="38" spans="1:18" x14ac:dyDescent="0.25">
      <c r="A38" s="4"/>
      <c r="B38" s="18" t="str">
        <f>IFERROR(VLOOKUP(A38,'V07'!$A$8:$B$1048576,2,0),"")</f>
        <v/>
      </c>
      <c r="C38" s="18" t="str">
        <f>IFERROR(VLOOKUP(A38,'V08'!$A$8:$B$1048576,2,0),"")</f>
        <v/>
      </c>
      <c r="D38" s="20" t="str">
        <f t="shared" si="0"/>
        <v/>
      </c>
      <c r="E38" s="13"/>
      <c r="F38" s="10"/>
      <c r="G38" s="10"/>
      <c r="H38" s="10"/>
      <c r="I38" s="10"/>
      <c r="J38" s="10"/>
      <c r="K38" s="14"/>
      <c r="L38" s="13"/>
      <c r="M38" s="10"/>
      <c r="N38" s="10"/>
      <c r="O38" s="10"/>
      <c r="P38" s="10"/>
      <c r="Q38" s="10"/>
      <c r="R38" s="14"/>
    </row>
    <row r="39" spans="1:18" x14ac:dyDescent="0.25">
      <c r="A39" s="4"/>
      <c r="B39" s="18" t="str">
        <f>IFERROR(VLOOKUP(A39,'V07'!$A$8:$B$1048576,2,0),"")</f>
        <v/>
      </c>
      <c r="C39" s="18" t="str">
        <f>IFERROR(VLOOKUP(A39,'V08'!$A$8:$B$1048576,2,0),"")</f>
        <v/>
      </c>
      <c r="D39" s="20" t="str">
        <f t="shared" si="0"/>
        <v/>
      </c>
      <c r="E39" s="13"/>
      <c r="F39" s="10"/>
      <c r="G39" s="10"/>
      <c r="H39" s="10"/>
      <c r="I39" s="10"/>
      <c r="J39" s="10"/>
      <c r="K39" s="14"/>
      <c r="L39" s="13"/>
      <c r="M39" s="10"/>
      <c r="N39" s="10"/>
      <c r="O39" s="10"/>
      <c r="P39" s="10"/>
      <c r="Q39" s="10"/>
      <c r="R39" s="14"/>
    </row>
    <row r="40" spans="1:18" x14ac:dyDescent="0.25">
      <c r="A40" s="4"/>
      <c r="B40" s="18" t="str">
        <f>IFERROR(VLOOKUP(A40,'V07'!$A$8:$B$1048576,2,0),"")</f>
        <v/>
      </c>
      <c r="C40" s="18" t="str">
        <f>IFERROR(VLOOKUP(A40,'V08'!$A$8:$B$1048576,2,0),"")</f>
        <v/>
      </c>
      <c r="D40" s="20" t="str">
        <f t="shared" si="0"/>
        <v/>
      </c>
      <c r="E40" s="13"/>
      <c r="F40" s="10"/>
      <c r="G40" s="10"/>
      <c r="H40" s="10"/>
      <c r="I40" s="10"/>
      <c r="J40" s="10"/>
      <c r="K40" s="14"/>
      <c r="L40" s="13"/>
      <c r="M40" s="10"/>
      <c r="N40" s="10"/>
      <c r="O40" s="10"/>
      <c r="P40" s="10"/>
      <c r="Q40" s="10"/>
      <c r="R40" s="14"/>
    </row>
    <row r="41" spans="1:18" x14ac:dyDescent="0.25">
      <c r="A41" s="4"/>
      <c r="B41" s="18" t="str">
        <f>IFERROR(VLOOKUP(A41,'V07'!$A$8:$B$1048576,2,0),"")</f>
        <v/>
      </c>
      <c r="C41" s="18" t="str">
        <f>IFERROR(VLOOKUP(A41,'V08'!$A$8:$B$1048576,2,0),"")</f>
        <v/>
      </c>
      <c r="D41" s="20" t="str">
        <f t="shared" si="0"/>
        <v/>
      </c>
      <c r="E41" s="13"/>
      <c r="F41" s="10"/>
      <c r="G41" s="10"/>
      <c r="H41" s="10"/>
      <c r="I41" s="10"/>
      <c r="J41" s="10"/>
      <c r="K41" s="14"/>
      <c r="L41" s="13"/>
      <c r="M41" s="10"/>
      <c r="N41" s="10"/>
      <c r="O41" s="10"/>
      <c r="P41" s="10"/>
      <c r="Q41" s="10"/>
      <c r="R41" s="14"/>
    </row>
    <row r="42" spans="1:18" x14ac:dyDescent="0.25">
      <c r="A42" s="4"/>
      <c r="B42" s="18" t="str">
        <f>IFERROR(VLOOKUP(A42,'V07'!$A$8:$B$1048576,2,0),"")</f>
        <v/>
      </c>
      <c r="C42" s="18" t="str">
        <f>IFERROR(VLOOKUP(A42,'V08'!$A$8:$B$1048576,2,0),"")</f>
        <v/>
      </c>
      <c r="D42" s="20" t="str">
        <f t="shared" si="0"/>
        <v/>
      </c>
      <c r="E42" s="13"/>
      <c r="F42" s="10"/>
      <c r="G42" s="10"/>
      <c r="H42" s="10"/>
      <c r="I42" s="10"/>
      <c r="J42" s="10"/>
      <c r="K42" s="14"/>
      <c r="L42" s="13"/>
      <c r="M42" s="10"/>
      <c r="N42" s="10"/>
      <c r="O42" s="10"/>
      <c r="P42" s="10"/>
      <c r="Q42" s="10"/>
      <c r="R42" s="14"/>
    </row>
    <row r="43" spans="1:18" x14ac:dyDescent="0.25">
      <c r="A43" s="4"/>
      <c r="B43" s="18" t="str">
        <f>IFERROR(VLOOKUP(A43,'V07'!$A$8:$B$1048576,2,0),"")</f>
        <v/>
      </c>
      <c r="C43" s="18" t="str">
        <f>IFERROR(VLOOKUP(A43,'V08'!$A$8:$B$1048576,2,0),"")</f>
        <v/>
      </c>
      <c r="D43" s="20" t="str">
        <f t="shared" si="0"/>
        <v/>
      </c>
      <c r="E43" s="13"/>
      <c r="F43" s="10"/>
      <c r="G43" s="10"/>
      <c r="H43" s="10"/>
      <c r="I43" s="10"/>
      <c r="J43" s="10"/>
      <c r="K43" s="14"/>
      <c r="L43" s="13"/>
      <c r="M43" s="10"/>
      <c r="N43" s="10"/>
      <c r="O43" s="10"/>
      <c r="P43" s="10"/>
      <c r="Q43" s="10"/>
      <c r="R43" s="14"/>
    </row>
    <row r="44" spans="1:18" x14ac:dyDescent="0.25">
      <c r="A44" s="4"/>
      <c r="B44" s="18" t="str">
        <f>IFERROR(VLOOKUP(A44,'V07'!$A$8:$B$1048576,2,0),"")</f>
        <v/>
      </c>
      <c r="C44" s="18" t="str">
        <f>IFERROR(VLOOKUP(A44,'V08'!$A$8:$B$1048576,2,0),"")</f>
        <v/>
      </c>
      <c r="D44" s="20" t="str">
        <f t="shared" si="0"/>
        <v/>
      </c>
      <c r="E44" s="13"/>
      <c r="F44" s="10"/>
      <c r="G44" s="10"/>
      <c r="H44" s="10"/>
      <c r="I44" s="10"/>
      <c r="J44" s="10"/>
      <c r="K44" s="14"/>
      <c r="L44" s="13"/>
      <c r="M44" s="10"/>
      <c r="N44" s="10"/>
      <c r="O44" s="10"/>
      <c r="P44" s="10"/>
      <c r="Q44" s="10"/>
      <c r="R44" s="14"/>
    </row>
    <row r="45" spans="1:18" x14ac:dyDescent="0.25">
      <c r="A45" s="4"/>
      <c r="B45" s="18" t="str">
        <f>IFERROR(VLOOKUP(A45,'V07'!$A$8:$B$1048576,2,0),"")</f>
        <v/>
      </c>
      <c r="C45" s="18" t="str">
        <f>IFERROR(VLOOKUP(A45,'V08'!$A$8:$B$1048576,2,0),"")</f>
        <v/>
      </c>
      <c r="D45" s="20" t="str">
        <f t="shared" si="0"/>
        <v/>
      </c>
      <c r="E45" s="13"/>
      <c r="F45" s="10"/>
      <c r="G45" s="10"/>
      <c r="H45" s="10"/>
      <c r="I45" s="10"/>
      <c r="J45" s="10"/>
      <c r="K45" s="14"/>
      <c r="L45" s="13"/>
      <c r="M45" s="10"/>
      <c r="N45" s="10"/>
      <c r="O45" s="10"/>
      <c r="P45" s="10"/>
      <c r="Q45" s="10"/>
      <c r="R45" s="14"/>
    </row>
    <row r="46" spans="1:18" x14ac:dyDescent="0.25">
      <c r="A46" s="4"/>
      <c r="B46" s="18" t="str">
        <f>IFERROR(VLOOKUP(A46,'V07'!$A$8:$B$1048576,2,0),"")</f>
        <v/>
      </c>
      <c r="C46" s="18" t="str">
        <f>IFERROR(VLOOKUP(A46,'V08'!$A$8:$B$1048576,2,0),"")</f>
        <v/>
      </c>
      <c r="D46" s="20" t="str">
        <f t="shared" si="0"/>
        <v/>
      </c>
      <c r="E46" s="13"/>
      <c r="F46" s="10"/>
      <c r="G46" s="10"/>
      <c r="H46" s="10"/>
      <c r="I46" s="10"/>
      <c r="J46" s="10"/>
      <c r="K46" s="14"/>
      <c r="L46" s="13"/>
      <c r="M46" s="10"/>
      <c r="N46" s="10"/>
      <c r="O46" s="10"/>
      <c r="P46" s="10"/>
      <c r="Q46" s="10"/>
      <c r="R46" s="14"/>
    </row>
    <row r="47" spans="1:18" x14ac:dyDescent="0.25">
      <c r="A47" s="4"/>
      <c r="B47" s="18" t="str">
        <f>IFERROR(VLOOKUP(A47,'V07'!$A$8:$B$1048576,2,0),"")</f>
        <v/>
      </c>
      <c r="C47" s="18" t="str">
        <f>IFERROR(VLOOKUP(A47,'V08'!$A$8:$B$1048576,2,0),"")</f>
        <v/>
      </c>
      <c r="D47" s="20" t="str">
        <f t="shared" si="0"/>
        <v/>
      </c>
      <c r="E47" s="13"/>
      <c r="F47" s="10"/>
      <c r="G47" s="10"/>
      <c r="H47" s="10"/>
      <c r="I47" s="10"/>
      <c r="J47" s="10"/>
      <c r="K47" s="14"/>
      <c r="L47" s="13"/>
      <c r="M47" s="10"/>
      <c r="N47" s="10"/>
      <c r="O47" s="10"/>
      <c r="P47" s="10"/>
      <c r="Q47" s="10"/>
      <c r="R47" s="14"/>
    </row>
    <row r="48" spans="1:18" x14ac:dyDescent="0.25">
      <c r="A48" s="4"/>
      <c r="B48" s="18" t="str">
        <f>IFERROR(VLOOKUP(A48,'V07'!$A$8:$B$1048576,2,0),"")</f>
        <v/>
      </c>
      <c r="C48" s="18" t="str">
        <f>IFERROR(VLOOKUP(A48,'V08'!$A$8:$B$1048576,2,0),"")</f>
        <v/>
      </c>
      <c r="D48" s="20" t="str">
        <f t="shared" si="0"/>
        <v/>
      </c>
      <c r="E48" s="13"/>
      <c r="F48" s="10"/>
      <c r="G48" s="10"/>
      <c r="H48" s="10"/>
      <c r="I48" s="10"/>
      <c r="J48" s="10"/>
      <c r="K48" s="14"/>
      <c r="L48" s="13"/>
      <c r="M48" s="10"/>
      <c r="N48" s="10"/>
      <c r="O48" s="10"/>
      <c r="P48" s="10"/>
      <c r="Q48" s="10"/>
      <c r="R48" s="14"/>
    </row>
    <row r="49" spans="1:18" x14ac:dyDescent="0.25">
      <c r="A49" s="4"/>
      <c r="B49" s="18" t="str">
        <f>IFERROR(VLOOKUP(A49,'V07'!$A$8:$B$1048576,2,0),"")</f>
        <v/>
      </c>
      <c r="C49" s="18" t="str">
        <f>IFERROR(VLOOKUP(A49,'V08'!$A$8:$B$1048576,2,0),"")</f>
        <v/>
      </c>
      <c r="D49" s="20" t="str">
        <f t="shared" si="0"/>
        <v/>
      </c>
      <c r="E49" s="13"/>
      <c r="F49" s="10"/>
      <c r="G49" s="10"/>
      <c r="H49" s="10"/>
      <c r="I49" s="10"/>
      <c r="J49" s="10"/>
      <c r="K49" s="14"/>
      <c r="L49" s="13"/>
      <c r="M49" s="10"/>
      <c r="N49" s="10"/>
      <c r="O49" s="10"/>
      <c r="P49" s="10"/>
      <c r="Q49" s="10"/>
      <c r="R49" s="14"/>
    </row>
    <row r="50" spans="1:18" x14ac:dyDescent="0.25">
      <c r="A50" s="4"/>
      <c r="B50" s="18" t="str">
        <f>IFERROR(VLOOKUP(A50,'V07'!$A$8:$B$1048576,2,0),"")</f>
        <v/>
      </c>
      <c r="C50" s="18" t="str">
        <f>IFERROR(VLOOKUP(A50,'V08'!$A$8:$B$1048576,2,0),"")</f>
        <v/>
      </c>
      <c r="D50" s="20" t="str">
        <f t="shared" si="0"/>
        <v/>
      </c>
      <c r="E50" s="13"/>
      <c r="F50" s="10"/>
      <c r="G50" s="10"/>
      <c r="H50" s="10"/>
      <c r="I50" s="10"/>
      <c r="J50" s="10"/>
      <c r="K50" s="14"/>
      <c r="L50" s="13"/>
      <c r="M50" s="10"/>
      <c r="N50" s="10"/>
      <c r="O50" s="10"/>
      <c r="P50" s="10"/>
      <c r="Q50" s="10"/>
      <c r="R50" s="14"/>
    </row>
    <row r="51" spans="1:18" x14ac:dyDescent="0.25">
      <c r="A51" s="4"/>
      <c r="B51" s="18" t="str">
        <f>IFERROR(VLOOKUP(A51,'V07'!$A$8:$B$1048576,2,0),"")</f>
        <v/>
      </c>
      <c r="C51" s="18" t="str">
        <f>IFERROR(VLOOKUP(A51,'V08'!$A$8:$B$1048576,2,0),"")</f>
        <v/>
      </c>
      <c r="D51" s="20" t="str">
        <f t="shared" si="0"/>
        <v/>
      </c>
      <c r="E51" s="13"/>
      <c r="F51" s="10"/>
      <c r="G51" s="10"/>
      <c r="H51" s="10"/>
      <c r="I51" s="10"/>
      <c r="J51" s="10"/>
      <c r="K51" s="14"/>
      <c r="L51" s="13"/>
      <c r="M51" s="10"/>
      <c r="N51" s="10"/>
      <c r="O51" s="10"/>
      <c r="P51" s="10"/>
      <c r="Q51" s="10"/>
      <c r="R51" s="14"/>
    </row>
    <row r="52" spans="1:18" x14ac:dyDescent="0.25">
      <c r="A52" s="4"/>
      <c r="B52" s="18" t="str">
        <f>IFERROR(VLOOKUP(A52,'V07'!$A$8:$B$1048576,2,0),"")</f>
        <v/>
      </c>
      <c r="C52" s="18" t="str">
        <f>IFERROR(VLOOKUP(A52,'V08'!$A$8:$B$1048576,2,0),"")</f>
        <v/>
      </c>
      <c r="D52" s="20" t="str">
        <f t="shared" si="0"/>
        <v/>
      </c>
      <c r="E52" s="13"/>
      <c r="F52" s="10"/>
      <c r="G52" s="10"/>
      <c r="H52" s="10"/>
      <c r="I52" s="10"/>
      <c r="J52" s="10"/>
      <c r="K52" s="14"/>
      <c r="L52" s="13"/>
      <c r="M52" s="10"/>
      <c r="N52" s="10"/>
      <c r="O52" s="10"/>
      <c r="P52" s="10"/>
      <c r="Q52" s="10"/>
      <c r="R52" s="14"/>
    </row>
    <row r="53" spans="1:18" x14ac:dyDescent="0.25">
      <c r="A53" s="4"/>
      <c r="B53" s="18" t="str">
        <f>IFERROR(VLOOKUP(A53,'V07'!$A$8:$B$1048576,2,0),"")</f>
        <v/>
      </c>
      <c r="C53" s="18" t="str">
        <f>IFERROR(VLOOKUP(A53,'V08'!$A$8:$B$1048576,2,0),"")</f>
        <v/>
      </c>
      <c r="D53" s="20" t="str">
        <f t="shared" si="0"/>
        <v/>
      </c>
      <c r="E53" s="13"/>
      <c r="F53" s="10"/>
      <c r="G53" s="10"/>
      <c r="H53" s="10"/>
      <c r="I53" s="10"/>
      <c r="J53" s="10"/>
      <c r="K53" s="14"/>
      <c r="L53" s="13"/>
      <c r="M53" s="10"/>
      <c r="N53" s="10"/>
      <c r="O53" s="10"/>
      <c r="P53" s="10"/>
      <c r="Q53" s="10"/>
      <c r="R53" s="14"/>
    </row>
    <row r="54" spans="1:18" x14ac:dyDescent="0.25">
      <c r="A54" s="4"/>
      <c r="B54" s="18" t="str">
        <f>IFERROR(VLOOKUP(A54,'V07'!$A$8:$B$1048576,2,0),"")</f>
        <v/>
      </c>
      <c r="C54" s="18" t="str">
        <f>IFERROR(VLOOKUP(A54,'V08'!$A$8:$B$1048576,2,0),"")</f>
        <v/>
      </c>
      <c r="D54" s="20" t="str">
        <f t="shared" si="0"/>
        <v/>
      </c>
      <c r="E54" s="13"/>
      <c r="F54" s="10"/>
      <c r="G54" s="10"/>
      <c r="H54" s="10"/>
      <c r="I54" s="10"/>
      <c r="J54" s="10"/>
      <c r="K54" s="14"/>
      <c r="L54" s="13"/>
      <c r="M54" s="10"/>
      <c r="N54" s="10"/>
      <c r="O54" s="10"/>
      <c r="P54" s="10"/>
      <c r="Q54" s="10"/>
      <c r="R54" s="14"/>
    </row>
    <row r="55" spans="1:18" x14ac:dyDescent="0.25">
      <c r="A55" s="4"/>
      <c r="B55" s="18" t="str">
        <f>IFERROR(VLOOKUP(A55,'V07'!$A$8:$B$1048576,2,0),"")</f>
        <v/>
      </c>
      <c r="C55" s="18" t="str">
        <f>IFERROR(VLOOKUP(A55,'V08'!$A$8:$B$1048576,2,0),"")</f>
        <v/>
      </c>
      <c r="D55" s="20" t="str">
        <f t="shared" si="0"/>
        <v/>
      </c>
      <c r="E55" s="13"/>
      <c r="F55" s="10"/>
      <c r="G55" s="10"/>
      <c r="H55" s="10"/>
      <c r="I55" s="10"/>
      <c r="J55" s="10"/>
      <c r="K55" s="14"/>
      <c r="L55" s="13"/>
      <c r="M55" s="10"/>
      <c r="N55" s="10"/>
      <c r="O55" s="10"/>
      <c r="P55" s="10"/>
      <c r="Q55" s="10"/>
      <c r="R55" s="14"/>
    </row>
    <row r="56" spans="1:18" x14ac:dyDescent="0.25">
      <c r="A56" s="4"/>
      <c r="B56" s="18" t="str">
        <f>IFERROR(VLOOKUP(A56,'V07'!$A$8:$B$1048576,2,0),"")</f>
        <v/>
      </c>
      <c r="C56" s="18" t="str">
        <f>IFERROR(VLOOKUP(A56,'V08'!$A$8:$B$1048576,2,0),"")</f>
        <v/>
      </c>
      <c r="D56" s="20" t="str">
        <f t="shared" si="0"/>
        <v/>
      </c>
      <c r="E56" s="13"/>
      <c r="F56" s="10"/>
      <c r="G56" s="10"/>
      <c r="H56" s="10"/>
      <c r="I56" s="10"/>
      <c r="J56" s="10"/>
      <c r="K56" s="14"/>
      <c r="L56" s="13"/>
      <c r="M56" s="10"/>
      <c r="N56" s="10"/>
      <c r="O56" s="10"/>
      <c r="P56" s="10"/>
      <c r="Q56" s="10"/>
      <c r="R56" s="14"/>
    </row>
    <row r="57" spans="1:18" x14ac:dyDescent="0.25">
      <c r="A57" s="4"/>
      <c r="B57" s="18" t="str">
        <f>IFERROR(VLOOKUP(A57,'V07'!$A$8:$B$1048576,2,0),"")</f>
        <v/>
      </c>
      <c r="C57" s="18" t="str">
        <f>IFERROR(VLOOKUP(A57,'V08'!$A$8:$B$1048576,2,0),"")</f>
        <v/>
      </c>
      <c r="D57" s="20" t="str">
        <f t="shared" si="0"/>
        <v/>
      </c>
      <c r="E57" s="13"/>
      <c r="F57" s="10"/>
      <c r="G57" s="10"/>
      <c r="H57" s="10"/>
      <c r="I57" s="10"/>
      <c r="J57" s="10"/>
      <c r="K57" s="14"/>
      <c r="L57" s="13"/>
      <c r="M57" s="10"/>
      <c r="N57" s="10"/>
      <c r="O57" s="10"/>
      <c r="P57" s="10"/>
      <c r="Q57" s="10"/>
      <c r="R57" s="14"/>
    </row>
    <row r="58" spans="1:18" x14ac:dyDescent="0.25">
      <c r="A58" s="4"/>
      <c r="B58" s="18" t="str">
        <f>IFERROR(VLOOKUP(A58,'V07'!$A$8:$B$1048576,2,0),"")</f>
        <v/>
      </c>
      <c r="C58" s="18" t="str">
        <f>IFERROR(VLOOKUP(A58,'V08'!$A$8:$B$1048576,2,0),"")</f>
        <v/>
      </c>
      <c r="D58" s="20" t="str">
        <f t="shared" si="0"/>
        <v/>
      </c>
      <c r="E58" s="13"/>
      <c r="F58" s="10"/>
      <c r="G58" s="10"/>
      <c r="H58" s="10"/>
      <c r="I58" s="10"/>
      <c r="J58" s="10"/>
      <c r="K58" s="14"/>
      <c r="L58" s="13"/>
      <c r="M58" s="10"/>
      <c r="N58" s="10"/>
      <c r="O58" s="10"/>
      <c r="P58" s="10"/>
      <c r="Q58" s="10"/>
      <c r="R58" s="14"/>
    </row>
    <row r="59" spans="1:18" x14ac:dyDescent="0.25">
      <c r="A59" s="4"/>
      <c r="B59" s="18" t="str">
        <f>IFERROR(VLOOKUP(A59,'V07'!$A$8:$B$1048576,2,0),"")</f>
        <v/>
      </c>
      <c r="C59" s="18" t="str">
        <f>IFERROR(VLOOKUP(A59,'V08'!$A$8:$B$1048576,2,0),"")</f>
        <v/>
      </c>
      <c r="D59" s="20" t="str">
        <f t="shared" si="0"/>
        <v/>
      </c>
      <c r="E59" s="13"/>
      <c r="F59" s="10"/>
      <c r="G59" s="10"/>
      <c r="H59" s="10"/>
      <c r="I59" s="10"/>
      <c r="J59" s="10"/>
      <c r="K59" s="14"/>
      <c r="L59" s="13"/>
      <c r="M59" s="10"/>
      <c r="N59" s="10"/>
      <c r="O59" s="10"/>
      <c r="P59" s="10"/>
      <c r="Q59" s="10"/>
      <c r="R59" s="14"/>
    </row>
    <row r="60" spans="1:18" x14ac:dyDescent="0.25">
      <c r="A60" s="4"/>
      <c r="B60" s="18" t="str">
        <f>IFERROR(VLOOKUP(A60,'V07'!$A$8:$B$1048576,2,0),"")</f>
        <v/>
      </c>
      <c r="C60" s="18" t="str">
        <f>IFERROR(VLOOKUP(A60,'V08'!$A$8:$B$1048576,2,0),"")</f>
        <v/>
      </c>
      <c r="D60" s="20" t="str">
        <f t="shared" si="0"/>
        <v/>
      </c>
      <c r="E60" s="13"/>
      <c r="F60" s="10"/>
      <c r="G60" s="10"/>
      <c r="H60" s="10"/>
      <c r="I60" s="10"/>
      <c r="J60" s="10"/>
      <c r="K60" s="14"/>
      <c r="L60" s="13"/>
      <c r="M60" s="10"/>
      <c r="N60" s="10"/>
      <c r="O60" s="10"/>
      <c r="P60" s="10"/>
      <c r="Q60" s="10"/>
      <c r="R60" s="14"/>
    </row>
  </sheetData>
  <mergeCells count="4">
    <mergeCell ref="A7:D7"/>
    <mergeCell ref="E7:K7"/>
    <mergeCell ref="L7:R7"/>
    <mergeCell ref="A5:R6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A765-36E4-46BE-9C8E-89E82E9D98D9}">
  <dimension ref="A1:R60"/>
  <sheetViews>
    <sheetView topLeftCell="A5" zoomScale="152" zoomScaleNormal="152" workbookViewId="0">
      <selection activeCell="E8" sqref="E8"/>
    </sheetView>
  </sheetViews>
  <sheetFormatPr defaultRowHeight="15" x14ac:dyDescent="0.25"/>
  <cols>
    <col min="1" max="1" width="13.85546875" style="2" bestFit="1" customWidth="1"/>
    <col min="2" max="2" width="10.7109375" style="2" customWidth="1"/>
    <col min="3" max="4" width="10.7109375" customWidth="1"/>
  </cols>
  <sheetData>
    <row r="1" spans="1:18" hidden="1" x14ac:dyDescent="0.25">
      <c r="A1" s="7" t="s">
        <v>0</v>
      </c>
      <c r="B1" s="7"/>
      <c r="C1" s="9"/>
      <c r="D1" s="9"/>
    </row>
    <row r="2" spans="1:18" hidden="1" x14ac:dyDescent="0.25">
      <c r="A2" s="7" t="s">
        <v>1</v>
      </c>
      <c r="B2" s="7"/>
      <c r="C2" s="9"/>
      <c r="D2" s="9"/>
    </row>
    <row r="3" spans="1:18" hidden="1" x14ac:dyDescent="0.25">
      <c r="A3" s="7" t="s">
        <v>2</v>
      </c>
      <c r="B3" s="7"/>
      <c r="C3" s="9"/>
      <c r="D3" s="9"/>
    </row>
    <row r="4" spans="1:18" hidden="1" x14ac:dyDescent="0.25">
      <c r="A4" s="7" t="s">
        <v>3</v>
      </c>
      <c r="B4" s="7"/>
      <c r="C4" s="9"/>
      <c r="D4" s="9"/>
    </row>
    <row r="5" spans="1:18" ht="15" customHeight="1" x14ac:dyDescent="0.25">
      <c r="A5" s="22" t="s">
        <v>62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x14ac:dyDescent="0.25">
      <c r="A7" s="26" t="s">
        <v>28</v>
      </c>
      <c r="B7" s="26"/>
      <c r="C7" s="26"/>
      <c r="D7" s="26"/>
      <c r="E7" s="27" t="s">
        <v>60</v>
      </c>
      <c r="F7" s="28"/>
      <c r="G7" s="28"/>
      <c r="H7" s="28"/>
      <c r="I7" s="28"/>
      <c r="J7" s="28"/>
      <c r="K7" s="29"/>
      <c r="L7" s="27" t="s">
        <v>30</v>
      </c>
      <c r="M7" s="28"/>
      <c r="N7" s="28"/>
      <c r="O7" s="28"/>
      <c r="P7" s="28"/>
      <c r="Q7" s="28"/>
      <c r="R7" s="29"/>
    </row>
    <row r="8" spans="1:18" ht="15.75" thickBot="1" x14ac:dyDescent="0.3">
      <c r="A8" s="11" t="s">
        <v>31</v>
      </c>
      <c r="B8" s="3" t="s">
        <v>18</v>
      </c>
      <c r="C8" s="3" t="s">
        <v>19</v>
      </c>
      <c r="D8" s="12" t="s">
        <v>63</v>
      </c>
      <c r="E8" s="11" t="s">
        <v>34</v>
      </c>
      <c r="F8" s="3" t="s">
        <v>35</v>
      </c>
      <c r="G8" s="3" t="s">
        <v>36</v>
      </c>
      <c r="H8" s="3" t="s">
        <v>37</v>
      </c>
      <c r="I8" s="3" t="s">
        <v>38</v>
      </c>
      <c r="J8" s="3" t="s">
        <v>39</v>
      </c>
      <c r="K8" s="12" t="s">
        <v>40</v>
      </c>
      <c r="L8" s="11" t="s">
        <v>34</v>
      </c>
      <c r="M8" s="3" t="s">
        <v>35</v>
      </c>
      <c r="N8" s="3" t="s">
        <v>36</v>
      </c>
      <c r="O8" s="3" t="s">
        <v>37</v>
      </c>
      <c r="P8" s="3" t="s">
        <v>38</v>
      </c>
      <c r="Q8" s="3" t="s">
        <v>39</v>
      </c>
      <c r="R8" s="12" t="s">
        <v>40</v>
      </c>
    </row>
    <row r="9" spans="1:18" x14ac:dyDescent="0.25">
      <c r="A9" s="4" t="s">
        <v>45</v>
      </c>
      <c r="B9" s="18">
        <f>IFERROR(VLOOKUP(A9,'V09'!$A$8:$B$1048576,2,0),"")</f>
        <v>0</v>
      </c>
      <c r="C9" s="18">
        <f>IFERROR(VLOOKUP(A9,'V10'!$A$8:$B$1048576,2,0),"")</f>
        <v>0</v>
      </c>
      <c r="D9" s="20" t="str">
        <f>IFERROR(IF(A9="","",100*B9/C9),"")</f>
        <v/>
      </c>
      <c r="E9" s="13"/>
      <c r="F9" s="10"/>
      <c r="G9" s="10"/>
      <c r="H9" s="10"/>
      <c r="I9" s="10"/>
      <c r="J9" s="10"/>
      <c r="K9" s="14"/>
      <c r="L9" s="13"/>
      <c r="M9" s="10"/>
      <c r="N9" s="10"/>
      <c r="O9" s="10"/>
      <c r="P9" s="10"/>
      <c r="Q9" s="10"/>
      <c r="R9" s="14"/>
    </row>
    <row r="10" spans="1:18" x14ac:dyDescent="0.25">
      <c r="A10" s="4" t="s">
        <v>46</v>
      </c>
      <c r="B10" s="18">
        <f>IFERROR(VLOOKUP(A10,'V09'!$A$8:$B$1048576,2,0),"")</f>
        <v>16</v>
      </c>
      <c r="C10" s="18">
        <f>IFERROR(VLOOKUP(A10,'V10'!$A$8:$B$1048576,2,0),"")</f>
        <v>96</v>
      </c>
      <c r="D10" s="20">
        <f t="shared" ref="D10:D60" si="0">IFERROR(IF(A10="","",100*B10/C10),"")</f>
        <v>16.666666666666668</v>
      </c>
      <c r="E10" s="13"/>
      <c r="F10" s="10"/>
      <c r="G10" s="10"/>
      <c r="H10" s="10"/>
      <c r="I10" s="10"/>
      <c r="J10" s="10"/>
      <c r="K10" s="14"/>
      <c r="L10" s="13"/>
      <c r="M10" s="10"/>
      <c r="N10" s="10"/>
      <c r="O10" s="10"/>
      <c r="P10" s="10"/>
      <c r="Q10" s="10"/>
      <c r="R10" s="14"/>
    </row>
    <row r="11" spans="1:18" x14ac:dyDescent="0.25">
      <c r="A11" s="4" t="s">
        <v>47</v>
      </c>
      <c r="B11" s="18">
        <f>IFERROR(VLOOKUP(A11,'V09'!$A$8:$B$1048576,2,0),"")</f>
        <v>10</v>
      </c>
      <c r="C11" s="18">
        <f>IFERROR(VLOOKUP(A11,'V10'!$A$8:$B$1048576,2,0),"")</f>
        <v>108</v>
      </c>
      <c r="D11" s="20">
        <f t="shared" si="0"/>
        <v>9.2592592592592595</v>
      </c>
      <c r="E11" s="13"/>
      <c r="F11" s="10"/>
      <c r="G11" s="10"/>
      <c r="H11" s="10"/>
      <c r="I11" s="10"/>
      <c r="J11" s="10"/>
      <c r="K11" s="14"/>
      <c r="L11" s="13"/>
      <c r="M11" s="10"/>
      <c r="N11" s="10"/>
      <c r="O11" s="10"/>
      <c r="P11" s="10"/>
      <c r="Q11" s="10"/>
      <c r="R11" s="14"/>
    </row>
    <row r="12" spans="1:18" x14ac:dyDescent="0.25">
      <c r="A12" s="4" t="s">
        <v>48</v>
      </c>
      <c r="B12" s="18">
        <f>IFERROR(VLOOKUP(A12,'V09'!$A$8:$B$1048576,2,0),"")</f>
        <v>0</v>
      </c>
      <c r="C12" s="18">
        <f>IFERROR(VLOOKUP(A12,'V10'!$A$8:$B$1048576,2,0),"")</f>
        <v>0</v>
      </c>
      <c r="D12" s="20" t="str">
        <f t="shared" si="0"/>
        <v/>
      </c>
      <c r="E12" s="13"/>
      <c r="F12" s="10"/>
      <c r="G12" s="10"/>
      <c r="H12" s="10"/>
      <c r="I12" s="10"/>
      <c r="J12" s="10"/>
      <c r="K12" s="14"/>
      <c r="L12" s="13"/>
      <c r="M12" s="10"/>
      <c r="N12" s="10"/>
      <c r="O12" s="10"/>
      <c r="P12" s="10"/>
      <c r="Q12" s="10"/>
      <c r="R12" s="14"/>
    </row>
    <row r="13" spans="1:18" x14ac:dyDescent="0.25">
      <c r="A13" s="4" t="s">
        <v>49</v>
      </c>
      <c r="B13" s="18">
        <f>IFERROR(VLOOKUP(A13,'V09'!$A$8:$B$1048576,2,0),"")</f>
        <v>0</v>
      </c>
      <c r="C13" s="18">
        <f>IFERROR(VLOOKUP(A13,'V10'!$A$8:$B$1048576,2,0),"")</f>
        <v>0</v>
      </c>
      <c r="D13" s="20" t="str">
        <f t="shared" si="0"/>
        <v/>
      </c>
      <c r="E13" s="13"/>
      <c r="F13" s="10"/>
      <c r="G13" s="10"/>
      <c r="H13" s="10"/>
      <c r="I13" s="10"/>
      <c r="J13" s="10"/>
      <c r="K13" s="14"/>
      <c r="L13" s="13"/>
      <c r="M13" s="10"/>
      <c r="N13" s="10"/>
      <c r="O13" s="10"/>
      <c r="P13" s="10"/>
      <c r="Q13" s="10"/>
      <c r="R13" s="14"/>
    </row>
    <row r="14" spans="1:18" x14ac:dyDescent="0.25">
      <c r="A14" s="4" t="s">
        <v>50</v>
      </c>
      <c r="B14" s="18">
        <f>IFERROR(VLOOKUP(A14,'V09'!$A$8:$B$1048576,2,0),"")</f>
        <v>1</v>
      </c>
      <c r="C14" s="18">
        <f>IFERROR(VLOOKUP(A14,'V10'!$A$8:$B$1048576,2,0),"")</f>
        <v>125</v>
      </c>
      <c r="D14" s="20">
        <f t="shared" si="0"/>
        <v>0.8</v>
      </c>
      <c r="E14" s="13"/>
      <c r="F14" s="10"/>
      <c r="G14" s="10"/>
      <c r="H14" s="10"/>
      <c r="I14" s="10"/>
      <c r="J14" s="10"/>
      <c r="K14" s="14"/>
      <c r="L14" s="13"/>
      <c r="M14" s="10"/>
      <c r="N14" s="10"/>
      <c r="O14" s="10"/>
      <c r="P14" s="10"/>
      <c r="Q14" s="10"/>
      <c r="R14" s="14"/>
    </row>
    <row r="15" spans="1:18" x14ac:dyDescent="0.25">
      <c r="A15" s="4" t="s">
        <v>51</v>
      </c>
      <c r="B15" s="18">
        <f>IFERROR(VLOOKUP(A15,'V09'!$A$8:$B$1048576,2,0),"")</f>
        <v>0</v>
      </c>
      <c r="C15" s="18">
        <f>IFERROR(VLOOKUP(A15,'V10'!$A$8:$B$1048576,2,0),"")</f>
        <v>63</v>
      </c>
      <c r="D15" s="20">
        <f t="shared" si="0"/>
        <v>0</v>
      </c>
      <c r="E15" s="13"/>
      <c r="F15" s="10"/>
      <c r="G15" s="10"/>
      <c r="H15" s="10"/>
      <c r="I15" s="10"/>
      <c r="J15" s="10"/>
      <c r="K15" s="14"/>
      <c r="L15" s="13"/>
      <c r="M15" s="10"/>
      <c r="N15" s="10"/>
      <c r="O15" s="10"/>
      <c r="P15" s="10"/>
      <c r="Q15" s="10"/>
      <c r="R15" s="14"/>
    </row>
    <row r="16" spans="1:18" x14ac:dyDescent="0.25">
      <c r="A16" s="4"/>
      <c r="B16" s="18" t="str">
        <f>IFERROR(VLOOKUP(A16,'V09'!$A$8:$B$1048576,2,0),"")</f>
        <v/>
      </c>
      <c r="C16" s="18" t="str">
        <f>IFERROR(VLOOKUP(A16,'V10'!$A$8:$B$1048576,2,0),"")</f>
        <v/>
      </c>
      <c r="D16" s="20" t="str">
        <f t="shared" si="0"/>
        <v/>
      </c>
      <c r="E16" s="13"/>
      <c r="F16" s="10"/>
      <c r="G16" s="10"/>
      <c r="H16" s="10"/>
      <c r="I16" s="10"/>
      <c r="J16" s="10"/>
      <c r="K16" s="14"/>
      <c r="L16" s="13"/>
      <c r="M16" s="10"/>
      <c r="N16" s="10"/>
      <c r="O16" s="10"/>
      <c r="P16" s="10"/>
      <c r="Q16" s="10"/>
      <c r="R16" s="14"/>
    </row>
    <row r="17" spans="1:18" x14ac:dyDescent="0.25">
      <c r="A17" s="4"/>
      <c r="B17" s="18" t="str">
        <f>IFERROR(VLOOKUP(A17,'V09'!$A$8:$B$1048576,2,0),"")</f>
        <v/>
      </c>
      <c r="C17" s="18" t="str">
        <f>IFERROR(VLOOKUP(A17,'V10'!$A$8:$B$1048576,2,0),"")</f>
        <v/>
      </c>
      <c r="D17" s="20" t="str">
        <f t="shared" si="0"/>
        <v/>
      </c>
      <c r="E17" s="13"/>
      <c r="F17" s="10"/>
      <c r="G17" s="10"/>
      <c r="H17" s="10"/>
      <c r="I17" s="10"/>
      <c r="J17" s="10"/>
      <c r="K17" s="14"/>
      <c r="L17" s="13"/>
      <c r="M17" s="10"/>
      <c r="N17" s="10"/>
      <c r="O17" s="10"/>
      <c r="P17" s="10"/>
      <c r="Q17" s="10"/>
      <c r="R17" s="14"/>
    </row>
    <row r="18" spans="1:18" x14ac:dyDescent="0.25">
      <c r="A18" s="4"/>
      <c r="B18" s="18" t="str">
        <f>IFERROR(VLOOKUP(A18,'V09'!$A$8:$B$1048576,2,0),"")</f>
        <v/>
      </c>
      <c r="C18" s="18" t="str">
        <f>IFERROR(VLOOKUP(A18,'V10'!$A$8:$B$1048576,2,0),"")</f>
        <v/>
      </c>
      <c r="D18" s="20" t="str">
        <f t="shared" si="0"/>
        <v/>
      </c>
      <c r="E18" s="13"/>
      <c r="F18" s="10"/>
      <c r="G18" s="10"/>
      <c r="H18" s="10"/>
      <c r="I18" s="10"/>
      <c r="J18" s="10"/>
      <c r="K18" s="14"/>
      <c r="L18" s="13"/>
      <c r="M18" s="10"/>
      <c r="N18" s="10"/>
      <c r="O18" s="10"/>
      <c r="P18" s="10"/>
      <c r="Q18" s="10"/>
      <c r="R18" s="14"/>
    </row>
    <row r="19" spans="1:18" x14ac:dyDescent="0.25">
      <c r="A19" s="4"/>
      <c r="B19" s="18" t="str">
        <f>IFERROR(VLOOKUP(A19,'V09'!$A$8:$B$1048576,2,0),"")</f>
        <v/>
      </c>
      <c r="C19" s="18" t="str">
        <f>IFERROR(VLOOKUP(A19,'V10'!$A$8:$B$1048576,2,0),"")</f>
        <v/>
      </c>
      <c r="D19" s="20" t="str">
        <f t="shared" si="0"/>
        <v/>
      </c>
      <c r="E19" s="13"/>
      <c r="F19" s="10"/>
      <c r="G19" s="10"/>
      <c r="H19" s="10"/>
      <c r="I19" s="10"/>
      <c r="J19" s="10"/>
      <c r="K19" s="14"/>
      <c r="L19" s="13"/>
      <c r="M19" s="10"/>
      <c r="N19" s="10"/>
      <c r="O19" s="10"/>
      <c r="P19" s="10"/>
      <c r="Q19" s="10"/>
      <c r="R19" s="14"/>
    </row>
    <row r="20" spans="1:18" x14ac:dyDescent="0.25">
      <c r="A20" s="4"/>
      <c r="B20" s="18" t="str">
        <f>IFERROR(VLOOKUP(A20,'V09'!$A$8:$B$1048576,2,0),"")</f>
        <v/>
      </c>
      <c r="C20" s="18" t="str">
        <f>IFERROR(VLOOKUP(A20,'V10'!$A$8:$B$1048576,2,0),"")</f>
        <v/>
      </c>
      <c r="D20" s="20" t="str">
        <f t="shared" si="0"/>
        <v/>
      </c>
      <c r="E20" s="13"/>
      <c r="F20" s="10"/>
      <c r="G20" s="10"/>
      <c r="H20" s="10"/>
      <c r="I20" s="10"/>
      <c r="J20" s="10"/>
      <c r="K20" s="14"/>
      <c r="L20" s="13"/>
      <c r="M20" s="10"/>
      <c r="N20" s="10"/>
      <c r="O20" s="10"/>
      <c r="P20" s="10"/>
      <c r="Q20" s="10"/>
      <c r="R20" s="14"/>
    </row>
    <row r="21" spans="1:18" x14ac:dyDescent="0.25">
      <c r="A21" s="4"/>
      <c r="B21" s="18" t="str">
        <f>IFERROR(VLOOKUP(A21,'V09'!$A$8:$B$1048576,2,0),"")</f>
        <v/>
      </c>
      <c r="C21" s="18" t="str">
        <f>IFERROR(VLOOKUP(A21,'V10'!$A$8:$B$1048576,2,0),"")</f>
        <v/>
      </c>
      <c r="D21" s="20" t="str">
        <f t="shared" si="0"/>
        <v/>
      </c>
      <c r="E21" s="13"/>
      <c r="F21" s="10"/>
      <c r="G21" s="10"/>
      <c r="H21" s="10"/>
      <c r="I21" s="10"/>
      <c r="J21" s="10"/>
      <c r="K21" s="14"/>
      <c r="L21" s="13"/>
      <c r="M21" s="10"/>
      <c r="N21" s="10"/>
      <c r="O21" s="10"/>
      <c r="P21" s="10"/>
      <c r="Q21" s="10"/>
      <c r="R21" s="14"/>
    </row>
    <row r="22" spans="1:18" x14ac:dyDescent="0.25">
      <c r="A22" s="4"/>
      <c r="B22" s="18" t="str">
        <f>IFERROR(VLOOKUP(A22,'V09'!$A$8:$B$1048576,2,0),"")</f>
        <v/>
      </c>
      <c r="C22" s="18" t="str">
        <f>IFERROR(VLOOKUP(A22,'V10'!$A$8:$B$1048576,2,0),"")</f>
        <v/>
      </c>
      <c r="D22" s="20" t="str">
        <f t="shared" si="0"/>
        <v/>
      </c>
      <c r="E22" s="13"/>
      <c r="F22" s="10"/>
      <c r="G22" s="10"/>
      <c r="H22" s="10"/>
      <c r="I22" s="10"/>
      <c r="J22" s="10"/>
      <c r="K22" s="14"/>
      <c r="L22" s="13"/>
      <c r="M22" s="10"/>
      <c r="N22" s="10"/>
      <c r="O22" s="10"/>
      <c r="P22" s="10"/>
      <c r="Q22" s="10"/>
      <c r="R22" s="14"/>
    </row>
    <row r="23" spans="1:18" x14ac:dyDescent="0.25">
      <c r="A23" s="4"/>
      <c r="B23" s="18" t="str">
        <f>IFERROR(VLOOKUP(A23,'V09'!$A$8:$B$1048576,2,0),"")</f>
        <v/>
      </c>
      <c r="C23" s="18" t="str">
        <f>IFERROR(VLOOKUP(A23,'V10'!$A$8:$B$1048576,2,0),"")</f>
        <v/>
      </c>
      <c r="D23" s="20" t="str">
        <f t="shared" si="0"/>
        <v/>
      </c>
      <c r="E23" s="13"/>
      <c r="F23" s="10"/>
      <c r="G23" s="10"/>
      <c r="H23" s="10"/>
      <c r="I23" s="10"/>
      <c r="J23" s="10"/>
      <c r="K23" s="14"/>
      <c r="L23" s="13"/>
      <c r="M23" s="10"/>
      <c r="N23" s="10"/>
      <c r="O23" s="10"/>
      <c r="P23" s="10"/>
      <c r="Q23" s="10"/>
      <c r="R23" s="14"/>
    </row>
    <row r="24" spans="1:18" x14ac:dyDescent="0.25">
      <c r="A24" s="4"/>
      <c r="B24" s="18" t="str">
        <f>IFERROR(VLOOKUP(A24,'V09'!$A$8:$B$1048576,2,0),"")</f>
        <v/>
      </c>
      <c r="C24" s="18" t="str">
        <f>IFERROR(VLOOKUP(A24,'V10'!$A$8:$B$1048576,2,0),"")</f>
        <v/>
      </c>
      <c r="D24" s="20" t="str">
        <f t="shared" si="0"/>
        <v/>
      </c>
      <c r="E24" s="13"/>
      <c r="F24" s="10"/>
      <c r="G24" s="10"/>
      <c r="H24" s="10"/>
      <c r="I24" s="10"/>
      <c r="J24" s="10"/>
      <c r="K24" s="14"/>
      <c r="L24" s="13"/>
      <c r="M24" s="10"/>
      <c r="N24" s="10"/>
      <c r="O24" s="10"/>
      <c r="P24" s="10"/>
      <c r="Q24" s="10"/>
      <c r="R24" s="14"/>
    </row>
    <row r="25" spans="1:18" x14ac:dyDescent="0.25">
      <c r="A25" s="4"/>
      <c r="B25" s="18" t="str">
        <f>IFERROR(VLOOKUP(A25,'V09'!$A$8:$B$1048576,2,0),"")</f>
        <v/>
      </c>
      <c r="C25" s="18" t="str">
        <f>IFERROR(VLOOKUP(A25,'V10'!$A$8:$B$1048576,2,0),"")</f>
        <v/>
      </c>
      <c r="D25" s="20" t="str">
        <f t="shared" si="0"/>
        <v/>
      </c>
      <c r="E25" s="13"/>
      <c r="F25" s="10"/>
      <c r="G25" s="10"/>
      <c r="H25" s="10"/>
      <c r="I25" s="10"/>
      <c r="J25" s="10"/>
      <c r="K25" s="14"/>
      <c r="L25" s="13"/>
      <c r="M25" s="10"/>
      <c r="N25" s="10"/>
      <c r="O25" s="10"/>
      <c r="P25" s="10"/>
      <c r="Q25" s="10"/>
      <c r="R25" s="14"/>
    </row>
    <row r="26" spans="1:18" x14ac:dyDescent="0.25">
      <c r="A26" s="4"/>
      <c r="B26" s="18" t="str">
        <f>IFERROR(VLOOKUP(A26,'V09'!$A$8:$B$1048576,2,0),"")</f>
        <v/>
      </c>
      <c r="C26" s="18" t="str">
        <f>IFERROR(VLOOKUP(A26,'V10'!$A$8:$B$1048576,2,0),"")</f>
        <v/>
      </c>
      <c r="D26" s="20" t="str">
        <f t="shared" si="0"/>
        <v/>
      </c>
      <c r="E26" s="13"/>
      <c r="F26" s="10"/>
      <c r="G26" s="10"/>
      <c r="H26" s="10"/>
      <c r="I26" s="10"/>
      <c r="J26" s="10"/>
      <c r="K26" s="14"/>
      <c r="L26" s="13"/>
      <c r="M26" s="10"/>
      <c r="N26" s="10"/>
      <c r="O26" s="10"/>
      <c r="P26" s="10"/>
      <c r="Q26" s="10"/>
      <c r="R26" s="14"/>
    </row>
    <row r="27" spans="1:18" x14ac:dyDescent="0.25">
      <c r="A27" s="4"/>
      <c r="B27" s="18" t="str">
        <f>IFERROR(VLOOKUP(A27,'V09'!$A$8:$B$1048576,2,0),"")</f>
        <v/>
      </c>
      <c r="C27" s="18" t="str">
        <f>IFERROR(VLOOKUP(A27,'V10'!$A$8:$B$1048576,2,0),"")</f>
        <v/>
      </c>
      <c r="D27" s="20" t="str">
        <f t="shared" si="0"/>
        <v/>
      </c>
      <c r="E27" s="13"/>
      <c r="F27" s="10"/>
      <c r="G27" s="10"/>
      <c r="H27" s="10"/>
      <c r="I27" s="10"/>
      <c r="J27" s="10"/>
      <c r="K27" s="14"/>
      <c r="L27" s="13"/>
      <c r="M27" s="10"/>
      <c r="N27" s="10"/>
      <c r="O27" s="10"/>
      <c r="P27" s="10"/>
      <c r="Q27" s="10"/>
      <c r="R27" s="14"/>
    </row>
    <row r="28" spans="1:18" x14ac:dyDescent="0.25">
      <c r="A28" s="4"/>
      <c r="B28" s="18" t="str">
        <f>IFERROR(VLOOKUP(A28,'V09'!$A$8:$B$1048576,2,0),"")</f>
        <v/>
      </c>
      <c r="C28" s="18" t="str">
        <f>IFERROR(VLOOKUP(A28,'V10'!$A$8:$B$1048576,2,0),"")</f>
        <v/>
      </c>
      <c r="D28" s="20" t="str">
        <f t="shared" si="0"/>
        <v/>
      </c>
      <c r="E28" s="13"/>
      <c r="F28" s="10"/>
      <c r="G28" s="10"/>
      <c r="H28" s="10"/>
      <c r="I28" s="10"/>
      <c r="J28" s="10"/>
      <c r="K28" s="14"/>
      <c r="L28" s="13"/>
      <c r="M28" s="10"/>
      <c r="N28" s="10"/>
      <c r="O28" s="10"/>
      <c r="P28" s="10"/>
      <c r="Q28" s="10"/>
      <c r="R28" s="14"/>
    </row>
    <row r="29" spans="1:18" x14ac:dyDescent="0.25">
      <c r="A29" s="4"/>
      <c r="B29" s="18" t="str">
        <f>IFERROR(VLOOKUP(A29,'V09'!$A$8:$B$1048576,2,0),"")</f>
        <v/>
      </c>
      <c r="C29" s="18" t="str">
        <f>IFERROR(VLOOKUP(A29,'V10'!$A$8:$B$1048576,2,0),"")</f>
        <v/>
      </c>
      <c r="D29" s="20" t="str">
        <f t="shared" si="0"/>
        <v/>
      </c>
      <c r="E29" s="13"/>
      <c r="F29" s="10"/>
      <c r="G29" s="10"/>
      <c r="H29" s="10"/>
      <c r="I29" s="10"/>
      <c r="J29" s="10"/>
      <c r="K29" s="14"/>
      <c r="L29" s="13"/>
      <c r="M29" s="10"/>
      <c r="N29" s="10"/>
      <c r="O29" s="10"/>
      <c r="P29" s="10"/>
      <c r="Q29" s="10"/>
      <c r="R29" s="14"/>
    </row>
    <row r="30" spans="1:18" x14ac:dyDescent="0.25">
      <c r="A30" s="4"/>
      <c r="B30" s="18" t="str">
        <f>IFERROR(VLOOKUP(A30,'V09'!$A$8:$B$1048576,2,0),"")</f>
        <v/>
      </c>
      <c r="C30" s="18" t="str">
        <f>IFERROR(VLOOKUP(A30,'V10'!$A$8:$B$1048576,2,0),"")</f>
        <v/>
      </c>
      <c r="D30" s="20" t="str">
        <f t="shared" si="0"/>
        <v/>
      </c>
      <c r="E30" s="13"/>
      <c r="F30" s="10"/>
      <c r="G30" s="10"/>
      <c r="H30" s="10"/>
      <c r="I30" s="10"/>
      <c r="J30" s="10"/>
      <c r="K30" s="14"/>
      <c r="L30" s="13"/>
      <c r="M30" s="10"/>
      <c r="N30" s="10"/>
      <c r="O30" s="10"/>
      <c r="P30" s="10"/>
      <c r="Q30" s="10"/>
      <c r="R30" s="14"/>
    </row>
    <row r="31" spans="1:18" x14ac:dyDescent="0.25">
      <c r="A31" s="4"/>
      <c r="B31" s="18" t="str">
        <f>IFERROR(VLOOKUP(A31,'V09'!$A$8:$B$1048576,2,0),"")</f>
        <v/>
      </c>
      <c r="C31" s="18" t="str">
        <f>IFERROR(VLOOKUP(A31,'V10'!$A$8:$B$1048576,2,0),"")</f>
        <v/>
      </c>
      <c r="D31" s="20" t="str">
        <f t="shared" si="0"/>
        <v/>
      </c>
      <c r="E31" s="13"/>
      <c r="F31" s="10"/>
      <c r="G31" s="10"/>
      <c r="H31" s="10"/>
      <c r="I31" s="10"/>
      <c r="J31" s="10"/>
      <c r="K31" s="14"/>
      <c r="L31" s="13"/>
      <c r="M31" s="10"/>
      <c r="N31" s="10"/>
      <c r="O31" s="10"/>
      <c r="P31" s="10"/>
      <c r="Q31" s="10"/>
      <c r="R31" s="14"/>
    </row>
    <row r="32" spans="1:18" x14ac:dyDescent="0.25">
      <c r="A32" s="4"/>
      <c r="B32" s="18" t="str">
        <f>IFERROR(VLOOKUP(A32,'V09'!$A$8:$B$1048576,2,0),"")</f>
        <v/>
      </c>
      <c r="C32" s="18" t="str">
        <f>IFERROR(VLOOKUP(A32,'V10'!$A$8:$B$1048576,2,0),"")</f>
        <v/>
      </c>
      <c r="D32" s="20" t="str">
        <f t="shared" si="0"/>
        <v/>
      </c>
      <c r="E32" s="13"/>
      <c r="F32" s="10"/>
      <c r="G32" s="10"/>
      <c r="H32" s="10"/>
      <c r="I32" s="10"/>
      <c r="J32" s="10"/>
      <c r="K32" s="14"/>
      <c r="L32" s="13"/>
      <c r="M32" s="10"/>
      <c r="N32" s="10"/>
      <c r="O32" s="10"/>
      <c r="P32" s="10"/>
      <c r="Q32" s="10"/>
      <c r="R32" s="14"/>
    </row>
    <row r="33" spans="1:18" x14ac:dyDescent="0.25">
      <c r="A33" s="4"/>
      <c r="B33" s="18" t="str">
        <f>IFERROR(VLOOKUP(A33,'V09'!$A$8:$B$1048576,2,0),"")</f>
        <v/>
      </c>
      <c r="C33" s="18" t="str">
        <f>IFERROR(VLOOKUP(A33,'V10'!$A$8:$B$1048576,2,0),"")</f>
        <v/>
      </c>
      <c r="D33" s="20" t="str">
        <f t="shared" si="0"/>
        <v/>
      </c>
      <c r="E33" s="13"/>
      <c r="F33" s="10"/>
      <c r="G33" s="10"/>
      <c r="H33" s="10"/>
      <c r="I33" s="10"/>
      <c r="J33" s="10"/>
      <c r="K33" s="14"/>
      <c r="L33" s="13"/>
      <c r="M33" s="10"/>
      <c r="N33" s="10"/>
      <c r="O33" s="10"/>
      <c r="P33" s="10"/>
      <c r="Q33" s="10"/>
      <c r="R33" s="14"/>
    </row>
    <row r="34" spans="1:18" x14ac:dyDescent="0.25">
      <c r="A34" s="4"/>
      <c r="B34" s="18" t="str">
        <f>IFERROR(VLOOKUP(A34,'V09'!$A$8:$B$1048576,2,0),"")</f>
        <v/>
      </c>
      <c r="C34" s="18" t="str">
        <f>IFERROR(VLOOKUP(A34,'V10'!$A$8:$B$1048576,2,0),"")</f>
        <v/>
      </c>
      <c r="D34" s="20" t="str">
        <f t="shared" si="0"/>
        <v/>
      </c>
      <c r="E34" s="13"/>
      <c r="F34" s="10"/>
      <c r="G34" s="10"/>
      <c r="H34" s="10"/>
      <c r="I34" s="10"/>
      <c r="J34" s="10"/>
      <c r="K34" s="14"/>
      <c r="L34" s="13"/>
      <c r="M34" s="10"/>
      <c r="N34" s="10"/>
      <c r="O34" s="10"/>
      <c r="P34" s="10"/>
      <c r="Q34" s="10"/>
      <c r="R34" s="14"/>
    </row>
    <row r="35" spans="1:18" x14ac:dyDescent="0.25">
      <c r="A35" s="4"/>
      <c r="B35" s="18" t="str">
        <f>IFERROR(VLOOKUP(A35,'V09'!$A$8:$B$1048576,2,0),"")</f>
        <v/>
      </c>
      <c r="C35" s="18" t="str">
        <f>IFERROR(VLOOKUP(A35,'V10'!$A$8:$B$1048576,2,0),"")</f>
        <v/>
      </c>
      <c r="D35" s="20" t="str">
        <f t="shared" si="0"/>
        <v/>
      </c>
      <c r="E35" s="13"/>
      <c r="F35" s="10"/>
      <c r="G35" s="10"/>
      <c r="H35" s="10"/>
      <c r="I35" s="10"/>
      <c r="J35" s="10"/>
      <c r="K35" s="14"/>
      <c r="L35" s="13"/>
      <c r="M35" s="10"/>
      <c r="N35" s="10"/>
      <c r="O35" s="10"/>
      <c r="P35" s="10"/>
      <c r="Q35" s="10"/>
      <c r="R35" s="14"/>
    </row>
    <row r="36" spans="1:18" x14ac:dyDescent="0.25">
      <c r="A36" s="4"/>
      <c r="B36" s="18" t="str">
        <f>IFERROR(VLOOKUP(A36,'V09'!$A$8:$B$1048576,2,0),"")</f>
        <v/>
      </c>
      <c r="C36" s="18" t="str">
        <f>IFERROR(VLOOKUP(A36,'V10'!$A$8:$B$1048576,2,0),"")</f>
        <v/>
      </c>
      <c r="D36" s="20" t="str">
        <f t="shared" si="0"/>
        <v/>
      </c>
      <c r="E36" s="13"/>
      <c r="F36" s="10"/>
      <c r="G36" s="10"/>
      <c r="H36" s="10"/>
      <c r="I36" s="10"/>
      <c r="J36" s="10"/>
      <c r="K36" s="14"/>
      <c r="L36" s="13"/>
      <c r="M36" s="10"/>
      <c r="N36" s="10"/>
      <c r="O36" s="10"/>
      <c r="P36" s="10"/>
      <c r="Q36" s="10"/>
      <c r="R36" s="14"/>
    </row>
    <row r="37" spans="1:18" x14ac:dyDescent="0.25">
      <c r="A37" s="4"/>
      <c r="B37" s="18" t="str">
        <f>IFERROR(VLOOKUP(A37,'V09'!$A$8:$B$1048576,2,0),"")</f>
        <v/>
      </c>
      <c r="C37" s="18" t="str">
        <f>IFERROR(VLOOKUP(A37,'V10'!$A$8:$B$1048576,2,0),"")</f>
        <v/>
      </c>
      <c r="D37" s="20" t="str">
        <f t="shared" si="0"/>
        <v/>
      </c>
      <c r="E37" s="13"/>
      <c r="F37" s="10"/>
      <c r="G37" s="10"/>
      <c r="H37" s="10"/>
      <c r="I37" s="10"/>
      <c r="J37" s="10"/>
      <c r="K37" s="14"/>
      <c r="L37" s="13"/>
      <c r="M37" s="10"/>
      <c r="N37" s="10"/>
      <c r="O37" s="10"/>
      <c r="P37" s="10"/>
      <c r="Q37" s="10"/>
      <c r="R37" s="14"/>
    </row>
    <row r="38" spans="1:18" x14ac:dyDescent="0.25">
      <c r="A38" s="4"/>
      <c r="B38" s="18" t="str">
        <f>IFERROR(VLOOKUP(A38,'V09'!$A$8:$B$1048576,2,0),"")</f>
        <v/>
      </c>
      <c r="C38" s="18" t="str">
        <f>IFERROR(VLOOKUP(A38,'V10'!$A$8:$B$1048576,2,0),"")</f>
        <v/>
      </c>
      <c r="D38" s="20" t="str">
        <f t="shared" si="0"/>
        <v/>
      </c>
      <c r="E38" s="13"/>
      <c r="F38" s="10"/>
      <c r="G38" s="10"/>
      <c r="H38" s="10"/>
      <c r="I38" s="10"/>
      <c r="J38" s="10"/>
      <c r="K38" s="14"/>
      <c r="L38" s="13"/>
      <c r="M38" s="10"/>
      <c r="N38" s="10"/>
      <c r="O38" s="10"/>
      <c r="P38" s="10"/>
      <c r="Q38" s="10"/>
      <c r="R38" s="14"/>
    </row>
    <row r="39" spans="1:18" x14ac:dyDescent="0.25">
      <c r="A39" s="4"/>
      <c r="B39" s="18" t="str">
        <f>IFERROR(VLOOKUP(A39,'V09'!$A$8:$B$1048576,2,0),"")</f>
        <v/>
      </c>
      <c r="C39" s="18" t="str">
        <f>IFERROR(VLOOKUP(A39,'V10'!$A$8:$B$1048576,2,0),"")</f>
        <v/>
      </c>
      <c r="D39" s="20" t="str">
        <f t="shared" si="0"/>
        <v/>
      </c>
      <c r="E39" s="13"/>
      <c r="F39" s="10"/>
      <c r="G39" s="10"/>
      <c r="H39" s="10"/>
      <c r="I39" s="10"/>
      <c r="J39" s="10"/>
      <c r="K39" s="14"/>
      <c r="L39" s="13"/>
      <c r="M39" s="10"/>
      <c r="N39" s="10"/>
      <c r="O39" s="10"/>
      <c r="P39" s="10"/>
      <c r="Q39" s="10"/>
      <c r="R39" s="14"/>
    </row>
    <row r="40" spans="1:18" x14ac:dyDescent="0.25">
      <c r="A40" s="4"/>
      <c r="B40" s="18" t="str">
        <f>IFERROR(VLOOKUP(A40,'V09'!$A$8:$B$1048576,2,0),"")</f>
        <v/>
      </c>
      <c r="C40" s="18" t="str">
        <f>IFERROR(VLOOKUP(A40,'V10'!$A$8:$B$1048576,2,0),"")</f>
        <v/>
      </c>
      <c r="D40" s="20" t="str">
        <f t="shared" si="0"/>
        <v/>
      </c>
      <c r="E40" s="13"/>
      <c r="F40" s="10"/>
      <c r="G40" s="10"/>
      <c r="H40" s="10"/>
      <c r="I40" s="10"/>
      <c r="J40" s="10"/>
      <c r="K40" s="14"/>
      <c r="L40" s="13"/>
      <c r="M40" s="10"/>
      <c r="N40" s="10"/>
      <c r="O40" s="10"/>
      <c r="P40" s="10"/>
      <c r="Q40" s="10"/>
      <c r="R40" s="14"/>
    </row>
    <row r="41" spans="1:18" x14ac:dyDescent="0.25">
      <c r="A41" s="4"/>
      <c r="B41" s="18" t="str">
        <f>IFERROR(VLOOKUP(A41,'V09'!$A$8:$B$1048576,2,0),"")</f>
        <v/>
      </c>
      <c r="C41" s="18" t="str">
        <f>IFERROR(VLOOKUP(A41,'V10'!$A$8:$B$1048576,2,0),"")</f>
        <v/>
      </c>
      <c r="D41" s="20" t="str">
        <f t="shared" si="0"/>
        <v/>
      </c>
      <c r="E41" s="13"/>
      <c r="F41" s="10"/>
      <c r="G41" s="10"/>
      <c r="H41" s="10"/>
      <c r="I41" s="10"/>
      <c r="J41" s="10"/>
      <c r="K41" s="14"/>
      <c r="L41" s="13"/>
      <c r="M41" s="10"/>
      <c r="N41" s="10"/>
      <c r="O41" s="10"/>
      <c r="P41" s="10"/>
      <c r="Q41" s="10"/>
      <c r="R41" s="14"/>
    </row>
    <row r="42" spans="1:18" x14ac:dyDescent="0.25">
      <c r="A42" s="4"/>
      <c r="B42" s="18" t="str">
        <f>IFERROR(VLOOKUP(A42,'V09'!$A$8:$B$1048576,2,0),"")</f>
        <v/>
      </c>
      <c r="C42" s="18" t="str">
        <f>IFERROR(VLOOKUP(A42,'V10'!$A$8:$B$1048576,2,0),"")</f>
        <v/>
      </c>
      <c r="D42" s="20" t="str">
        <f t="shared" si="0"/>
        <v/>
      </c>
      <c r="E42" s="13"/>
      <c r="F42" s="10"/>
      <c r="G42" s="10"/>
      <c r="H42" s="10"/>
      <c r="I42" s="10"/>
      <c r="J42" s="10"/>
      <c r="K42" s="14"/>
      <c r="L42" s="13"/>
      <c r="M42" s="10"/>
      <c r="N42" s="10"/>
      <c r="O42" s="10"/>
      <c r="P42" s="10"/>
      <c r="Q42" s="10"/>
      <c r="R42" s="14"/>
    </row>
    <row r="43" spans="1:18" x14ac:dyDescent="0.25">
      <c r="A43" s="4"/>
      <c r="B43" s="18" t="str">
        <f>IFERROR(VLOOKUP(A43,'V09'!$A$8:$B$1048576,2,0),"")</f>
        <v/>
      </c>
      <c r="C43" s="18" t="str">
        <f>IFERROR(VLOOKUP(A43,'V10'!$A$8:$B$1048576,2,0),"")</f>
        <v/>
      </c>
      <c r="D43" s="20" t="str">
        <f t="shared" si="0"/>
        <v/>
      </c>
      <c r="E43" s="13"/>
      <c r="F43" s="10"/>
      <c r="G43" s="10"/>
      <c r="H43" s="10"/>
      <c r="I43" s="10"/>
      <c r="J43" s="10"/>
      <c r="K43" s="14"/>
      <c r="L43" s="13"/>
      <c r="M43" s="10"/>
      <c r="N43" s="10"/>
      <c r="O43" s="10"/>
      <c r="P43" s="10"/>
      <c r="Q43" s="10"/>
      <c r="R43" s="14"/>
    </row>
    <row r="44" spans="1:18" x14ac:dyDescent="0.25">
      <c r="A44" s="4"/>
      <c r="B44" s="18" t="str">
        <f>IFERROR(VLOOKUP(A44,'V09'!$A$8:$B$1048576,2,0),"")</f>
        <v/>
      </c>
      <c r="C44" s="18" t="str">
        <f>IFERROR(VLOOKUP(A44,'V10'!$A$8:$B$1048576,2,0),"")</f>
        <v/>
      </c>
      <c r="D44" s="20" t="str">
        <f t="shared" si="0"/>
        <v/>
      </c>
      <c r="E44" s="13"/>
      <c r="F44" s="10"/>
      <c r="G44" s="10"/>
      <c r="H44" s="10"/>
      <c r="I44" s="10"/>
      <c r="J44" s="10"/>
      <c r="K44" s="14"/>
      <c r="L44" s="13"/>
      <c r="M44" s="10"/>
      <c r="N44" s="10"/>
      <c r="O44" s="10"/>
      <c r="P44" s="10"/>
      <c r="Q44" s="10"/>
      <c r="R44" s="14"/>
    </row>
    <row r="45" spans="1:18" x14ac:dyDescent="0.25">
      <c r="A45" s="4"/>
      <c r="B45" s="18" t="str">
        <f>IFERROR(VLOOKUP(A45,'V09'!$A$8:$B$1048576,2,0),"")</f>
        <v/>
      </c>
      <c r="C45" s="18" t="str">
        <f>IFERROR(VLOOKUP(A45,'V10'!$A$8:$B$1048576,2,0),"")</f>
        <v/>
      </c>
      <c r="D45" s="20" t="str">
        <f t="shared" si="0"/>
        <v/>
      </c>
      <c r="E45" s="13"/>
      <c r="F45" s="10"/>
      <c r="G45" s="10"/>
      <c r="H45" s="10"/>
      <c r="I45" s="10"/>
      <c r="J45" s="10"/>
      <c r="K45" s="14"/>
      <c r="L45" s="13"/>
      <c r="M45" s="10"/>
      <c r="N45" s="10"/>
      <c r="O45" s="10"/>
      <c r="P45" s="10"/>
      <c r="Q45" s="10"/>
      <c r="R45" s="14"/>
    </row>
    <row r="46" spans="1:18" x14ac:dyDescent="0.25">
      <c r="A46" s="4"/>
      <c r="B46" s="18" t="str">
        <f>IFERROR(VLOOKUP(A46,'V09'!$A$8:$B$1048576,2,0),"")</f>
        <v/>
      </c>
      <c r="C46" s="18" t="str">
        <f>IFERROR(VLOOKUP(A46,'V10'!$A$8:$B$1048576,2,0),"")</f>
        <v/>
      </c>
      <c r="D46" s="20" t="str">
        <f t="shared" si="0"/>
        <v/>
      </c>
      <c r="E46" s="13"/>
      <c r="F46" s="10"/>
      <c r="G46" s="10"/>
      <c r="H46" s="10"/>
      <c r="I46" s="10"/>
      <c r="J46" s="10"/>
      <c r="K46" s="14"/>
      <c r="L46" s="13"/>
      <c r="M46" s="10"/>
      <c r="N46" s="10"/>
      <c r="O46" s="10"/>
      <c r="P46" s="10"/>
      <c r="Q46" s="10"/>
      <c r="R46" s="14"/>
    </row>
    <row r="47" spans="1:18" x14ac:dyDescent="0.25">
      <c r="A47" s="4"/>
      <c r="B47" s="18" t="str">
        <f>IFERROR(VLOOKUP(A47,'V09'!$A$8:$B$1048576,2,0),"")</f>
        <v/>
      </c>
      <c r="C47" s="18" t="str">
        <f>IFERROR(VLOOKUP(A47,'V10'!$A$8:$B$1048576,2,0),"")</f>
        <v/>
      </c>
      <c r="D47" s="20" t="str">
        <f t="shared" si="0"/>
        <v/>
      </c>
      <c r="E47" s="13"/>
      <c r="F47" s="10"/>
      <c r="G47" s="10"/>
      <c r="H47" s="10"/>
      <c r="I47" s="10"/>
      <c r="J47" s="10"/>
      <c r="K47" s="14"/>
      <c r="L47" s="13"/>
      <c r="M47" s="10"/>
      <c r="N47" s="10"/>
      <c r="O47" s="10"/>
      <c r="P47" s="10"/>
      <c r="Q47" s="10"/>
      <c r="R47" s="14"/>
    </row>
    <row r="48" spans="1:18" x14ac:dyDescent="0.25">
      <c r="A48" s="4"/>
      <c r="B48" s="18" t="str">
        <f>IFERROR(VLOOKUP(A48,'V09'!$A$8:$B$1048576,2,0),"")</f>
        <v/>
      </c>
      <c r="C48" s="18" t="str">
        <f>IFERROR(VLOOKUP(A48,'V10'!$A$8:$B$1048576,2,0),"")</f>
        <v/>
      </c>
      <c r="D48" s="20" t="str">
        <f t="shared" si="0"/>
        <v/>
      </c>
      <c r="E48" s="13"/>
      <c r="F48" s="10"/>
      <c r="G48" s="10"/>
      <c r="H48" s="10"/>
      <c r="I48" s="10"/>
      <c r="J48" s="10"/>
      <c r="K48" s="14"/>
      <c r="L48" s="13"/>
      <c r="M48" s="10"/>
      <c r="N48" s="10"/>
      <c r="O48" s="10"/>
      <c r="P48" s="10"/>
      <c r="Q48" s="10"/>
      <c r="R48" s="14"/>
    </row>
    <row r="49" spans="1:18" x14ac:dyDescent="0.25">
      <c r="A49" s="4"/>
      <c r="B49" s="18" t="str">
        <f>IFERROR(VLOOKUP(A49,'V09'!$A$8:$B$1048576,2,0),"")</f>
        <v/>
      </c>
      <c r="C49" s="18" t="str">
        <f>IFERROR(VLOOKUP(A49,'V10'!$A$8:$B$1048576,2,0),"")</f>
        <v/>
      </c>
      <c r="D49" s="20" t="str">
        <f t="shared" si="0"/>
        <v/>
      </c>
      <c r="E49" s="13"/>
      <c r="F49" s="10"/>
      <c r="G49" s="10"/>
      <c r="H49" s="10"/>
      <c r="I49" s="10"/>
      <c r="J49" s="10"/>
      <c r="K49" s="14"/>
      <c r="L49" s="13"/>
      <c r="M49" s="10"/>
      <c r="N49" s="10"/>
      <c r="O49" s="10"/>
      <c r="P49" s="10"/>
      <c r="Q49" s="10"/>
      <c r="R49" s="14"/>
    </row>
    <row r="50" spans="1:18" x14ac:dyDescent="0.25">
      <c r="A50" s="4"/>
      <c r="B50" s="18" t="str">
        <f>IFERROR(VLOOKUP(A50,'V09'!$A$8:$B$1048576,2,0),"")</f>
        <v/>
      </c>
      <c r="C50" s="18" t="str">
        <f>IFERROR(VLOOKUP(A50,'V10'!$A$8:$B$1048576,2,0),"")</f>
        <v/>
      </c>
      <c r="D50" s="20" t="str">
        <f t="shared" si="0"/>
        <v/>
      </c>
      <c r="E50" s="13"/>
      <c r="F50" s="10"/>
      <c r="G50" s="10"/>
      <c r="H50" s="10"/>
      <c r="I50" s="10"/>
      <c r="J50" s="10"/>
      <c r="K50" s="14"/>
      <c r="L50" s="13"/>
      <c r="M50" s="10"/>
      <c r="N50" s="10"/>
      <c r="O50" s="10"/>
      <c r="P50" s="10"/>
      <c r="Q50" s="10"/>
      <c r="R50" s="14"/>
    </row>
    <row r="51" spans="1:18" x14ac:dyDescent="0.25">
      <c r="A51" s="4"/>
      <c r="B51" s="18" t="str">
        <f>IFERROR(VLOOKUP(A51,'V09'!$A$8:$B$1048576,2,0),"")</f>
        <v/>
      </c>
      <c r="C51" s="18" t="str">
        <f>IFERROR(VLOOKUP(A51,'V10'!$A$8:$B$1048576,2,0),"")</f>
        <v/>
      </c>
      <c r="D51" s="20" t="str">
        <f t="shared" si="0"/>
        <v/>
      </c>
      <c r="E51" s="13"/>
      <c r="F51" s="10"/>
      <c r="G51" s="10"/>
      <c r="H51" s="10"/>
      <c r="I51" s="10"/>
      <c r="J51" s="10"/>
      <c r="K51" s="14"/>
      <c r="L51" s="13"/>
      <c r="M51" s="10"/>
      <c r="N51" s="10"/>
      <c r="O51" s="10"/>
      <c r="P51" s="10"/>
      <c r="Q51" s="10"/>
      <c r="R51" s="14"/>
    </row>
    <row r="52" spans="1:18" x14ac:dyDescent="0.25">
      <c r="A52" s="4"/>
      <c r="B52" s="18" t="str">
        <f>IFERROR(VLOOKUP(A52,'V09'!$A$8:$B$1048576,2,0),"")</f>
        <v/>
      </c>
      <c r="C52" s="18" t="str">
        <f>IFERROR(VLOOKUP(A52,'V10'!$A$8:$B$1048576,2,0),"")</f>
        <v/>
      </c>
      <c r="D52" s="20" t="str">
        <f t="shared" si="0"/>
        <v/>
      </c>
      <c r="E52" s="13"/>
      <c r="F52" s="10"/>
      <c r="G52" s="10"/>
      <c r="H52" s="10"/>
      <c r="I52" s="10"/>
      <c r="J52" s="10"/>
      <c r="K52" s="14"/>
      <c r="L52" s="13"/>
      <c r="M52" s="10"/>
      <c r="N52" s="10"/>
      <c r="O52" s="10"/>
      <c r="P52" s="10"/>
      <c r="Q52" s="10"/>
      <c r="R52" s="14"/>
    </row>
    <row r="53" spans="1:18" x14ac:dyDescent="0.25">
      <c r="A53" s="4"/>
      <c r="B53" s="18" t="str">
        <f>IFERROR(VLOOKUP(A53,'V09'!$A$8:$B$1048576,2,0),"")</f>
        <v/>
      </c>
      <c r="C53" s="18" t="str">
        <f>IFERROR(VLOOKUP(A53,'V10'!$A$8:$B$1048576,2,0),"")</f>
        <v/>
      </c>
      <c r="D53" s="20" t="str">
        <f t="shared" si="0"/>
        <v/>
      </c>
      <c r="E53" s="13"/>
      <c r="F53" s="10"/>
      <c r="G53" s="10"/>
      <c r="H53" s="10"/>
      <c r="I53" s="10"/>
      <c r="J53" s="10"/>
      <c r="K53" s="14"/>
      <c r="L53" s="13"/>
      <c r="M53" s="10"/>
      <c r="N53" s="10"/>
      <c r="O53" s="10"/>
      <c r="P53" s="10"/>
      <c r="Q53" s="10"/>
      <c r="R53" s="14"/>
    </row>
    <row r="54" spans="1:18" x14ac:dyDescent="0.25">
      <c r="A54" s="4"/>
      <c r="B54" s="18" t="str">
        <f>IFERROR(VLOOKUP(A54,'V09'!$A$8:$B$1048576,2,0),"")</f>
        <v/>
      </c>
      <c r="C54" s="18" t="str">
        <f>IFERROR(VLOOKUP(A54,'V10'!$A$8:$B$1048576,2,0),"")</f>
        <v/>
      </c>
      <c r="D54" s="20" t="str">
        <f t="shared" si="0"/>
        <v/>
      </c>
      <c r="E54" s="13"/>
      <c r="F54" s="10"/>
      <c r="G54" s="10"/>
      <c r="H54" s="10"/>
      <c r="I54" s="10"/>
      <c r="J54" s="10"/>
      <c r="K54" s="14"/>
      <c r="L54" s="13"/>
      <c r="M54" s="10"/>
      <c r="N54" s="10"/>
      <c r="O54" s="10"/>
      <c r="P54" s="10"/>
      <c r="Q54" s="10"/>
      <c r="R54" s="14"/>
    </row>
    <row r="55" spans="1:18" x14ac:dyDescent="0.25">
      <c r="A55" s="4"/>
      <c r="B55" s="18" t="str">
        <f>IFERROR(VLOOKUP(A55,'V09'!$A$8:$B$1048576,2,0),"")</f>
        <v/>
      </c>
      <c r="C55" s="18" t="str">
        <f>IFERROR(VLOOKUP(A55,'V10'!$A$8:$B$1048576,2,0),"")</f>
        <v/>
      </c>
      <c r="D55" s="20" t="str">
        <f t="shared" si="0"/>
        <v/>
      </c>
      <c r="E55" s="13"/>
      <c r="F55" s="10"/>
      <c r="G55" s="10"/>
      <c r="H55" s="10"/>
      <c r="I55" s="10"/>
      <c r="J55" s="10"/>
      <c r="K55" s="14"/>
      <c r="L55" s="13"/>
      <c r="M55" s="10"/>
      <c r="N55" s="10"/>
      <c r="O55" s="10"/>
      <c r="P55" s="10"/>
      <c r="Q55" s="10"/>
      <c r="R55" s="14"/>
    </row>
    <row r="56" spans="1:18" x14ac:dyDescent="0.25">
      <c r="A56" s="4"/>
      <c r="B56" s="18" t="str">
        <f>IFERROR(VLOOKUP(A56,'V09'!$A$8:$B$1048576,2,0),"")</f>
        <v/>
      </c>
      <c r="C56" s="18" t="str">
        <f>IFERROR(VLOOKUP(A56,'V10'!$A$8:$B$1048576,2,0),"")</f>
        <v/>
      </c>
      <c r="D56" s="20" t="str">
        <f t="shared" si="0"/>
        <v/>
      </c>
      <c r="E56" s="13"/>
      <c r="F56" s="10"/>
      <c r="G56" s="10"/>
      <c r="H56" s="10"/>
      <c r="I56" s="10"/>
      <c r="J56" s="10"/>
      <c r="K56" s="14"/>
      <c r="L56" s="13"/>
      <c r="M56" s="10"/>
      <c r="N56" s="10"/>
      <c r="O56" s="10"/>
      <c r="P56" s="10"/>
      <c r="Q56" s="10"/>
      <c r="R56" s="14"/>
    </row>
    <row r="57" spans="1:18" x14ac:dyDescent="0.25">
      <c r="A57" s="4"/>
      <c r="B57" s="18" t="str">
        <f>IFERROR(VLOOKUP(A57,'V09'!$A$8:$B$1048576,2,0),"")</f>
        <v/>
      </c>
      <c r="C57" s="18" t="str">
        <f>IFERROR(VLOOKUP(A57,'V10'!$A$8:$B$1048576,2,0),"")</f>
        <v/>
      </c>
      <c r="D57" s="20" t="str">
        <f t="shared" si="0"/>
        <v/>
      </c>
      <c r="E57" s="13"/>
      <c r="F57" s="10"/>
      <c r="G57" s="10"/>
      <c r="H57" s="10"/>
      <c r="I57" s="10"/>
      <c r="J57" s="10"/>
      <c r="K57" s="14"/>
      <c r="L57" s="13"/>
      <c r="M57" s="10"/>
      <c r="N57" s="10"/>
      <c r="O57" s="10"/>
      <c r="P57" s="10"/>
      <c r="Q57" s="10"/>
      <c r="R57" s="14"/>
    </row>
    <row r="58" spans="1:18" x14ac:dyDescent="0.25">
      <c r="A58" s="4"/>
      <c r="B58" s="18" t="str">
        <f>IFERROR(VLOOKUP(A58,'V09'!$A$8:$B$1048576,2,0),"")</f>
        <v/>
      </c>
      <c r="C58" s="18" t="str">
        <f>IFERROR(VLOOKUP(A58,'V10'!$A$8:$B$1048576,2,0),"")</f>
        <v/>
      </c>
      <c r="D58" s="20" t="str">
        <f t="shared" si="0"/>
        <v/>
      </c>
      <c r="E58" s="13"/>
      <c r="F58" s="10"/>
      <c r="G58" s="10"/>
      <c r="H58" s="10"/>
      <c r="I58" s="10"/>
      <c r="J58" s="10"/>
      <c r="K58" s="14"/>
      <c r="L58" s="13"/>
      <c r="M58" s="10"/>
      <c r="N58" s="10"/>
      <c r="O58" s="10"/>
      <c r="P58" s="10"/>
      <c r="Q58" s="10"/>
      <c r="R58" s="14"/>
    </row>
    <row r="59" spans="1:18" x14ac:dyDescent="0.25">
      <c r="A59" s="4"/>
      <c r="B59" s="18" t="str">
        <f>IFERROR(VLOOKUP(A59,'V09'!$A$8:$B$1048576,2,0),"")</f>
        <v/>
      </c>
      <c r="C59" s="18" t="str">
        <f>IFERROR(VLOOKUP(A59,'V10'!$A$8:$B$1048576,2,0),"")</f>
        <v/>
      </c>
      <c r="D59" s="20" t="str">
        <f t="shared" si="0"/>
        <v/>
      </c>
      <c r="E59" s="13"/>
      <c r="F59" s="10"/>
      <c r="G59" s="10"/>
      <c r="H59" s="10"/>
      <c r="I59" s="10"/>
      <c r="J59" s="10"/>
      <c r="K59" s="14"/>
      <c r="L59" s="13"/>
      <c r="M59" s="10"/>
      <c r="N59" s="10"/>
      <c r="O59" s="10"/>
      <c r="P59" s="10"/>
      <c r="Q59" s="10"/>
      <c r="R59" s="14"/>
    </row>
    <row r="60" spans="1:18" x14ac:dyDescent="0.25">
      <c r="A60" s="4"/>
      <c r="B60" s="18" t="str">
        <f>IFERROR(VLOOKUP(A60,'V09'!$A$8:$B$1048576,2,0),"")</f>
        <v/>
      </c>
      <c r="C60" s="18" t="str">
        <f>IFERROR(VLOOKUP(A60,'V10'!$A$8:$B$1048576,2,0),"")</f>
        <v/>
      </c>
      <c r="D60" s="20" t="str">
        <f t="shared" si="0"/>
        <v/>
      </c>
      <c r="E60" s="13"/>
      <c r="F60" s="10"/>
      <c r="G60" s="10"/>
      <c r="H60" s="10"/>
      <c r="I60" s="10"/>
      <c r="J60" s="10"/>
      <c r="K60" s="14"/>
      <c r="L60" s="13"/>
      <c r="M60" s="10"/>
      <c r="N60" s="10"/>
      <c r="O60" s="10"/>
      <c r="P60" s="10"/>
      <c r="Q60" s="10"/>
      <c r="R60" s="14"/>
    </row>
  </sheetData>
  <mergeCells count="4">
    <mergeCell ref="A7:D7"/>
    <mergeCell ref="E7:K7"/>
    <mergeCell ref="L7:R7"/>
    <mergeCell ref="A5:R6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CBC8-8CF1-4560-BC4C-33DFC1CCA540}">
  <dimension ref="A1:AY556"/>
  <sheetViews>
    <sheetView showGridLines="0" zoomScale="57" zoomScaleNormal="57" workbookViewId="0">
      <selection activeCell="E3" sqref="E3:G3"/>
    </sheetView>
  </sheetViews>
  <sheetFormatPr defaultColWidth="9.140625" defaultRowHeight="15" x14ac:dyDescent="0.25"/>
  <cols>
    <col min="2" max="25" width="9.140625" customWidth="1"/>
  </cols>
  <sheetData>
    <row r="1" spans="1:5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</row>
    <row r="2" spans="1:51" ht="50.1" customHeight="1" x14ac:dyDescent="0.25">
      <c r="A2" s="17"/>
      <c r="B2" s="39" t="s">
        <v>64</v>
      </c>
      <c r="C2" s="39"/>
      <c r="D2" s="39"/>
      <c r="E2" s="40">
        <v>45931</v>
      </c>
      <c r="F2" s="40"/>
      <c r="G2" s="40"/>
      <c r="H2" s="40"/>
      <c r="I2" s="40"/>
      <c r="J2" s="40"/>
      <c r="K2" s="40"/>
      <c r="L2" s="40"/>
      <c r="M2" s="40"/>
      <c r="N2" s="30" t="s">
        <v>65</v>
      </c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2"/>
      <c r="AY2" s="17"/>
    </row>
    <row r="3" spans="1:51" ht="50.1" customHeight="1" x14ac:dyDescent="0.25">
      <c r="A3" s="17"/>
      <c r="B3" s="39" t="s">
        <v>37</v>
      </c>
      <c r="C3" s="39"/>
      <c r="D3" s="39"/>
      <c r="E3" s="41">
        <f>'V01'!B1</f>
        <v>3.9210526315789473</v>
      </c>
      <c r="F3" s="41"/>
      <c r="G3" s="41"/>
      <c r="H3" s="39" t="s">
        <v>25</v>
      </c>
      <c r="I3" s="39"/>
      <c r="J3" s="39"/>
      <c r="K3" s="42"/>
      <c r="L3" s="42"/>
      <c r="M3" s="42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5"/>
      <c r="AY3" s="17"/>
    </row>
    <row r="4" spans="1:51" ht="50.1" customHeight="1" x14ac:dyDescent="0.25">
      <c r="A4" s="17"/>
      <c r="B4" s="39" t="s">
        <v>66</v>
      </c>
      <c r="C4" s="39"/>
      <c r="D4" s="39"/>
      <c r="E4" s="41">
        <f>'V01'!B2*3</f>
        <v>7.3940597433283548</v>
      </c>
      <c r="F4" s="41"/>
      <c r="G4" s="41"/>
      <c r="H4" s="39" t="s">
        <v>26</v>
      </c>
      <c r="I4" s="39"/>
      <c r="J4" s="39"/>
      <c r="K4" s="42"/>
      <c r="L4" s="42"/>
      <c r="M4" s="42"/>
      <c r="N4" s="36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8"/>
      <c r="AY4" s="17"/>
    </row>
    <row r="5" spans="1:5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</row>
    <row r="6" spans="1:51" x14ac:dyDescent="0.25">
      <c r="A6" s="17"/>
      <c r="B6" t="s">
        <v>67</v>
      </c>
      <c r="K6" t="s">
        <v>68</v>
      </c>
      <c r="Z6" s="17"/>
      <c r="AY6" s="17"/>
    </row>
    <row r="7" spans="1:51" x14ac:dyDescent="0.25">
      <c r="A7" s="17"/>
      <c r="B7" s="6" t="s">
        <v>69</v>
      </c>
      <c r="C7" s="6" t="s">
        <v>70</v>
      </c>
      <c r="D7" s="6" t="s">
        <v>34</v>
      </c>
      <c r="E7" s="6" t="s">
        <v>35</v>
      </c>
      <c r="F7" s="6" t="s">
        <v>36</v>
      </c>
      <c r="G7" s="6" t="s">
        <v>37</v>
      </c>
      <c r="H7" s="6" t="s">
        <v>38</v>
      </c>
      <c r="I7" s="6" t="s">
        <v>39</v>
      </c>
      <c r="J7" s="6" t="s">
        <v>40</v>
      </c>
      <c r="K7" s="6" t="s">
        <v>70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Z7" s="17"/>
      <c r="AY7" s="17"/>
    </row>
    <row r="8" spans="1:51" x14ac:dyDescent="0.25">
      <c r="A8" s="17"/>
      <c r="B8" s="2">
        <f t="shared" ref="B8:B13" si="0">EDATE(B9,-1)</f>
        <v>45047</v>
      </c>
      <c r="C8">
        <f>IFERROR(VLOOKUP($B8,'V01'!$A$9:$J$1048576,2,1),"")</f>
        <v>2</v>
      </c>
      <c r="D8" s="1">
        <f>IFERROR(VLOOKUP($B8,'V01'!$A$8:$J$29,4,1),"")</f>
        <v>-3.4730071117494075</v>
      </c>
      <c r="E8" s="1">
        <f>IFERROR(VLOOKUP($B8,'V01'!$A$8:$J$29,5,1),"")</f>
        <v>-1.0083205306399559</v>
      </c>
      <c r="F8" s="1">
        <f>IFERROR(VLOOKUP($B8,'V01'!$A$8:$J$29,6,1),"")</f>
        <v>1.4563660504694957</v>
      </c>
      <c r="G8" s="1">
        <f>IFERROR(VLOOKUP($B8,'V01'!$A$8:$J$29,7,1),"")</f>
        <v>3.9210526315789473</v>
      </c>
      <c r="H8" s="1">
        <f>IFERROR(VLOOKUP($B8,'V01'!$A$8:$J$29,8,1),"")</f>
        <v>6.3857392126883994</v>
      </c>
      <c r="I8" s="1">
        <f>IFERROR(VLOOKUP($B8,'V01'!$A$8:$J$29,9,1),"")</f>
        <v>8.8504257937978501</v>
      </c>
      <c r="J8" s="1">
        <f>IFERROR(VLOOKUP($B8,'V01'!$A$8:$J$29,10,1),"")</f>
        <v>11.315112374907303</v>
      </c>
      <c r="K8">
        <f>IFERROR(VLOOKUP($B8,'V01'!$A$9:$Q$1048576,3,1),"")</f>
        <v>0</v>
      </c>
      <c r="L8">
        <f>IFERROR(VLOOKUP($B8,'V01'!$A$8:$Q$29,11,1),"")</f>
        <v>-0.99807083441216138</v>
      </c>
      <c r="M8">
        <f>IFERROR(VLOOKUP($B8,'V01'!$A$8:$Q$29,12,1),"")</f>
        <v>-0.65002967908179188</v>
      </c>
      <c r="N8">
        <f>IFERROR(VLOOKUP($B8,'V01'!$A$8:$Q$29,13,1),"")</f>
        <v>-0.30198852375142227</v>
      </c>
      <c r="O8">
        <f>IFERROR(VLOOKUP($B8,'V01'!$A$8:$Q$29,14,1),"")</f>
        <v>4.6052631578947366E-2</v>
      </c>
      <c r="P8">
        <f>IFERROR(VLOOKUP($B8,'V01'!$A$8:$Q$29,15,1),"")</f>
        <v>0.39409378690931696</v>
      </c>
      <c r="Q8">
        <f>IFERROR(VLOOKUP($B8,'V01'!$A$8:$Q$29,16,1),"")</f>
        <v>0.74213494223968657</v>
      </c>
      <c r="R8">
        <f>IFERROR(VLOOKUP($B8,'V01'!$A$8:$Q$29,17,1),"")</f>
        <v>1.0901760975700561</v>
      </c>
      <c r="Z8" s="17"/>
      <c r="AY8" s="17"/>
    </row>
    <row r="9" spans="1:51" x14ac:dyDescent="0.25">
      <c r="A9" s="17"/>
      <c r="B9" s="2">
        <f t="shared" si="0"/>
        <v>45078</v>
      </c>
      <c r="C9">
        <f>IFERROR(VLOOKUP($B9,'V01'!$A$9:$J$1048576,2,1),"")</f>
        <v>1</v>
      </c>
      <c r="D9" s="1">
        <f>IFERROR(VLOOKUP($B9,'V01'!$A$8:$J$29,4,1),"")</f>
        <v>-3.4730071117494075</v>
      </c>
      <c r="E9" s="1">
        <f>IFERROR(VLOOKUP($B9,'V01'!$A$8:$J$29,5,1),"")</f>
        <v>-1.0083205306399559</v>
      </c>
      <c r="F9" s="1">
        <f>IFERROR(VLOOKUP($B9,'V01'!$A$8:$J$29,6,1),"")</f>
        <v>1.4563660504694957</v>
      </c>
      <c r="G9" s="1">
        <f>IFERROR(VLOOKUP($B9,'V01'!$A$8:$J$29,7,1),"")</f>
        <v>3.9210526315789473</v>
      </c>
      <c r="H9" s="1">
        <f>IFERROR(VLOOKUP($B9,'V01'!$A$8:$J$29,8,1),"")</f>
        <v>6.3857392126883994</v>
      </c>
      <c r="I9" s="1">
        <f>IFERROR(VLOOKUP($B9,'V01'!$A$8:$J$29,9,1),"")</f>
        <v>8.8504257937978501</v>
      </c>
      <c r="J9" s="1">
        <f>IFERROR(VLOOKUP($B9,'V01'!$A$8:$J$29,10,1),"")</f>
        <v>11.315112374907303</v>
      </c>
      <c r="K9">
        <f>IFERROR(VLOOKUP($B9,'V01'!$A$9:$Q$1048576,3,1),"")</f>
        <v>-0.25</v>
      </c>
      <c r="L9">
        <f>IFERROR(VLOOKUP($B9,'V01'!$A$8:$Q$29,11,1),"")</f>
        <v>-0.99807083441216138</v>
      </c>
      <c r="M9">
        <f>IFERROR(VLOOKUP($B9,'V01'!$A$8:$Q$29,12,1),"")</f>
        <v>-0.65002967908179188</v>
      </c>
      <c r="N9">
        <f>IFERROR(VLOOKUP($B9,'V01'!$A$8:$Q$29,13,1),"")</f>
        <v>-0.30198852375142227</v>
      </c>
      <c r="O9">
        <f>IFERROR(VLOOKUP($B9,'V01'!$A$8:$Q$29,14,1),"")</f>
        <v>4.6052631578947366E-2</v>
      </c>
      <c r="P9">
        <f>IFERROR(VLOOKUP($B9,'V01'!$A$8:$Q$29,15,1),"")</f>
        <v>0.39409378690931696</v>
      </c>
      <c r="Q9">
        <f>IFERROR(VLOOKUP($B9,'V01'!$A$8:$Q$29,16,1),"")</f>
        <v>0.74213494223968657</v>
      </c>
      <c r="R9">
        <f>IFERROR(VLOOKUP($B9,'V01'!$A$8:$Q$29,17,1),"")</f>
        <v>1.0901760975700561</v>
      </c>
      <c r="Z9" s="17"/>
      <c r="AY9" s="17"/>
    </row>
    <row r="10" spans="1:51" x14ac:dyDescent="0.25">
      <c r="A10" s="17"/>
      <c r="B10" s="2">
        <f t="shared" si="0"/>
        <v>45108</v>
      </c>
      <c r="C10">
        <f>IFERROR(VLOOKUP($B10,'V01'!$A$9:$J$1048576,2,1),"")</f>
        <v>3</v>
      </c>
      <c r="D10" s="1">
        <f>IFERROR(VLOOKUP($B10,'V01'!$A$8:$J$29,4,1),"")</f>
        <v>-3.4730071117494075</v>
      </c>
      <c r="E10" s="1">
        <f>IFERROR(VLOOKUP($B10,'V01'!$A$8:$J$29,5,1),"")</f>
        <v>-1.0083205306399559</v>
      </c>
      <c r="F10" s="1">
        <f>IFERROR(VLOOKUP($B10,'V01'!$A$8:$J$29,6,1),"")</f>
        <v>1.4563660504694957</v>
      </c>
      <c r="G10" s="1">
        <f>IFERROR(VLOOKUP($B10,'V01'!$A$8:$J$29,7,1),"")</f>
        <v>3.9210526315789473</v>
      </c>
      <c r="H10" s="1">
        <f>IFERROR(VLOOKUP($B10,'V01'!$A$8:$J$29,8,1),"")</f>
        <v>6.3857392126883994</v>
      </c>
      <c r="I10" s="1">
        <f>IFERROR(VLOOKUP($B10,'V01'!$A$8:$J$29,9,1),"")</f>
        <v>8.8504257937978501</v>
      </c>
      <c r="J10" s="1">
        <f>IFERROR(VLOOKUP($B10,'V01'!$A$8:$J$29,10,1),"")</f>
        <v>11.315112374907303</v>
      </c>
      <c r="K10">
        <f>IFERROR(VLOOKUP($B10,'V01'!$A$9:$Q$1048576,3,1),"")</f>
        <v>0.5</v>
      </c>
      <c r="L10">
        <f>IFERROR(VLOOKUP($B10,'V01'!$A$8:$Q$29,11,1),"")</f>
        <v>-0.99807083441216138</v>
      </c>
      <c r="M10">
        <f>IFERROR(VLOOKUP($B10,'V01'!$A$8:$Q$29,12,1),"")</f>
        <v>-0.65002967908179188</v>
      </c>
      <c r="N10">
        <f>IFERROR(VLOOKUP($B10,'V01'!$A$8:$Q$29,13,1),"")</f>
        <v>-0.30198852375142227</v>
      </c>
      <c r="O10">
        <f>IFERROR(VLOOKUP($B10,'V01'!$A$8:$Q$29,14,1),"")</f>
        <v>4.6052631578947366E-2</v>
      </c>
      <c r="P10">
        <f>IFERROR(VLOOKUP($B10,'V01'!$A$8:$Q$29,15,1),"")</f>
        <v>0.39409378690931696</v>
      </c>
      <c r="Q10">
        <f>IFERROR(VLOOKUP($B10,'V01'!$A$8:$Q$29,16,1),"")</f>
        <v>0.74213494223968657</v>
      </c>
      <c r="R10">
        <f>IFERROR(VLOOKUP($B10,'V01'!$A$8:$Q$29,17,1),"")</f>
        <v>1.0901760975700561</v>
      </c>
      <c r="Z10" s="17"/>
      <c r="AY10" s="17"/>
    </row>
    <row r="11" spans="1:51" x14ac:dyDescent="0.25">
      <c r="A11" s="17"/>
      <c r="B11" s="2">
        <f t="shared" si="0"/>
        <v>45139</v>
      </c>
      <c r="C11">
        <f>IFERROR(VLOOKUP($B11,'V01'!$A$9:$J$1048576,2,1),"")</f>
        <v>5</v>
      </c>
      <c r="D11" s="1">
        <f>IFERROR(VLOOKUP($B11,'V01'!$A$8:$J$29,4,1),"")</f>
        <v>-3.4730071117494075</v>
      </c>
      <c r="E11" s="1">
        <f>IFERROR(VLOOKUP($B11,'V01'!$A$8:$J$29,5,1),"")</f>
        <v>-1.0083205306399559</v>
      </c>
      <c r="F11" s="1">
        <f>IFERROR(VLOOKUP($B11,'V01'!$A$8:$J$29,6,1),"")</f>
        <v>1.4563660504694957</v>
      </c>
      <c r="G11" s="1">
        <f>IFERROR(VLOOKUP($B11,'V01'!$A$8:$J$29,7,1),"")</f>
        <v>3.9210526315789473</v>
      </c>
      <c r="H11" s="1">
        <f>IFERROR(VLOOKUP($B11,'V01'!$A$8:$J$29,8,1),"")</f>
        <v>6.3857392126883994</v>
      </c>
      <c r="I11" s="1">
        <f>IFERROR(VLOOKUP($B11,'V01'!$A$8:$J$29,9,1),"")</f>
        <v>8.8504257937978501</v>
      </c>
      <c r="J11" s="1">
        <f>IFERROR(VLOOKUP($B11,'V01'!$A$8:$J$29,10,1),"")</f>
        <v>11.315112374907303</v>
      </c>
      <c r="K11">
        <f>IFERROR(VLOOKUP($B11,'V01'!$A$9:$Q$1048576,3,1),"")</f>
        <v>0.5</v>
      </c>
      <c r="L11">
        <f>IFERROR(VLOOKUP($B11,'V01'!$A$8:$Q$29,11,1),"")</f>
        <v>-0.99807083441216138</v>
      </c>
      <c r="M11">
        <f>IFERROR(VLOOKUP($B11,'V01'!$A$8:$Q$29,12,1),"")</f>
        <v>-0.65002967908179188</v>
      </c>
      <c r="N11">
        <f>IFERROR(VLOOKUP($B11,'V01'!$A$8:$Q$29,13,1),"")</f>
        <v>-0.30198852375142227</v>
      </c>
      <c r="O11">
        <f>IFERROR(VLOOKUP($B11,'V01'!$A$8:$Q$29,14,1),"")</f>
        <v>4.6052631578947366E-2</v>
      </c>
      <c r="P11">
        <f>IFERROR(VLOOKUP($B11,'V01'!$A$8:$Q$29,15,1),"")</f>
        <v>0.39409378690931696</v>
      </c>
      <c r="Q11">
        <f>IFERROR(VLOOKUP($B11,'V01'!$A$8:$Q$29,16,1),"")</f>
        <v>0.74213494223968657</v>
      </c>
      <c r="R11">
        <f>IFERROR(VLOOKUP($B11,'V01'!$A$8:$Q$29,17,1),"")</f>
        <v>1.0901760975700561</v>
      </c>
      <c r="Z11" s="17"/>
      <c r="AY11" s="17"/>
    </row>
    <row r="12" spans="1:51" x14ac:dyDescent="0.25">
      <c r="A12" s="17"/>
      <c r="B12" s="2">
        <f t="shared" si="0"/>
        <v>45170</v>
      </c>
      <c r="C12">
        <f>IFERROR(VLOOKUP($B12,'V01'!$A$9:$J$1048576,2,1),"")</f>
        <v>5</v>
      </c>
      <c r="D12" s="1">
        <f>IFERROR(VLOOKUP($B12,'V01'!$A$8:$J$29,4,1),"")</f>
        <v>-3.4730071117494075</v>
      </c>
      <c r="E12" s="1">
        <f>IFERROR(VLOOKUP($B12,'V01'!$A$8:$J$29,5,1),"")</f>
        <v>-1.0083205306399559</v>
      </c>
      <c r="F12" s="1">
        <f>IFERROR(VLOOKUP($B12,'V01'!$A$8:$J$29,6,1),"")</f>
        <v>1.4563660504694957</v>
      </c>
      <c r="G12" s="1">
        <f>IFERROR(VLOOKUP($B12,'V01'!$A$8:$J$29,7,1),"")</f>
        <v>3.9210526315789473</v>
      </c>
      <c r="H12" s="1">
        <f>IFERROR(VLOOKUP($B12,'V01'!$A$8:$J$29,8,1),"")</f>
        <v>6.3857392126883994</v>
      </c>
      <c r="I12" s="1">
        <f>IFERROR(VLOOKUP($B12,'V01'!$A$8:$J$29,9,1),"")</f>
        <v>8.8504257937978501</v>
      </c>
      <c r="J12" s="1">
        <f>IFERROR(VLOOKUP($B12,'V01'!$A$8:$J$29,10,1),"")</f>
        <v>11.315112374907303</v>
      </c>
      <c r="K12">
        <f>IFERROR(VLOOKUP($B12,'V01'!$A$9:$Q$1048576,3,1),"")</f>
        <v>0</v>
      </c>
      <c r="L12">
        <f>IFERROR(VLOOKUP($B12,'V01'!$A$8:$Q$29,11,1),"")</f>
        <v>-0.99807083441216138</v>
      </c>
      <c r="M12">
        <f>IFERROR(VLOOKUP($B12,'V01'!$A$8:$Q$29,12,1),"")</f>
        <v>-0.65002967908179188</v>
      </c>
      <c r="N12">
        <f>IFERROR(VLOOKUP($B12,'V01'!$A$8:$Q$29,13,1),"")</f>
        <v>-0.30198852375142227</v>
      </c>
      <c r="O12">
        <f>IFERROR(VLOOKUP($B12,'V01'!$A$8:$Q$29,14,1),"")</f>
        <v>4.6052631578947366E-2</v>
      </c>
      <c r="P12">
        <f>IFERROR(VLOOKUP($B12,'V01'!$A$8:$Q$29,15,1),"")</f>
        <v>0.39409378690931696</v>
      </c>
      <c r="Q12">
        <f>IFERROR(VLOOKUP($B12,'V01'!$A$8:$Q$29,16,1),"")</f>
        <v>0.74213494223968657</v>
      </c>
      <c r="R12">
        <f>IFERROR(VLOOKUP($B12,'V01'!$A$8:$Q$29,17,1),"")</f>
        <v>1.0901760975700561</v>
      </c>
      <c r="Z12" s="17"/>
      <c r="AY12" s="17"/>
    </row>
    <row r="13" spans="1:51" x14ac:dyDescent="0.25">
      <c r="A13" s="17"/>
      <c r="B13" s="2">
        <f t="shared" si="0"/>
        <v>45200</v>
      </c>
      <c r="C13">
        <f>IFERROR(VLOOKUP($B13,'V01'!$A$9:$J$1048576,2,1),"")</f>
        <v>4</v>
      </c>
      <c r="D13" s="1">
        <f>IFERROR(VLOOKUP($B13,'V01'!$A$8:$J$29,4,1),"")</f>
        <v>-3.4730071117494075</v>
      </c>
      <c r="E13" s="1">
        <f>IFERROR(VLOOKUP($B13,'V01'!$A$8:$J$29,5,1),"")</f>
        <v>-1.0083205306399559</v>
      </c>
      <c r="F13" s="1">
        <f>IFERROR(VLOOKUP($B13,'V01'!$A$8:$J$29,6,1),"")</f>
        <v>1.4563660504694957</v>
      </c>
      <c r="G13" s="1">
        <f>IFERROR(VLOOKUP($B13,'V01'!$A$8:$J$29,7,1),"")</f>
        <v>3.9210526315789473</v>
      </c>
      <c r="H13" s="1">
        <f>IFERROR(VLOOKUP($B13,'V01'!$A$8:$J$29,8,1),"")</f>
        <v>6.3857392126883994</v>
      </c>
      <c r="I13" s="1">
        <f>IFERROR(VLOOKUP($B13,'V01'!$A$8:$J$29,9,1),"")</f>
        <v>8.8504257937978501</v>
      </c>
      <c r="J13" s="1">
        <f>IFERROR(VLOOKUP($B13,'V01'!$A$8:$J$29,10,1),"")</f>
        <v>11.315112374907303</v>
      </c>
      <c r="K13">
        <f>IFERROR(VLOOKUP($B13,'V01'!$A$9:$Q$1048576,3,1),"")</f>
        <v>-0.25</v>
      </c>
      <c r="L13">
        <f>IFERROR(VLOOKUP($B13,'V01'!$A$8:$Q$29,11,1),"")</f>
        <v>-0.99807083441216138</v>
      </c>
      <c r="M13">
        <f>IFERROR(VLOOKUP($B13,'V01'!$A$8:$Q$29,12,1),"")</f>
        <v>-0.65002967908179188</v>
      </c>
      <c r="N13">
        <f>IFERROR(VLOOKUP($B13,'V01'!$A$8:$Q$29,13,1),"")</f>
        <v>-0.30198852375142227</v>
      </c>
      <c r="O13">
        <f>IFERROR(VLOOKUP($B13,'V01'!$A$8:$Q$29,14,1),"")</f>
        <v>4.6052631578947366E-2</v>
      </c>
      <c r="P13">
        <f>IFERROR(VLOOKUP($B13,'V01'!$A$8:$Q$29,15,1),"")</f>
        <v>0.39409378690931696</v>
      </c>
      <c r="Q13">
        <f>IFERROR(VLOOKUP($B13,'V01'!$A$8:$Q$29,16,1),"")</f>
        <v>0.74213494223968657</v>
      </c>
      <c r="R13">
        <f>IFERROR(VLOOKUP($B13,'V01'!$A$8:$Q$29,17,1),"")</f>
        <v>1.0901760975700561</v>
      </c>
      <c r="Z13" s="17"/>
      <c r="AY13" s="17"/>
    </row>
    <row r="14" spans="1:51" x14ac:dyDescent="0.25">
      <c r="A14" s="17"/>
      <c r="B14" s="2">
        <f t="shared" ref="B14:B25" si="1">EDATE(B15,-1)</f>
        <v>45231</v>
      </c>
      <c r="C14">
        <f>IFERROR(VLOOKUP($B14,'V01'!$A$9:$J$1048576,2,1),"")</f>
        <v>2</v>
      </c>
      <c r="D14" s="1">
        <f>IFERROR(VLOOKUP($B14,'V01'!$A$8:$J$29,4,1),"")</f>
        <v>-3.4730071117494075</v>
      </c>
      <c r="E14" s="1">
        <f>IFERROR(VLOOKUP($B14,'V01'!$A$8:$J$29,5,1),"")</f>
        <v>-1.0083205306399559</v>
      </c>
      <c r="F14" s="1">
        <f>IFERROR(VLOOKUP($B14,'V01'!$A$8:$J$29,6,1),"")</f>
        <v>1.4563660504694957</v>
      </c>
      <c r="G14" s="1">
        <f>IFERROR(VLOOKUP($B14,'V01'!$A$8:$J$29,7,1),"")</f>
        <v>3.9210526315789473</v>
      </c>
      <c r="H14" s="1">
        <f>IFERROR(VLOOKUP($B14,'V01'!$A$8:$J$29,8,1),"")</f>
        <v>6.3857392126883994</v>
      </c>
      <c r="I14" s="1">
        <f>IFERROR(VLOOKUP($B14,'V01'!$A$8:$J$29,9,1),"")</f>
        <v>8.8504257937978501</v>
      </c>
      <c r="J14" s="1">
        <f>IFERROR(VLOOKUP($B14,'V01'!$A$8:$J$29,10,1),"")</f>
        <v>11.315112374907303</v>
      </c>
      <c r="K14">
        <f>IFERROR(VLOOKUP($B14,'V01'!$A$9:$Q$1048576,3,1),"")</f>
        <v>-0.5</v>
      </c>
      <c r="L14">
        <f>IFERROR(VLOOKUP($B14,'V01'!$A$8:$Q$29,11,1),"")</f>
        <v>-0.99807083441216138</v>
      </c>
      <c r="M14">
        <f>IFERROR(VLOOKUP($B14,'V01'!$A$8:$Q$29,12,1),"")</f>
        <v>-0.65002967908179188</v>
      </c>
      <c r="N14">
        <f>IFERROR(VLOOKUP($B14,'V01'!$A$8:$Q$29,13,1),"")</f>
        <v>-0.30198852375142227</v>
      </c>
      <c r="O14">
        <f>IFERROR(VLOOKUP($B14,'V01'!$A$8:$Q$29,14,1),"")</f>
        <v>4.6052631578947366E-2</v>
      </c>
      <c r="P14">
        <f>IFERROR(VLOOKUP($B14,'V01'!$A$8:$Q$29,15,1),"")</f>
        <v>0.39409378690931696</v>
      </c>
      <c r="Q14">
        <f>IFERROR(VLOOKUP($B14,'V01'!$A$8:$Q$29,16,1),"")</f>
        <v>0.74213494223968657</v>
      </c>
      <c r="R14">
        <f>IFERROR(VLOOKUP($B14,'V01'!$A$8:$Q$29,17,1),"")</f>
        <v>1.0901760975700561</v>
      </c>
      <c r="Z14" s="17"/>
      <c r="AY14" s="17"/>
    </row>
    <row r="15" spans="1:51" x14ac:dyDescent="0.25">
      <c r="A15" s="17"/>
      <c r="B15" s="2">
        <f t="shared" si="1"/>
        <v>45261</v>
      </c>
      <c r="C15">
        <f>IFERROR(VLOOKUP($B15,'V01'!$A$9:$J$1048576,2,1),"")</f>
        <v>0</v>
      </c>
      <c r="D15" s="1">
        <f>IFERROR(VLOOKUP($B15,'V01'!$A$8:$J$29,4,1),"")</f>
        <v>-3.4730071117494075</v>
      </c>
      <c r="E15" s="1">
        <f>IFERROR(VLOOKUP($B15,'V01'!$A$8:$J$29,5,1),"")</f>
        <v>-1.0083205306399559</v>
      </c>
      <c r="F15" s="1">
        <f>IFERROR(VLOOKUP($B15,'V01'!$A$8:$J$29,6,1),"")</f>
        <v>1.4563660504694957</v>
      </c>
      <c r="G15" s="1">
        <f>IFERROR(VLOOKUP($B15,'V01'!$A$8:$J$29,7,1),"")</f>
        <v>3.9210526315789473</v>
      </c>
      <c r="H15" s="1">
        <f>IFERROR(VLOOKUP($B15,'V01'!$A$8:$J$29,8,1),"")</f>
        <v>6.3857392126883994</v>
      </c>
      <c r="I15" s="1">
        <f>IFERROR(VLOOKUP($B15,'V01'!$A$8:$J$29,9,1),"")</f>
        <v>8.8504257937978501</v>
      </c>
      <c r="J15" s="1">
        <f>IFERROR(VLOOKUP($B15,'V01'!$A$8:$J$29,10,1),"")</f>
        <v>11.315112374907303</v>
      </c>
      <c r="K15">
        <f>IFERROR(VLOOKUP($B15,'V01'!$A$9:$Q$1048576,3,1),"")</f>
        <v>-0.5</v>
      </c>
      <c r="L15">
        <f>IFERROR(VLOOKUP($B15,'V01'!$A$8:$Q$29,11,1),"")</f>
        <v>-0.99807083441216138</v>
      </c>
      <c r="M15">
        <f>IFERROR(VLOOKUP($B15,'V01'!$A$8:$Q$29,12,1),"")</f>
        <v>-0.65002967908179188</v>
      </c>
      <c r="N15">
        <f>IFERROR(VLOOKUP($B15,'V01'!$A$8:$Q$29,13,1),"")</f>
        <v>-0.30198852375142227</v>
      </c>
      <c r="O15">
        <f>IFERROR(VLOOKUP($B15,'V01'!$A$8:$Q$29,14,1),"")</f>
        <v>4.6052631578947366E-2</v>
      </c>
      <c r="P15">
        <f>IFERROR(VLOOKUP($B15,'V01'!$A$8:$Q$29,15,1),"")</f>
        <v>0.39409378690931696</v>
      </c>
      <c r="Q15">
        <f>IFERROR(VLOOKUP($B15,'V01'!$A$8:$Q$29,16,1),"")</f>
        <v>0.74213494223968657</v>
      </c>
      <c r="R15">
        <f>IFERROR(VLOOKUP($B15,'V01'!$A$8:$Q$29,17,1),"")</f>
        <v>1.0901760975700561</v>
      </c>
      <c r="Z15" s="17"/>
      <c r="AY15" s="17"/>
    </row>
    <row r="16" spans="1:51" x14ac:dyDescent="0.25">
      <c r="A16" s="17"/>
      <c r="B16" s="2">
        <f t="shared" si="1"/>
        <v>45292</v>
      </c>
      <c r="C16">
        <f>IFERROR(VLOOKUP($B16,'V01'!$A$9:$J$1048576,2,1),"")</f>
        <v>1</v>
      </c>
      <c r="D16" s="1">
        <f>IFERROR(VLOOKUP($B16,'V01'!$A$8:$J$29,4,1),"")</f>
        <v>-3.4730071117494075</v>
      </c>
      <c r="E16" s="1">
        <f>IFERROR(VLOOKUP($B16,'V01'!$A$8:$J$29,5,1),"")</f>
        <v>-1.0083205306399559</v>
      </c>
      <c r="F16" s="1">
        <f>IFERROR(VLOOKUP($B16,'V01'!$A$8:$J$29,6,1),"")</f>
        <v>1.4563660504694957</v>
      </c>
      <c r="G16" s="1">
        <f>IFERROR(VLOOKUP($B16,'V01'!$A$8:$J$29,7,1),"")</f>
        <v>3.9210526315789473</v>
      </c>
      <c r="H16" s="1">
        <f>IFERROR(VLOOKUP($B16,'V01'!$A$8:$J$29,8,1),"")</f>
        <v>6.3857392126883994</v>
      </c>
      <c r="I16" s="1">
        <f>IFERROR(VLOOKUP($B16,'V01'!$A$8:$J$29,9,1),"")</f>
        <v>8.8504257937978501</v>
      </c>
      <c r="J16" s="1">
        <f>IFERROR(VLOOKUP($B16,'V01'!$A$8:$J$29,10,1),"")</f>
        <v>11.315112374907303</v>
      </c>
      <c r="K16">
        <f>IFERROR(VLOOKUP($B16,'V01'!$A$9:$Q$1048576,3,1),"")</f>
        <v>0.25</v>
      </c>
      <c r="L16">
        <f>IFERROR(VLOOKUP($B16,'V01'!$A$8:$Q$29,11,1),"")</f>
        <v>-0.99807083441216138</v>
      </c>
      <c r="M16">
        <f>IFERROR(VLOOKUP($B16,'V01'!$A$8:$Q$29,12,1),"")</f>
        <v>-0.65002967908179188</v>
      </c>
      <c r="N16">
        <f>IFERROR(VLOOKUP($B16,'V01'!$A$8:$Q$29,13,1),"")</f>
        <v>-0.30198852375142227</v>
      </c>
      <c r="O16">
        <f>IFERROR(VLOOKUP($B16,'V01'!$A$8:$Q$29,14,1),"")</f>
        <v>4.6052631578947366E-2</v>
      </c>
      <c r="P16">
        <f>IFERROR(VLOOKUP($B16,'V01'!$A$8:$Q$29,15,1),"")</f>
        <v>0.39409378690931696</v>
      </c>
      <c r="Q16">
        <f>IFERROR(VLOOKUP($B16,'V01'!$A$8:$Q$29,16,1),"")</f>
        <v>0.74213494223968657</v>
      </c>
      <c r="R16">
        <f>IFERROR(VLOOKUP($B16,'V01'!$A$8:$Q$29,17,1),"")</f>
        <v>1.0901760975700561</v>
      </c>
      <c r="Z16" s="17"/>
      <c r="AY16" s="17"/>
    </row>
    <row r="17" spans="1:51" x14ac:dyDescent="0.25">
      <c r="A17" s="17"/>
      <c r="B17" s="2">
        <f t="shared" si="1"/>
        <v>45323</v>
      </c>
      <c r="C17">
        <f>IFERROR(VLOOKUP($B17,'V01'!$A$9:$J$1048576,2,1),"")</f>
        <v>2</v>
      </c>
      <c r="D17" s="1">
        <f>IFERROR(VLOOKUP($B17,'V01'!$A$8:$J$29,4,1),"")</f>
        <v>-3.4730071117494075</v>
      </c>
      <c r="E17" s="1">
        <f>IFERROR(VLOOKUP($B17,'V01'!$A$8:$J$29,5,1),"")</f>
        <v>-1.0083205306399559</v>
      </c>
      <c r="F17" s="1">
        <f>IFERROR(VLOOKUP($B17,'V01'!$A$8:$J$29,6,1),"")</f>
        <v>1.4563660504694957</v>
      </c>
      <c r="G17" s="1">
        <f>IFERROR(VLOOKUP($B17,'V01'!$A$8:$J$29,7,1),"")</f>
        <v>3.9210526315789473</v>
      </c>
      <c r="H17" s="1">
        <f>IFERROR(VLOOKUP($B17,'V01'!$A$8:$J$29,8,1),"")</f>
        <v>6.3857392126883994</v>
      </c>
      <c r="I17" s="1">
        <f>IFERROR(VLOOKUP($B17,'V01'!$A$8:$J$29,9,1),"")</f>
        <v>8.8504257937978501</v>
      </c>
      <c r="J17" s="1">
        <f>IFERROR(VLOOKUP($B17,'V01'!$A$8:$J$29,10,1),"")</f>
        <v>11.315112374907303</v>
      </c>
      <c r="K17">
        <f>IFERROR(VLOOKUP($B17,'V01'!$A$9:$Q$1048576,3,1),"")</f>
        <v>0.25</v>
      </c>
      <c r="L17">
        <f>IFERROR(VLOOKUP($B17,'V01'!$A$8:$Q$29,11,1),"")</f>
        <v>-0.99807083441216138</v>
      </c>
      <c r="M17">
        <f>IFERROR(VLOOKUP($B17,'V01'!$A$8:$Q$29,12,1),"")</f>
        <v>-0.65002967908179188</v>
      </c>
      <c r="N17">
        <f>IFERROR(VLOOKUP($B17,'V01'!$A$8:$Q$29,13,1),"")</f>
        <v>-0.30198852375142227</v>
      </c>
      <c r="O17">
        <f>IFERROR(VLOOKUP($B17,'V01'!$A$8:$Q$29,14,1),"")</f>
        <v>4.6052631578947366E-2</v>
      </c>
      <c r="P17">
        <f>IFERROR(VLOOKUP($B17,'V01'!$A$8:$Q$29,15,1),"")</f>
        <v>0.39409378690931696</v>
      </c>
      <c r="Q17">
        <f>IFERROR(VLOOKUP($B17,'V01'!$A$8:$Q$29,16,1),"")</f>
        <v>0.74213494223968657</v>
      </c>
      <c r="R17">
        <f>IFERROR(VLOOKUP($B17,'V01'!$A$8:$Q$29,17,1),"")</f>
        <v>1.0901760975700561</v>
      </c>
      <c r="Z17" s="17"/>
      <c r="AY17" s="17"/>
    </row>
    <row r="18" spans="1:51" x14ac:dyDescent="0.25">
      <c r="A18" s="17"/>
      <c r="B18" s="2">
        <f t="shared" si="1"/>
        <v>45352</v>
      </c>
      <c r="C18">
        <f>IFERROR(VLOOKUP($B18,'V01'!$A$9:$J$1048576,2,1),"")</f>
        <v>3</v>
      </c>
      <c r="D18" s="1">
        <f>IFERROR(VLOOKUP($B18,'V01'!$A$8:$J$29,4,1),"")</f>
        <v>-3.4730071117494075</v>
      </c>
      <c r="E18" s="1">
        <f>IFERROR(VLOOKUP($B18,'V01'!$A$8:$J$29,5,1),"")</f>
        <v>-1.0083205306399559</v>
      </c>
      <c r="F18" s="1">
        <f>IFERROR(VLOOKUP($B18,'V01'!$A$8:$J$29,6,1),"")</f>
        <v>1.4563660504694957</v>
      </c>
      <c r="G18" s="1">
        <f>IFERROR(VLOOKUP($B18,'V01'!$A$8:$J$29,7,1),"")</f>
        <v>3.9210526315789473</v>
      </c>
      <c r="H18" s="1">
        <f>IFERROR(VLOOKUP($B18,'V01'!$A$8:$J$29,8,1),"")</f>
        <v>6.3857392126883994</v>
      </c>
      <c r="I18" s="1">
        <f>IFERROR(VLOOKUP($B18,'V01'!$A$8:$J$29,9,1),"")</f>
        <v>8.8504257937978501</v>
      </c>
      <c r="J18" s="1">
        <f>IFERROR(VLOOKUP($B18,'V01'!$A$8:$J$29,10,1),"")</f>
        <v>11.315112374907303</v>
      </c>
      <c r="K18">
        <f>IFERROR(VLOOKUP($B18,'V01'!$A$9:$Q$1048576,3,1),"")</f>
        <v>0.25</v>
      </c>
      <c r="L18">
        <f>IFERROR(VLOOKUP($B18,'V01'!$A$8:$Q$29,11,1),"")</f>
        <v>-0.99807083441216138</v>
      </c>
      <c r="M18">
        <f>IFERROR(VLOOKUP($B18,'V01'!$A$8:$Q$29,12,1),"")</f>
        <v>-0.65002967908179188</v>
      </c>
      <c r="N18">
        <f>IFERROR(VLOOKUP($B18,'V01'!$A$8:$Q$29,13,1),"")</f>
        <v>-0.30198852375142227</v>
      </c>
      <c r="O18">
        <f>IFERROR(VLOOKUP($B18,'V01'!$A$8:$Q$29,14,1),"")</f>
        <v>4.6052631578947366E-2</v>
      </c>
      <c r="P18">
        <f>IFERROR(VLOOKUP($B18,'V01'!$A$8:$Q$29,15,1),"")</f>
        <v>0.39409378690931696</v>
      </c>
      <c r="Q18">
        <f>IFERROR(VLOOKUP($B18,'V01'!$A$8:$Q$29,16,1),"")</f>
        <v>0.74213494223968657</v>
      </c>
      <c r="R18">
        <f>IFERROR(VLOOKUP($B18,'V01'!$A$8:$Q$29,17,1),"")</f>
        <v>1.0901760975700561</v>
      </c>
      <c r="Z18" s="17"/>
      <c r="AY18" s="17"/>
    </row>
    <row r="19" spans="1:51" x14ac:dyDescent="0.25">
      <c r="A19" s="17"/>
      <c r="B19" s="2">
        <f t="shared" si="1"/>
        <v>45383</v>
      </c>
      <c r="C19">
        <f>IFERROR(VLOOKUP($B19,'V01'!$A$9:$J$1048576,2,1),"")</f>
        <v>4</v>
      </c>
      <c r="D19" s="1">
        <f>IFERROR(VLOOKUP($B19,'V01'!$A$8:$J$29,4,1),"")</f>
        <v>-3.4730071117494075</v>
      </c>
      <c r="E19" s="1">
        <f>IFERROR(VLOOKUP($B19,'V01'!$A$8:$J$29,5,1),"")</f>
        <v>-1.0083205306399559</v>
      </c>
      <c r="F19" s="1">
        <f>IFERROR(VLOOKUP($B19,'V01'!$A$8:$J$29,6,1),"")</f>
        <v>1.4563660504694957</v>
      </c>
      <c r="G19" s="1">
        <f>IFERROR(VLOOKUP($B19,'V01'!$A$8:$J$29,7,1),"")</f>
        <v>3.9210526315789473</v>
      </c>
      <c r="H19" s="1">
        <f>IFERROR(VLOOKUP($B19,'V01'!$A$8:$J$29,8,1),"")</f>
        <v>6.3857392126883994</v>
      </c>
      <c r="I19" s="1">
        <f>IFERROR(VLOOKUP($B19,'V01'!$A$8:$J$29,9,1),"")</f>
        <v>8.8504257937978501</v>
      </c>
      <c r="J19" s="1">
        <f>IFERROR(VLOOKUP($B19,'V01'!$A$8:$J$29,10,1),"")</f>
        <v>11.315112374907303</v>
      </c>
      <c r="K19">
        <f>IFERROR(VLOOKUP($B19,'V01'!$A$9:$Q$1048576,3,1),"")</f>
        <v>0.25</v>
      </c>
      <c r="L19">
        <f>IFERROR(VLOOKUP($B19,'V01'!$A$8:$Q$29,11,1),"")</f>
        <v>-0.99807083441216138</v>
      </c>
      <c r="M19">
        <f>IFERROR(VLOOKUP($B19,'V01'!$A$8:$Q$29,12,1),"")</f>
        <v>-0.65002967908179188</v>
      </c>
      <c r="N19">
        <f>IFERROR(VLOOKUP($B19,'V01'!$A$8:$Q$29,13,1),"")</f>
        <v>-0.30198852375142227</v>
      </c>
      <c r="O19">
        <f>IFERROR(VLOOKUP($B19,'V01'!$A$8:$Q$29,14,1),"")</f>
        <v>4.6052631578947366E-2</v>
      </c>
      <c r="P19">
        <f>IFERROR(VLOOKUP($B19,'V01'!$A$8:$Q$29,15,1),"")</f>
        <v>0.39409378690931696</v>
      </c>
      <c r="Q19">
        <f>IFERROR(VLOOKUP($B19,'V01'!$A$8:$Q$29,16,1),"")</f>
        <v>0.74213494223968657</v>
      </c>
      <c r="R19">
        <f>IFERROR(VLOOKUP($B19,'V01'!$A$8:$Q$29,17,1),"")</f>
        <v>1.0901760975700561</v>
      </c>
      <c r="Z19" s="17"/>
      <c r="AY19" s="17"/>
    </row>
    <row r="20" spans="1:51" x14ac:dyDescent="0.25">
      <c r="A20" s="17"/>
      <c r="B20" s="2">
        <f t="shared" si="1"/>
        <v>45413</v>
      </c>
      <c r="C20">
        <f>IFERROR(VLOOKUP($B20,'V01'!$A$9:$J$1048576,2,1),"")</f>
        <v>3</v>
      </c>
      <c r="D20" s="1">
        <f>IFERROR(VLOOKUP($B20,'V01'!$A$8:$J$29,4,1),"")</f>
        <v>-3.4730071117494075</v>
      </c>
      <c r="E20" s="1">
        <f>IFERROR(VLOOKUP($B20,'V01'!$A$8:$J$29,5,1),"")</f>
        <v>-1.0083205306399559</v>
      </c>
      <c r="F20" s="1">
        <f>IFERROR(VLOOKUP($B20,'V01'!$A$8:$J$29,6,1),"")</f>
        <v>1.4563660504694957</v>
      </c>
      <c r="G20" s="1">
        <f>IFERROR(VLOOKUP($B20,'V01'!$A$8:$J$29,7,1),"")</f>
        <v>3.9210526315789473</v>
      </c>
      <c r="H20" s="1">
        <f>IFERROR(VLOOKUP($B20,'V01'!$A$8:$J$29,8,1),"")</f>
        <v>6.3857392126883994</v>
      </c>
      <c r="I20" s="1">
        <f>IFERROR(VLOOKUP($B20,'V01'!$A$8:$J$29,9,1),"")</f>
        <v>8.8504257937978501</v>
      </c>
      <c r="J20" s="1">
        <f>IFERROR(VLOOKUP($B20,'V01'!$A$8:$J$29,10,1),"")</f>
        <v>11.315112374907303</v>
      </c>
      <c r="K20">
        <f>IFERROR(VLOOKUP($B20,'V01'!$A$9:$Q$1048576,3,1),"")</f>
        <v>-0.25</v>
      </c>
      <c r="L20">
        <f>IFERROR(VLOOKUP($B20,'V01'!$A$8:$Q$29,11,1),"")</f>
        <v>-0.99807083441216138</v>
      </c>
      <c r="M20">
        <f>IFERROR(VLOOKUP($B20,'V01'!$A$8:$Q$29,12,1),"")</f>
        <v>-0.65002967908179188</v>
      </c>
      <c r="N20">
        <f>IFERROR(VLOOKUP($B20,'V01'!$A$8:$Q$29,13,1),"")</f>
        <v>-0.30198852375142227</v>
      </c>
      <c r="O20">
        <f>IFERROR(VLOOKUP($B20,'V01'!$A$8:$Q$29,14,1),"")</f>
        <v>4.6052631578947366E-2</v>
      </c>
      <c r="P20">
        <f>IFERROR(VLOOKUP($B20,'V01'!$A$8:$Q$29,15,1),"")</f>
        <v>0.39409378690931696</v>
      </c>
      <c r="Q20">
        <f>IFERROR(VLOOKUP($B20,'V01'!$A$8:$Q$29,16,1),"")</f>
        <v>0.74213494223968657</v>
      </c>
      <c r="R20">
        <f>IFERROR(VLOOKUP($B20,'V01'!$A$8:$Q$29,17,1),"")</f>
        <v>1.0901760975700561</v>
      </c>
      <c r="Z20" s="17"/>
      <c r="AY20" s="17"/>
    </row>
    <row r="21" spans="1:51" x14ac:dyDescent="0.25">
      <c r="A21" s="17"/>
      <c r="B21" s="2">
        <f t="shared" si="1"/>
        <v>45444</v>
      </c>
      <c r="C21">
        <f>IFERROR(VLOOKUP($B21,'V01'!$A$9:$J$1048576,2,1),"")</f>
        <v>4</v>
      </c>
      <c r="D21" s="1">
        <f>IFERROR(VLOOKUP($B21,'V01'!$A$8:$J$29,4,1),"")</f>
        <v>-3.4730071117494075</v>
      </c>
      <c r="E21" s="1">
        <f>IFERROR(VLOOKUP($B21,'V01'!$A$8:$J$29,5,1),"")</f>
        <v>-1.0083205306399559</v>
      </c>
      <c r="F21" s="1">
        <f>IFERROR(VLOOKUP($B21,'V01'!$A$8:$J$29,6,1),"")</f>
        <v>1.4563660504694957</v>
      </c>
      <c r="G21" s="1">
        <f>IFERROR(VLOOKUP($B21,'V01'!$A$8:$J$29,7,1),"")</f>
        <v>3.9210526315789473</v>
      </c>
      <c r="H21" s="1">
        <f>IFERROR(VLOOKUP($B21,'V01'!$A$8:$J$29,8,1),"")</f>
        <v>6.3857392126883994</v>
      </c>
      <c r="I21" s="1">
        <f>IFERROR(VLOOKUP($B21,'V01'!$A$8:$J$29,9,1),"")</f>
        <v>8.8504257937978501</v>
      </c>
      <c r="J21" s="1">
        <f>IFERROR(VLOOKUP($B21,'V01'!$A$8:$J$29,10,1),"")</f>
        <v>11.315112374907303</v>
      </c>
      <c r="K21">
        <f>IFERROR(VLOOKUP($B21,'V01'!$A$9:$Q$1048576,3,1),"")</f>
        <v>0.25</v>
      </c>
      <c r="L21">
        <f>IFERROR(VLOOKUP($B21,'V01'!$A$8:$Q$29,11,1),"")</f>
        <v>-0.99807083441216138</v>
      </c>
      <c r="M21">
        <f>IFERROR(VLOOKUP($B21,'V01'!$A$8:$Q$29,12,1),"")</f>
        <v>-0.65002967908179188</v>
      </c>
      <c r="N21">
        <f>IFERROR(VLOOKUP($B21,'V01'!$A$8:$Q$29,13,1),"")</f>
        <v>-0.30198852375142227</v>
      </c>
      <c r="O21">
        <f>IFERROR(VLOOKUP($B21,'V01'!$A$8:$Q$29,14,1),"")</f>
        <v>4.6052631578947366E-2</v>
      </c>
      <c r="P21">
        <f>IFERROR(VLOOKUP($B21,'V01'!$A$8:$Q$29,15,1),"")</f>
        <v>0.39409378690931696</v>
      </c>
      <c r="Q21">
        <f>IFERROR(VLOOKUP($B21,'V01'!$A$8:$Q$29,16,1),"")</f>
        <v>0.74213494223968657</v>
      </c>
      <c r="R21">
        <f>IFERROR(VLOOKUP($B21,'V01'!$A$8:$Q$29,17,1),"")</f>
        <v>1.0901760975700561</v>
      </c>
      <c r="Z21" s="17"/>
      <c r="AY21" s="17"/>
    </row>
    <row r="22" spans="1:51" x14ac:dyDescent="0.25">
      <c r="A22" s="17"/>
      <c r="B22" s="2">
        <f t="shared" si="1"/>
        <v>45474</v>
      </c>
      <c r="C22">
        <f>IFERROR(VLOOKUP($B22,'V01'!$A$9:$J$1048576,2,1),"")</f>
        <v>5</v>
      </c>
      <c r="D22" s="1">
        <f>IFERROR(VLOOKUP($B22,'V01'!$A$8:$J$29,4,1),"")</f>
        <v>-3.4730071117494075</v>
      </c>
      <c r="E22" s="1">
        <f>IFERROR(VLOOKUP($B22,'V01'!$A$8:$J$29,5,1),"")</f>
        <v>-1.0083205306399559</v>
      </c>
      <c r="F22" s="1">
        <f>IFERROR(VLOOKUP($B22,'V01'!$A$8:$J$29,6,1),"")</f>
        <v>1.4563660504694957</v>
      </c>
      <c r="G22" s="1">
        <f>IFERROR(VLOOKUP($B22,'V01'!$A$8:$J$29,7,1),"")</f>
        <v>3.9210526315789473</v>
      </c>
      <c r="H22" s="1">
        <f>IFERROR(VLOOKUP($B22,'V01'!$A$8:$J$29,8,1),"")</f>
        <v>6.3857392126883994</v>
      </c>
      <c r="I22" s="1">
        <f>IFERROR(VLOOKUP($B22,'V01'!$A$8:$J$29,9,1),"")</f>
        <v>8.8504257937978501</v>
      </c>
      <c r="J22" s="1">
        <f>IFERROR(VLOOKUP($B22,'V01'!$A$8:$J$29,10,1),"")</f>
        <v>11.315112374907303</v>
      </c>
      <c r="K22">
        <f>IFERROR(VLOOKUP($B22,'V01'!$A$9:$Q$1048576,3,1),"")</f>
        <v>0.25</v>
      </c>
      <c r="L22">
        <f>IFERROR(VLOOKUP($B22,'V01'!$A$8:$Q$29,11,1),"")</f>
        <v>-0.99807083441216138</v>
      </c>
      <c r="M22">
        <f>IFERROR(VLOOKUP($B22,'V01'!$A$8:$Q$29,12,1),"")</f>
        <v>-0.65002967908179188</v>
      </c>
      <c r="N22">
        <f>IFERROR(VLOOKUP($B22,'V01'!$A$8:$Q$29,13,1),"")</f>
        <v>-0.30198852375142227</v>
      </c>
      <c r="O22">
        <f>IFERROR(VLOOKUP($B22,'V01'!$A$8:$Q$29,14,1),"")</f>
        <v>4.6052631578947366E-2</v>
      </c>
      <c r="P22">
        <f>IFERROR(VLOOKUP($B22,'V01'!$A$8:$Q$29,15,1),"")</f>
        <v>0.39409378690931696</v>
      </c>
      <c r="Q22">
        <f>IFERROR(VLOOKUP($B22,'V01'!$A$8:$Q$29,16,1),"")</f>
        <v>0.74213494223968657</v>
      </c>
      <c r="R22">
        <f>IFERROR(VLOOKUP($B22,'V01'!$A$8:$Q$29,17,1),"")</f>
        <v>1.0901760975700561</v>
      </c>
      <c r="Z22" s="17"/>
      <c r="AY22" s="17"/>
    </row>
    <row r="23" spans="1:51" x14ac:dyDescent="0.25">
      <c r="A23" s="17"/>
      <c r="B23" s="2">
        <f t="shared" si="1"/>
        <v>45505</v>
      </c>
      <c r="C23">
        <f>IFERROR(VLOOKUP($B23,'V01'!$A$9:$J$1048576,2,1),"")</f>
        <v>6</v>
      </c>
      <c r="D23" s="1">
        <f>IFERROR(VLOOKUP($B23,'V01'!$A$8:$J$29,4,1),"")</f>
        <v>-3.4730071117494075</v>
      </c>
      <c r="E23" s="1">
        <f>IFERROR(VLOOKUP($B23,'V01'!$A$8:$J$29,5,1),"")</f>
        <v>-1.0083205306399559</v>
      </c>
      <c r="F23" s="1">
        <f>IFERROR(VLOOKUP($B23,'V01'!$A$8:$J$29,6,1),"")</f>
        <v>1.4563660504694957</v>
      </c>
      <c r="G23" s="1">
        <f>IFERROR(VLOOKUP($B23,'V01'!$A$8:$J$29,7,1),"")</f>
        <v>3.9210526315789473</v>
      </c>
      <c r="H23" s="1">
        <f>IFERROR(VLOOKUP($B23,'V01'!$A$8:$J$29,8,1),"")</f>
        <v>6.3857392126883994</v>
      </c>
      <c r="I23" s="1">
        <f>IFERROR(VLOOKUP($B23,'V01'!$A$8:$J$29,9,1),"")</f>
        <v>8.8504257937978501</v>
      </c>
      <c r="J23" s="1">
        <f>IFERROR(VLOOKUP($B23,'V01'!$A$8:$J$29,10,1),"")</f>
        <v>11.315112374907303</v>
      </c>
      <c r="K23">
        <f>IFERROR(VLOOKUP($B23,'V01'!$A$9:$Q$1048576,3,1),"")</f>
        <v>0.25</v>
      </c>
      <c r="L23">
        <f>IFERROR(VLOOKUP($B23,'V01'!$A$8:$Q$29,11,1),"")</f>
        <v>-0.99807083441216138</v>
      </c>
      <c r="M23">
        <f>IFERROR(VLOOKUP($B23,'V01'!$A$8:$Q$29,12,1),"")</f>
        <v>-0.65002967908179188</v>
      </c>
      <c r="N23">
        <f>IFERROR(VLOOKUP($B23,'V01'!$A$8:$Q$29,13,1),"")</f>
        <v>-0.30198852375142227</v>
      </c>
      <c r="O23">
        <f>IFERROR(VLOOKUP($B23,'V01'!$A$8:$Q$29,14,1),"")</f>
        <v>4.6052631578947366E-2</v>
      </c>
      <c r="P23">
        <f>IFERROR(VLOOKUP($B23,'V01'!$A$8:$Q$29,15,1),"")</f>
        <v>0.39409378690931696</v>
      </c>
      <c r="Q23">
        <f>IFERROR(VLOOKUP($B23,'V01'!$A$8:$Q$29,16,1),"")</f>
        <v>0.74213494223968657</v>
      </c>
      <c r="R23">
        <f>IFERROR(VLOOKUP($B23,'V01'!$A$8:$Q$29,17,1),"")</f>
        <v>1.0901760975700561</v>
      </c>
      <c r="Z23" s="17"/>
      <c r="AY23" s="17"/>
    </row>
    <row r="24" spans="1:51" x14ac:dyDescent="0.25">
      <c r="A24" s="17"/>
      <c r="B24" s="2">
        <f t="shared" si="1"/>
        <v>45536</v>
      </c>
      <c r="C24">
        <f>IFERROR(VLOOKUP($B24,'V01'!$A$9:$J$1048576,2,1),"")</f>
        <v>9</v>
      </c>
      <c r="D24" s="1">
        <f>IFERROR(VLOOKUP($B24,'V01'!$A$8:$J$29,4,1),"")</f>
        <v>-3.4730071117494075</v>
      </c>
      <c r="E24" s="1">
        <f>IFERROR(VLOOKUP($B24,'V01'!$A$8:$J$29,5,1),"")</f>
        <v>-1.0083205306399559</v>
      </c>
      <c r="F24" s="1">
        <f>IFERROR(VLOOKUP($B24,'V01'!$A$8:$J$29,6,1),"")</f>
        <v>1.4563660504694957</v>
      </c>
      <c r="G24" s="1">
        <f>IFERROR(VLOOKUP($B24,'V01'!$A$8:$J$29,7,1),"")</f>
        <v>3.9210526315789473</v>
      </c>
      <c r="H24" s="1">
        <f>IFERROR(VLOOKUP($B24,'V01'!$A$8:$J$29,8,1),"")</f>
        <v>6.3857392126883994</v>
      </c>
      <c r="I24" s="1">
        <f>IFERROR(VLOOKUP($B24,'V01'!$A$8:$J$29,9,1),"")</f>
        <v>8.8504257937978501</v>
      </c>
      <c r="J24" s="1">
        <f>IFERROR(VLOOKUP($B24,'V01'!$A$8:$J$29,10,1),"")</f>
        <v>11.315112374907303</v>
      </c>
      <c r="K24">
        <f>IFERROR(VLOOKUP($B24,'V01'!$A$9:$Q$1048576,3,1),"")</f>
        <v>0.75</v>
      </c>
      <c r="L24">
        <f>IFERROR(VLOOKUP($B24,'V01'!$A$8:$Q$29,11,1),"")</f>
        <v>-0.99807083441216138</v>
      </c>
      <c r="M24">
        <f>IFERROR(VLOOKUP($B24,'V01'!$A$8:$Q$29,12,1),"")</f>
        <v>-0.65002967908179188</v>
      </c>
      <c r="N24">
        <f>IFERROR(VLOOKUP($B24,'V01'!$A$8:$Q$29,13,1),"")</f>
        <v>-0.30198852375142227</v>
      </c>
      <c r="O24">
        <f>IFERROR(VLOOKUP($B24,'V01'!$A$8:$Q$29,14,1),"")</f>
        <v>4.6052631578947366E-2</v>
      </c>
      <c r="P24">
        <f>IFERROR(VLOOKUP($B24,'V01'!$A$8:$Q$29,15,1),"")</f>
        <v>0.39409378690931696</v>
      </c>
      <c r="Q24">
        <f>IFERROR(VLOOKUP($B24,'V01'!$A$8:$Q$29,16,1),"")</f>
        <v>0.74213494223968657</v>
      </c>
      <c r="R24">
        <f>IFERROR(VLOOKUP($B24,'V01'!$A$8:$Q$29,17,1),"")</f>
        <v>1.0901760975700561</v>
      </c>
      <c r="Z24" s="17"/>
      <c r="AY24" s="17"/>
    </row>
    <row r="25" spans="1:51" x14ac:dyDescent="0.25">
      <c r="A25" s="17"/>
      <c r="B25" s="2">
        <f t="shared" si="1"/>
        <v>45566</v>
      </c>
      <c r="C25">
        <f>IFERROR(VLOOKUP($B25,'V01'!$A$9:$J$1048576,2,1),"")</f>
        <v>8</v>
      </c>
      <c r="D25" s="1">
        <f>IFERROR(VLOOKUP($B25,'V01'!$A$8:$J$29,4,1),"")</f>
        <v>-3.4730071117494075</v>
      </c>
      <c r="E25" s="1">
        <f>IFERROR(VLOOKUP($B25,'V01'!$A$8:$J$29,5,1),"")</f>
        <v>-1.0083205306399559</v>
      </c>
      <c r="F25" s="1">
        <f>IFERROR(VLOOKUP($B25,'V01'!$A$8:$J$29,6,1),"")</f>
        <v>1.4563660504694957</v>
      </c>
      <c r="G25" s="1">
        <f>IFERROR(VLOOKUP($B25,'V01'!$A$8:$J$29,7,1),"")</f>
        <v>3.9210526315789473</v>
      </c>
      <c r="H25" s="1">
        <f>IFERROR(VLOOKUP($B25,'V01'!$A$8:$J$29,8,1),"")</f>
        <v>6.3857392126883994</v>
      </c>
      <c r="I25" s="1">
        <f>IFERROR(VLOOKUP($B25,'V01'!$A$8:$J$29,9,1),"")</f>
        <v>8.8504257937978501</v>
      </c>
      <c r="J25" s="1">
        <f>IFERROR(VLOOKUP($B25,'V01'!$A$8:$J$29,10,1),"")</f>
        <v>11.315112374907303</v>
      </c>
      <c r="K25">
        <f>IFERROR(VLOOKUP($B25,'V01'!$A$9:$Q$1048576,3,1),"")</f>
        <v>-0.25</v>
      </c>
      <c r="L25">
        <f>IFERROR(VLOOKUP($B25,'V01'!$A$8:$Q$29,11,1),"")</f>
        <v>-0.99807083441216138</v>
      </c>
      <c r="M25">
        <f>IFERROR(VLOOKUP($B25,'V01'!$A$8:$Q$29,12,1),"")</f>
        <v>-0.65002967908179188</v>
      </c>
      <c r="N25">
        <f>IFERROR(VLOOKUP($B25,'V01'!$A$8:$Q$29,13,1),"")</f>
        <v>-0.30198852375142227</v>
      </c>
      <c r="O25">
        <f>IFERROR(VLOOKUP($B25,'V01'!$A$8:$Q$29,14,1),"")</f>
        <v>4.6052631578947366E-2</v>
      </c>
      <c r="P25">
        <f>IFERROR(VLOOKUP($B25,'V01'!$A$8:$Q$29,15,1),"")</f>
        <v>0.39409378690931696</v>
      </c>
      <c r="Q25">
        <f>IFERROR(VLOOKUP($B25,'V01'!$A$8:$Q$29,16,1),"")</f>
        <v>0.74213494223968657</v>
      </c>
      <c r="R25">
        <f>IFERROR(VLOOKUP($B25,'V01'!$A$8:$Q$29,17,1),"")</f>
        <v>1.0901760975700561</v>
      </c>
      <c r="Z25" s="17"/>
      <c r="AY25" s="17"/>
    </row>
    <row r="26" spans="1:51" x14ac:dyDescent="0.25">
      <c r="A26" s="17"/>
      <c r="B26" s="2">
        <f t="shared" ref="B26:B35" si="2">EDATE(B27,-1)</f>
        <v>45597</v>
      </c>
      <c r="C26">
        <f>IFERROR(VLOOKUP($B26,'V01'!$A$9:$J$1048576,2,1),"")</f>
        <v>7</v>
      </c>
      <c r="D26" s="1">
        <f>IFERROR(VLOOKUP($B26,'V01'!$A$8:$J$29,4,1),"")</f>
        <v>-3.4730071117494075</v>
      </c>
      <c r="E26" s="1">
        <f>IFERROR(VLOOKUP($B26,'V01'!$A$8:$J$29,5,1),"")</f>
        <v>-1.0083205306399559</v>
      </c>
      <c r="F26" s="1">
        <f>IFERROR(VLOOKUP($B26,'V01'!$A$8:$J$29,6,1),"")</f>
        <v>1.4563660504694957</v>
      </c>
      <c r="G26" s="1">
        <f>IFERROR(VLOOKUP($B26,'V01'!$A$8:$J$29,7,1),"")</f>
        <v>3.9210526315789473</v>
      </c>
      <c r="H26" s="1">
        <f>IFERROR(VLOOKUP($B26,'V01'!$A$8:$J$29,8,1),"")</f>
        <v>6.3857392126883994</v>
      </c>
      <c r="I26" s="1">
        <f>IFERROR(VLOOKUP($B26,'V01'!$A$8:$J$29,9,1),"")</f>
        <v>8.8504257937978501</v>
      </c>
      <c r="J26" s="1">
        <f>IFERROR(VLOOKUP($B26,'V01'!$A$8:$J$29,10,1),"")</f>
        <v>11.315112374907303</v>
      </c>
      <c r="K26">
        <f>IFERROR(VLOOKUP($B26,'V01'!$A$9:$Q$1048576,3,1),"")</f>
        <v>-0.25</v>
      </c>
      <c r="L26">
        <f>IFERROR(VLOOKUP($B26,'V01'!$A$8:$Q$29,11,1),"")</f>
        <v>-0.99807083441216138</v>
      </c>
      <c r="M26">
        <f>IFERROR(VLOOKUP($B26,'V01'!$A$8:$Q$29,12,1),"")</f>
        <v>-0.65002967908179188</v>
      </c>
      <c r="N26">
        <f>IFERROR(VLOOKUP($B26,'V01'!$A$8:$Q$29,13,1),"")</f>
        <v>-0.30198852375142227</v>
      </c>
      <c r="O26">
        <f>IFERROR(VLOOKUP($B26,'V01'!$A$8:$Q$29,14,1),"")</f>
        <v>4.6052631578947366E-2</v>
      </c>
      <c r="P26">
        <f>IFERROR(VLOOKUP($B26,'V01'!$A$8:$Q$29,15,1),"")</f>
        <v>0.39409378690931696</v>
      </c>
      <c r="Q26">
        <f>IFERROR(VLOOKUP($B26,'V01'!$A$8:$Q$29,16,1),"")</f>
        <v>0.74213494223968657</v>
      </c>
      <c r="R26">
        <f>IFERROR(VLOOKUP($B26,'V01'!$A$8:$Q$29,17,1),"")</f>
        <v>1.0901760975700561</v>
      </c>
      <c r="Z26" s="17"/>
      <c r="AY26" s="17"/>
    </row>
    <row r="27" spans="1:51" x14ac:dyDescent="0.25">
      <c r="A27" s="17"/>
      <c r="B27" s="2">
        <f t="shared" si="2"/>
        <v>45627</v>
      </c>
      <c r="C27">
        <f>IFERROR(VLOOKUP($B27,'V01'!$A$9:$J$1048576,2,1),"")</f>
        <v>5</v>
      </c>
      <c r="D27" s="1">
        <f>IFERROR(VLOOKUP($B27,'V01'!$A$8:$J$29,4,1),"")</f>
        <v>-3.4730071117494075</v>
      </c>
      <c r="E27" s="1">
        <f>IFERROR(VLOOKUP($B27,'V01'!$A$8:$J$29,5,1),"")</f>
        <v>-1.0083205306399559</v>
      </c>
      <c r="F27" s="1">
        <f>IFERROR(VLOOKUP($B27,'V01'!$A$8:$J$29,6,1),"")</f>
        <v>1.4563660504694957</v>
      </c>
      <c r="G27" s="1">
        <f>IFERROR(VLOOKUP($B27,'V01'!$A$8:$J$29,7,1),"")</f>
        <v>3.9210526315789473</v>
      </c>
      <c r="H27" s="1">
        <f>IFERROR(VLOOKUP($B27,'V01'!$A$8:$J$29,8,1),"")</f>
        <v>6.3857392126883994</v>
      </c>
      <c r="I27" s="1">
        <f>IFERROR(VLOOKUP($B27,'V01'!$A$8:$J$29,9,1),"")</f>
        <v>8.8504257937978501</v>
      </c>
      <c r="J27" s="1">
        <f>IFERROR(VLOOKUP($B27,'V01'!$A$8:$J$29,10,1),"")</f>
        <v>11.315112374907303</v>
      </c>
      <c r="K27">
        <f>IFERROR(VLOOKUP($B27,'V01'!$A$9:$Q$1048576,3,1),"")</f>
        <v>-0.5</v>
      </c>
      <c r="L27">
        <f>IFERROR(VLOOKUP($B27,'V01'!$A$8:$Q$29,11,1),"")</f>
        <v>-0.99807083441216138</v>
      </c>
      <c r="M27">
        <f>IFERROR(VLOOKUP($B27,'V01'!$A$8:$Q$29,12,1),"")</f>
        <v>-0.65002967908179188</v>
      </c>
      <c r="N27">
        <f>IFERROR(VLOOKUP($B27,'V01'!$A$8:$Q$29,13,1),"")</f>
        <v>-0.30198852375142227</v>
      </c>
      <c r="O27">
        <f>IFERROR(VLOOKUP($B27,'V01'!$A$8:$Q$29,14,1),"")</f>
        <v>4.6052631578947366E-2</v>
      </c>
      <c r="P27">
        <f>IFERROR(VLOOKUP($B27,'V01'!$A$8:$Q$29,15,1),"")</f>
        <v>0.39409378690931696</v>
      </c>
      <c r="Q27">
        <f>IFERROR(VLOOKUP($B27,'V01'!$A$8:$Q$29,16,1),"")</f>
        <v>0.74213494223968657</v>
      </c>
      <c r="R27">
        <f>IFERROR(VLOOKUP($B27,'V01'!$A$8:$Q$29,17,1),"")</f>
        <v>1.0901760975700561</v>
      </c>
      <c r="Z27" s="17"/>
      <c r="AY27" s="17"/>
    </row>
    <row r="28" spans="1:51" x14ac:dyDescent="0.25">
      <c r="A28" s="17"/>
      <c r="B28" s="2">
        <f t="shared" si="2"/>
        <v>45658</v>
      </c>
      <c r="C28">
        <f>IFERROR(VLOOKUP($B28,'V01'!$A$9:$J$1048576,2,1),"")</f>
        <v>5</v>
      </c>
      <c r="D28" s="1">
        <f>IFERROR(VLOOKUP($B28,'V01'!$A$8:$J$29,4,1),"")</f>
        <v>-3.4730071117494075</v>
      </c>
      <c r="E28" s="1">
        <f>IFERROR(VLOOKUP($B28,'V01'!$A$8:$J$29,5,1),"")</f>
        <v>-1.0083205306399559</v>
      </c>
      <c r="F28" s="1">
        <f>IFERROR(VLOOKUP($B28,'V01'!$A$8:$J$29,6,1),"")</f>
        <v>1.4563660504694957</v>
      </c>
      <c r="G28" s="1">
        <f>IFERROR(VLOOKUP($B28,'V01'!$A$8:$J$29,7,1),"")</f>
        <v>3.9210526315789473</v>
      </c>
      <c r="H28" s="1">
        <f>IFERROR(VLOOKUP($B28,'V01'!$A$8:$J$29,8,1),"")</f>
        <v>6.3857392126883994</v>
      </c>
      <c r="I28" s="1">
        <f>IFERROR(VLOOKUP($B28,'V01'!$A$8:$J$29,9,1),"")</f>
        <v>8.8504257937978501</v>
      </c>
      <c r="J28" s="1">
        <f>IFERROR(VLOOKUP($B28,'V01'!$A$8:$J$29,10,1),"")</f>
        <v>11.315112374907303</v>
      </c>
      <c r="K28">
        <f>IFERROR(VLOOKUP($B28,'V01'!$A$9:$Q$1048576,3,1),"")</f>
        <v>0</v>
      </c>
      <c r="L28">
        <f>IFERROR(VLOOKUP($B28,'V01'!$A$8:$Q$29,11,1),"")</f>
        <v>-0.99807083441216138</v>
      </c>
      <c r="M28">
        <f>IFERROR(VLOOKUP($B28,'V01'!$A$8:$Q$29,12,1),"")</f>
        <v>-0.65002967908179188</v>
      </c>
      <c r="N28">
        <f>IFERROR(VLOOKUP($B28,'V01'!$A$8:$Q$29,13,1),"")</f>
        <v>-0.30198852375142227</v>
      </c>
      <c r="O28">
        <f>IFERROR(VLOOKUP($B28,'V01'!$A$8:$Q$29,14,1),"")</f>
        <v>4.6052631578947366E-2</v>
      </c>
      <c r="P28">
        <f>IFERROR(VLOOKUP($B28,'V01'!$A$8:$Q$29,15,1),"")</f>
        <v>0.39409378690931696</v>
      </c>
      <c r="Q28">
        <f>IFERROR(VLOOKUP($B28,'V01'!$A$8:$Q$29,16,1),"")</f>
        <v>0.74213494223968657</v>
      </c>
      <c r="R28">
        <f>IFERROR(VLOOKUP($B28,'V01'!$A$8:$Q$29,17,1),"")</f>
        <v>1.0901760975700561</v>
      </c>
      <c r="Z28" s="17"/>
      <c r="AY28" s="17"/>
    </row>
    <row r="29" spans="1:51" x14ac:dyDescent="0.25">
      <c r="A29" s="17"/>
      <c r="B29" s="2">
        <f t="shared" si="2"/>
        <v>45689</v>
      </c>
      <c r="C29">
        <f>IFERROR(VLOOKUP($B29,'V01'!$A$9:$J$1048576,2,1),"")</f>
        <v>5</v>
      </c>
      <c r="D29" s="1">
        <f>IFERROR(VLOOKUP($B29,'V01'!$A$8:$J$29,4,1),"")</f>
        <v>-3.4730071117494075</v>
      </c>
      <c r="E29" s="1">
        <f>IFERROR(VLOOKUP($B29,'V01'!$A$8:$J$29,5,1),"")</f>
        <v>-1.0083205306399559</v>
      </c>
      <c r="F29" s="1">
        <f>IFERROR(VLOOKUP($B29,'V01'!$A$8:$J$29,6,1),"")</f>
        <v>1.4563660504694957</v>
      </c>
      <c r="G29" s="1">
        <f>IFERROR(VLOOKUP($B29,'V01'!$A$8:$J$29,7,1),"")</f>
        <v>3.9210526315789473</v>
      </c>
      <c r="H29" s="1">
        <f>IFERROR(VLOOKUP($B29,'V01'!$A$8:$J$29,8,1),"")</f>
        <v>6.3857392126883994</v>
      </c>
      <c r="I29" s="1">
        <f>IFERROR(VLOOKUP($B29,'V01'!$A$8:$J$29,9,1),"")</f>
        <v>8.8504257937978501</v>
      </c>
      <c r="J29" s="1">
        <f>IFERROR(VLOOKUP($B29,'V01'!$A$8:$J$29,10,1),"")</f>
        <v>11.315112374907303</v>
      </c>
      <c r="K29">
        <f>IFERROR(VLOOKUP($B29,'V01'!$A$9:$Q$1048576,3,1),"")</f>
        <v>0</v>
      </c>
      <c r="L29">
        <f>IFERROR(VLOOKUP($B29,'V01'!$A$8:$Q$29,11,1),"")</f>
        <v>-0.99807083441216138</v>
      </c>
      <c r="M29">
        <f>IFERROR(VLOOKUP($B29,'V01'!$A$8:$Q$29,12,1),"")</f>
        <v>-0.65002967908179188</v>
      </c>
      <c r="N29">
        <f>IFERROR(VLOOKUP($B29,'V01'!$A$8:$Q$29,13,1),"")</f>
        <v>-0.30198852375142227</v>
      </c>
      <c r="O29">
        <f>IFERROR(VLOOKUP($B29,'V01'!$A$8:$Q$29,14,1),"")</f>
        <v>4.6052631578947366E-2</v>
      </c>
      <c r="P29">
        <f>IFERROR(VLOOKUP($B29,'V01'!$A$8:$Q$29,15,1),"")</f>
        <v>0.39409378690931696</v>
      </c>
      <c r="Q29">
        <f>IFERROR(VLOOKUP($B29,'V01'!$A$8:$Q$29,16,1),"")</f>
        <v>0.74213494223968657</v>
      </c>
      <c r="R29">
        <f>IFERROR(VLOOKUP($B29,'V01'!$A$8:$Q$29,17,1),"")</f>
        <v>1.0901760975700561</v>
      </c>
      <c r="Z29" s="17"/>
      <c r="AY29" s="17"/>
    </row>
    <row r="30" spans="1:51" x14ac:dyDescent="0.25">
      <c r="A30" s="17"/>
      <c r="B30" s="2">
        <f t="shared" si="2"/>
        <v>45717</v>
      </c>
      <c r="C30">
        <f>IFERROR(VLOOKUP($B30,'V01'!$A$9:$J$1048576,2,1),"")</f>
        <v>6</v>
      </c>
      <c r="D30" s="1">
        <f>IFERROR(VLOOKUP($B30,'V01'!$A$8:$J$29,4,1),"")</f>
        <v>-3.4730071117494075</v>
      </c>
      <c r="E30" s="1">
        <f>IFERROR(VLOOKUP($B30,'V01'!$A$8:$J$29,5,1),"")</f>
        <v>-1.0083205306399559</v>
      </c>
      <c r="F30" s="1">
        <f>IFERROR(VLOOKUP($B30,'V01'!$A$8:$J$29,6,1),"")</f>
        <v>1.4563660504694957</v>
      </c>
      <c r="G30" s="1">
        <f>IFERROR(VLOOKUP($B30,'V01'!$A$8:$J$29,7,1),"")</f>
        <v>3.9210526315789473</v>
      </c>
      <c r="H30" s="1">
        <f>IFERROR(VLOOKUP($B30,'V01'!$A$8:$J$29,8,1),"")</f>
        <v>6.3857392126883994</v>
      </c>
      <c r="I30" s="1">
        <f>IFERROR(VLOOKUP($B30,'V01'!$A$8:$J$29,9,1),"")</f>
        <v>8.8504257937978501</v>
      </c>
      <c r="J30" s="1">
        <f>IFERROR(VLOOKUP($B30,'V01'!$A$8:$J$29,10,1),"")</f>
        <v>11.315112374907303</v>
      </c>
      <c r="K30">
        <f>IFERROR(VLOOKUP($B30,'V01'!$A$9:$Q$1048576,3,1),"")</f>
        <v>0.25</v>
      </c>
      <c r="L30">
        <f>IFERROR(VLOOKUP($B30,'V01'!$A$8:$Q$29,11,1),"")</f>
        <v>-0.99807083441216138</v>
      </c>
      <c r="M30">
        <f>IFERROR(VLOOKUP($B30,'V01'!$A$8:$Q$29,12,1),"")</f>
        <v>-0.65002967908179188</v>
      </c>
      <c r="N30">
        <f>IFERROR(VLOOKUP($B30,'V01'!$A$8:$Q$29,13,1),"")</f>
        <v>-0.30198852375142227</v>
      </c>
      <c r="O30">
        <f>IFERROR(VLOOKUP($B30,'V01'!$A$8:$Q$29,14,1),"")</f>
        <v>4.6052631578947366E-2</v>
      </c>
      <c r="P30">
        <f>IFERROR(VLOOKUP($B30,'V01'!$A$8:$Q$29,15,1),"")</f>
        <v>0.39409378690931696</v>
      </c>
      <c r="Q30">
        <f>IFERROR(VLOOKUP($B30,'V01'!$A$8:$Q$29,16,1),"")</f>
        <v>0.74213494223968657</v>
      </c>
      <c r="R30">
        <f>IFERROR(VLOOKUP($B30,'V01'!$A$8:$Q$29,17,1),"")</f>
        <v>1.0901760975700561</v>
      </c>
      <c r="Z30" s="17"/>
      <c r="AY30" s="17"/>
    </row>
    <row r="31" spans="1:51" x14ac:dyDescent="0.25">
      <c r="A31" s="17"/>
      <c r="B31" s="2">
        <f t="shared" si="2"/>
        <v>45748</v>
      </c>
      <c r="C31">
        <f>IFERROR(VLOOKUP($B31,'V01'!$A$9:$J$1048576,2,1),"")</f>
        <v>8</v>
      </c>
      <c r="D31" s="1">
        <f>IFERROR(VLOOKUP($B31,'V01'!$A$8:$J$29,4,1),"")</f>
        <v>-3.4730071117494075</v>
      </c>
      <c r="E31" s="1">
        <f>IFERROR(VLOOKUP($B31,'V01'!$A$8:$J$29,5,1),"")</f>
        <v>-1.0083205306399559</v>
      </c>
      <c r="F31" s="1">
        <f>IFERROR(VLOOKUP($B31,'V01'!$A$8:$J$29,6,1),"")</f>
        <v>1.4563660504694957</v>
      </c>
      <c r="G31" s="1">
        <f>IFERROR(VLOOKUP($B31,'V01'!$A$8:$J$29,7,1),"")</f>
        <v>3.9210526315789473</v>
      </c>
      <c r="H31" s="1">
        <f>IFERROR(VLOOKUP($B31,'V01'!$A$8:$J$29,8,1),"")</f>
        <v>6.3857392126883994</v>
      </c>
      <c r="I31" s="1">
        <f>IFERROR(VLOOKUP($B31,'V01'!$A$8:$J$29,9,1),"")</f>
        <v>8.8504257937978501</v>
      </c>
      <c r="J31" s="1">
        <f>IFERROR(VLOOKUP($B31,'V01'!$A$8:$J$29,10,1),"")</f>
        <v>11.315112374907303</v>
      </c>
      <c r="K31">
        <f>IFERROR(VLOOKUP($B31,'V01'!$A$9:$Q$1048576,3,1),"")</f>
        <v>0.5</v>
      </c>
      <c r="L31">
        <f>IFERROR(VLOOKUP($B31,'V01'!$A$8:$Q$29,11,1),"")</f>
        <v>-0.99807083441216138</v>
      </c>
      <c r="M31">
        <f>IFERROR(VLOOKUP($B31,'V01'!$A$8:$Q$29,12,1),"")</f>
        <v>-0.65002967908179188</v>
      </c>
      <c r="N31">
        <f>IFERROR(VLOOKUP($B31,'V01'!$A$8:$Q$29,13,1),"")</f>
        <v>-0.30198852375142227</v>
      </c>
      <c r="O31">
        <f>IFERROR(VLOOKUP($B31,'V01'!$A$8:$Q$29,14,1),"")</f>
        <v>4.6052631578947366E-2</v>
      </c>
      <c r="P31">
        <f>IFERROR(VLOOKUP($B31,'V01'!$A$8:$Q$29,15,1),"")</f>
        <v>0.39409378690931696</v>
      </c>
      <c r="Q31">
        <f>IFERROR(VLOOKUP($B31,'V01'!$A$8:$Q$29,16,1),"")</f>
        <v>0.74213494223968657</v>
      </c>
      <c r="R31">
        <f>IFERROR(VLOOKUP($B31,'V01'!$A$8:$Q$29,17,1),"")</f>
        <v>1.0901760975700561</v>
      </c>
      <c r="Z31" s="17"/>
      <c r="AY31" s="17"/>
    </row>
    <row r="32" spans="1:51" x14ac:dyDescent="0.25">
      <c r="A32" s="17"/>
      <c r="B32" s="2">
        <f t="shared" si="2"/>
        <v>45778</v>
      </c>
      <c r="C32">
        <f>IFERROR(VLOOKUP($B32,'V01'!$A$9:$J$1048576,2,1),"")</f>
        <v>5</v>
      </c>
      <c r="D32" s="1">
        <f>IFERROR(VLOOKUP($B32,'V01'!$A$8:$J$29,4,1),"")</f>
        <v>-3.4730071117494075</v>
      </c>
      <c r="E32" s="1">
        <f>IFERROR(VLOOKUP($B32,'V01'!$A$8:$J$29,5,1),"")</f>
        <v>-1.0083205306399559</v>
      </c>
      <c r="F32" s="1">
        <f>IFERROR(VLOOKUP($B32,'V01'!$A$8:$J$29,6,1),"")</f>
        <v>1.4563660504694957</v>
      </c>
      <c r="G32" s="1">
        <f>IFERROR(VLOOKUP($B32,'V01'!$A$8:$J$29,7,1),"")</f>
        <v>3.9210526315789473</v>
      </c>
      <c r="H32" s="1">
        <f>IFERROR(VLOOKUP($B32,'V01'!$A$8:$J$29,8,1),"")</f>
        <v>6.3857392126883994</v>
      </c>
      <c r="I32" s="1">
        <f>IFERROR(VLOOKUP($B32,'V01'!$A$8:$J$29,9,1),"")</f>
        <v>8.8504257937978501</v>
      </c>
      <c r="J32" s="1">
        <f>IFERROR(VLOOKUP($B32,'V01'!$A$8:$J$29,10,1),"")</f>
        <v>11.315112374907303</v>
      </c>
      <c r="K32">
        <f>IFERROR(VLOOKUP($B32,'V01'!$A$9:$Q$1048576,3,1),"")</f>
        <v>-0.75</v>
      </c>
      <c r="L32">
        <f>IFERROR(VLOOKUP($B32,'V01'!$A$8:$Q$29,11,1),"")</f>
        <v>-0.99807083441216138</v>
      </c>
      <c r="M32">
        <f>IFERROR(VLOOKUP($B32,'V01'!$A$8:$Q$29,12,1),"")</f>
        <v>-0.65002967908179188</v>
      </c>
      <c r="N32">
        <f>IFERROR(VLOOKUP($B32,'V01'!$A$8:$Q$29,13,1),"")</f>
        <v>-0.30198852375142227</v>
      </c>
      <c r="O32">
        <f>IFERROR(VLOOKUP($B32,'V01'!$A$8:$Q$29,14,1),"")</f>
        <v>4.6052631578947366E-2</v>
      </c>
      <c r="P32">
        <f>IFERROR(VLOOKUP($B32,'V01'!$A$8:$Q$29,15,1),"")</f>
        <v>0.39409378690931696</v>
      </c>
      <c r="Q32">
        <f>IFERROR(VLOOKUP($B32,'V01'!$A$8:$Q$29,16,1),"")</f>
        <v>0.74213494223968657</v>
      </c>
      <c r="R32">
        <f>IFERROR(VLOOKUP($B32,'V01'!$A$8:$Q$29,17,1),"")</f>
        <v>1.0901760975700561</v>
      </c>
      <c r="Z32" s="17"/>
      <c r="AY32" s="17"/>
    </row>
    <row r="33" spans="1:51" x14ac:dyDescent="0.25">
      <c r="A33" s="17"/>
      <c r="B33" s="2">
        <f t="shared" si="2"/>
        <v>45809</v>
      </c>
      <c r="C33">
        <f>IFERROR(VLOOKUP($B33,'V01'!$A$9:$J$1048576,2,1),"")</f>
        <v>5</v>
      </c>
      <c r="D33" s="1">
        <f>IFERROR(VLOOKUP($B33,'V01'!$A$8:$J$29,4,1),"")</f>
        <v>-3.4730071117494075</v>
      </c>
      <c r="E33" s="1">
        <f>IFERROR(VLOOKUP($B33,'V01'!$A$8:$J$29,5,1),"")</f>
        <v>-1.0083205306399559</v>
      </c>
      <c r="F33" s="1">
        <f>IFERROR(VLOOKUP($B33,'V01'!$A$8:$J$29,6,1),"")</f>
        <v>1.4563660504694957</v>
      </c>
      <c r="G33" s="1">
        <f>IFERROR(VLOOKUP($B33,'V01'!$A$8:$J$29,7,1),"")</f>
        <v>3.9210526315789473</v>
      </c>
      <c r="H33" s="1">
        <f>IFERROR(VLOOKUP($B33,'V01'!$A$8:$J$29,8,1),"")</f>
        <v>6.3857392126883994</v>
      </c>
      <c r="I33" s="1">
        <f>IFERROR(VLOOKUP($B33,'V01'!$A$8:$J$29,9,1),"")</f>
        <v>8.8504257937978501</v>
      </c>
      <c r="J33" s="1">
        <f>IFERROR(VLOOKUP($B33,'V01'!$A$8:$J$29,10,1),"")</f>
        <v>11.315112374907303</v>
      </c>
      <c r="K33">
        <f>IFERROR(VLOOKUP($B33,'V01'!$A$9:$Q$1048576,3,1),"")</f>
        <v>0</v>
      </c>
      <c r="L33">
        <f>IFERROR(VLOOKUP($B33,'V01'!$A$8:$Q$29,11,1),"")</f>
        <v>-0.99807083441216138</v>
      </c>
      <c r="M33">
        <f>IFERROR(VLOOKUP($B33,'V01'!$A$8:$Q$29,12,1),"")</f>
        <v>-0.65002967908179188</v>
      </c>
      <c r="N33">
        <f>IFERROR(VLOOKUP($B33,'V01'!$A$8:$Q$29,13,1),"")</f>
        <v>-0.30198852375142227</v>
      </c>
      <c r="O33">
        <f>IFERROR(VLOOKUP($B33,'V01'!$A$8:$Q$29,14,1),"")</f>
        <v>4.6052631578947366E-2</v>
      </c>
      <c r="P33">
        <f>IFERROR(VLOOKUP($B33,'V01'!$A$8:$Q$29,15,1),"")</f>
        <v>0.39409378690931696</v>
      </c>
      <c r="Q33">
        <f>IFERROR(VLOOKUP($B33,'V01'!$A$8:$Q$29,16,1),"")</f>
        <v>0.74213494223968657</v>
      </c>
      <c r="R33">
        <f>IFERROR(VLOOKUP($B33,'V01'!$A$8:$Q$29,17,1),"")</f>
        <v>1.0901760975700561</v>
      </c>
      <c r="Z33" s="17"/>
      <c r="AY33" s="17"/>
    </row>
    <row r="34" spans="1:51" x14ac:dyDescent="0.25">
      <c r="A34" s="17"/>
      <c r="B34" s="2">
        <f t="shared" si="2"/>
        <v>45839</v>
      </c>
      <c r="C34">
        <f>IFERROR(VLOOKUP($B34,'V01'!$A$9:$J$1048576,2,1),"")</f>
        <v>6</v>
      </c>
      <c r="D34" s="1">
        <f>IFERROR(VLOOKUP($B34,'V01'!$A$8:$J$29,4,1),"")</f>
        <v>-3.4730071117494075</v>
      </c>
      <c r="E34" s="1">
        <f>IFERROR(VLOOKUP($B34,'V01'!$A$8:$J$29,5,1),"")</f>
        <v>-1.0083205306399559</v>
      </c>
      <c r="F34" s="1">
        <f>IFERROR(VLOOKUP($B34,'V01'!$A$8:$J$29,6,1),"")</f>
        <v>1.4563660504694957</v>
      </c>
      <c r="G34" s="1">
        <f>IFERROR(VLOOKUP($B34,'V01'!$A$8:$J$29,7,1),"")</f>
        <v>3.9210526315789473</v>
      </c>
      <c r="H34" s="1">
        <f>IFERROR(VLOOKUP($B34,'V01'!$A$8:$J$29,8,1),"")</f>
        <v>6.3857392126883994</v>
      </c>
      <c r="I34" s="1">
        <f>IFERROR(VLOOKUP($B34,'V01'!$A$8:$J$29,9,1),"")</f>
        <v>8.8504257937978501</v>
      </c>
      <c r="J34" s="1">
        <f>IFERROR(VLOOKUP($B34,'V01'!$A$8:$J$29,10,1),"")</f>
        <v>11.315112374907303</v>
      </c>
      <c r="K34">
        <f>IFERROR(VLOOKUP($B34,'V01'!$A$9:$Q$1048576,3,1),"")</f>
        <v>0.25</v>
      </c>
      <c r="L34">
        <f>IFERROR(VLOOKUP($B34,'V01'!$A$8:$Q$29,11,1),"")</f>
        <v>-0.99807083441216138</v>
      </c>
      <c r="M34">
        <f>IFERROR(VLOOKUP($B34,'V01'!$A$8:$Q$29,12,1),"")</f>
        <v>-0.65002967908179188</v>
      </c>
      <c r="N34">
        <f>IFERROR(VLOOKUP($B34,'V01'!$A$8:$Q$29,13,1),"")</f>
        <v>-0.30198852375142227</v>
      </c>
      <c r="O34">
        <f>IFERROR(VLOOKUP($B34,'V01'!$A$8:$Q$29,14,1),"")</f>
        <v>4.6052631578947366E-2</v>
      </c>
      <c r="P34">
        <f>IFERROR(VLOOKUP($B34,'V01'!$A$8:$Q$29,15,1),"")</f>
        <v>0.39409378690931696</v>
      </c>
      <c r="Q34">
        <f>IFERROR(VLOOKUP($B34,'V01'!$A$8:$Q$29,16,1),"")</f>
        <v>0.74213494223968657</v>
      </c>
      <c r="R34">
        <f>IFERROR(VLOOKUP($B34,'V01'!$A$8:$Q$29,17,1),"")</f>
        <v>1.0901760975700561</v>
      </c>
      <c r="Z34" s="17"/>
      <c r="AY34" s="17"/>
    </row>
    <row r="35" spans="1:51" x14ac:dyDescent="0.25">
      <c r="A35" s="17"/>
      <c r="B35" s="2">
        <f t="shared" si="2"/>
        <v>45870</v>
      </c>
      <c r="C35">
        <f>IFERROR(VLOOKUP($B35,'V01'!$A$9:$J$1048576,2,1),"")</f>
        <v>5</v>
      </c>
      <c r="D35" s="1">
        <f>IFERROR(VLOOKUP($B35,'V01'!$A$8:$J$29,4,1),"")</f>
        <v>-3.4730071117494075</v>
      </c>
      <c r="E35" s="1">
        <f>IFERROR(VLOOKUP($B35,'V01'!$A$8:$J$29,5,1),"")</f>
        <v>-1.0083205306399559</v>
      </c>
      <c r="F35" s="1">
        <f>IFERROR(VLOOKUP($B35,'V01'!$A$8:$J$29,6,1),"")</f>
        <v>1.4563660504694957</v>
      </c>
      <c r="G35" s="1">
        <f>IFERROR(VLOOKUP($B35,'V01'!$A$8:$J$29,7,1),"")</f>
        <v>3.9210526315789473</v>
      </c>
      <c r="H35" s="1">
        <f>IFERROR(VLOOKUP($B35,'V01'!$A$8:$J$29,8,1),"")</f>
        <v>6.3857392126883994</v>
      </c>
      <c r="I35" s="1">
        <f>IFERROR(VLOOKUP($B35,'V01'!$A$8:$J$29,9,1),"")</f>
        <v>8.8504257937978501</v>
      </c>
      <c r="J35" s="1">
        <f>IFERROR(VLOOKUP($B35,'V01'!$A$8:$J$29,10,1),"")</f>
        <v>11.315112374907303</v>
      </c>
      <c r="K35">
        <f>IFERROR(VLOOKUP($B35,'V01'!$A$9:$Q$1048576,3,1),"")</f>
        <v>-0.25</v>
      </c>
      <c r="L35">
        <f>IFERROR(VLOOKUP($B35,'V01'!$A$8:$Q$29,11,1),"")</f>
        <v>-0.99807083441216138</v>
      </c>
      <c r="M35">
        <f>IFERROR(VLOOKUP($B35,'V01'!$A$8:$Q$29,12,1),"")</f>
        <v>-0.65002967908179188</v>
      </c>
      <c r="N35">
        <f>IFERROR(VLOOKUP($B35,'V01'!$A$8:$Q$29,13,1),"")</f>
        <v>-0.30198852375142227</v>
      </c>
      <c r="O35">
        <f>IFERROR(VLOOKUP($B35,'V01'!$A$8:$Q$29,14,1),"")</f>
        <v>4.6052631578947366E-2</v>
      </c>
      <c r="P35">
        <f>IFERROR(VLOOKUP($B35,'V01'!$A$8:$Q$29,15,1),"")</f>
        <v>0.39409378690931696</v>
      </c>
      <c r="Q35">
        <f>IFERROR(VLOOKUP($B35,'V01'!$A$8:$Q$29,16,1),"")</f>
        <v>0.74213494223968657</v>
      </c>
      <c r="R35">
        <f>IFERROR(VLOOKUP($B35,'V01'!$A$8:$Q$29,17,1),"")</f>
        <v>1.0901760975700561</v>
      </c>
      <c r="Z35" s="17"/>
      <c r="AY35" s="17"/>
    </row>
    <row r="36" spans="1:51" x14ac:dyDescent="0.25">
      <c r="A36" s="17"/>
      <c r="B36" s="2">
        <f>EDATE(B37,-1)</f>
        <v>45901</v>
      </c>
      <c r="C36">
        <f>IFERROR(VLOOKUP($B36,'V01'!$A$9:$J$1048576,2,1),"")</f>
        <v>8</v>
      </c>
      <c r="D36" s="1">
        <f>IFERROR(VLOOKUP($B36,'V01'!$A$8:$J$29,4,1),"")</f>
        <v>-3.4730071117494075</v>
      </c>
      <c r="E36" s="1">
        <f>IFERROR(VLOOKUP($B36,'V01'!$A$8:$J$29,5,1),"")</f>
        <v>-1.0083205306399559</v>
      </c>
      <c r="F36" s="1">
        <f>IFERROR(VLOOKUP($B36,'V01'!$A$8:$J$29,6,1),"")</f>
        <v>1.4563660504694957</v>
      </c>
      <c r="G36" s="1">
        <f>IFERROR(VLOOKUP($B36,'V01'!$A$8:$J$29,7,1),"")</f>
        <v>3.9210526315789473</v>
      </c>
      <c r="H36" s="1">
        <f>IFERROR(VLOOKUP($B36,'V01'!$A$8:$J$29,8,1),"")</f>
        <v>6.3857392126883994</v>
      </c>
      <c r="I36" s="1">
        <f>IFERROR(VLOOKUP($B36,'V01'!$A$8:$J$29,9,1),"")</f>
        <v>8.8504257937978501</v>
      </c>
      <c r="J36" s="1">
        <f>IFERROR(VLOOKUP($B36,'V01'!$A$8:$J$29,10,1),"")</f>
        <v>11.315112374907303</v>
      </c>
      <c r="K36">
        <f>IFERROR(VLOOKUP($B36,'V01'!$A$9:$Q$1048576,3,1),"")</f>
        <v>0.75</v>
      </c>
      <c r="L36">
        <f>IFERROR(VLOOKUP($B36,'V01'!$A$8:$Q$29,11,1),"")</f>
        <v>-0.99807083441216138</v>
      </c>
      <c r="M36">
        <f>IFERROR(VLOOKUP($B36,'V01'!$A$8:$Q$29,12,1),"")</f>
        <v>-0.65002967908179188</v>
      </c>
      <c r="N36">
        <f>IFERROR(VLOOKUP($B36,'V01'!$A$8:$Q$29,13,1),"")</f>
        <v>-0.30198852375142227</v>
      </c>
      <c r="O36">
        <f>IFERROR(VLOOKUP($B36,'V01'!$A$8:$Q$29,14,1),"")</f>
        <v>4.6052631578947366E-2</v>
      </c>
      <c r="P36">
        <f>IFERROR(VLOOKUP($B36,'V01'!$A$8:$Q$29,15,1),"")</f>
        <v>0.39409378690931696</v>
      </c>
      <c r="Q36">
        <f>IFERROR(VLOOKUP($B36,'V01'!$A$8:$Q$29,16,1),"")</f>
        <v>0.74213494223968657</v>
      </c>
      <c r="R36">
        <f>IFERROR(VLOOKUP($B36,'V01'!$A$8:$Q$29,17,1),"")</f>
        <v>1.0901760975700561</v>
      </c>
      <c r="Z36" s="17"/>
      <c r="AY36" s="17"/>
    </row>
    <row r="37" spans="1:51" x14ac:dyDescent="0.25">
      <c r="A37" s="17"/>
      <c r="B37" s="2">
        <f>$E$2</f>
        <v>45931</v>
      </c>
      <c r="C37">
        <f>IFERROR(VLOOKUP($B37,'V01'!$A$9:$J$1048576,2,1),"")</f>
        <v>7</v>
      </c>
      <c r="D37" s="1">
        <f>IFERROR(VLOOKUP($B37,'V01'!$A$8:$J$29,4,1),"")</f>
        <v>-3.4730071117494075</v>
      </c>
      <c r="E37" s="1">
        <f>IFERROR(VLOOKUP($B37,'V01'!$A$8:$J$29,5,1),"")</f>
        <v>-1.0083205306399559</v>
      </c>
      <c r="F37" s="1">
        <f>IFERROR(VLOOKUP($B37,'V01'!$A$8:$J$29,6,1),"")</f>
        <v>1.4563660504694957</v>
      </c>
      <c r="G37" s="1">
        <f>IFERROR(VLOOKUP($B37,'V01'!$A$8:$J$29,7,1),"")</f>
        <v>3.9210526315789473</v>
      </c>
      <c r="H37" s="1">
        <f>IFERROR(VLOOKUP($B37,'V01'!$A$8:$J$29,8,1),"")</f>
        <v>6.3857392126883994</v>
      </c>
      <c r="I37" s="1">
        <f>IFERROR(VLOOKUP($B37,'V01'!$A$8:$J$29,9,1),"")</f>
        <v>8.8504257937978501</v>
      </c>
      <c r="J37" s="1">
        <f>IFERROR(VLOOKUP($B37,'V01'!$A$8:$J$29,10,1),"")</f>
        <v>11.315112374907303</v>
      </c>
      <c r="K37">
        <f>IFERROR(VLOOKUP($B37,'V01'!$A$9:$Q$1048576,3,1),"")</f>
        <v>-0.25</v>
      </c>
      <c r="L37">
        <f>IFERROR(VLOOKUP($B37,'V01'!$A$8:$Q$29,11,1),"")</f>
        <v>-0.99807083441216138</v>
      </c>
      <c r="M37">
        <f>IFERROR(VLOOKUP($B37,'V01'!$A$8:$Q$29,12,1),"")</f>
        <v>-0.65002967908179188</v>
      </c>
      <c r="N37">
        <f>IFERROR(VLOOKUP($B37,'V01'!$A$8:$Q$29,13,1),"")</f>
        <v>-0.30198852375142227</v>
      </c>
      <c r="O37">
        <f>IFERROR(VLOOKUP($B37,'V01'!$A$8:$Q$29,14,1),"")</f>
        <v>4.6052631578947366E-2</v>
      </c>
      <c r="P37">
        <f>IFERROR(VLOOKUP($B37,'V01'!$A$8:$Q$29,15,1),"")</f>
        <v>0.39409378690931696</v>
      </c>
      <c r="Q37">
        <f>IFERROR(VLOOKUP($B37,'V01'!$A$8:$Q$29,16,1),"")</f>
        <v>0.74213494223968657</v>
      </c>
      <c r="R37">
        <f>IFERROR(VLOOKUP($B37,'V01'!$A$8:$Q$29,17,1),"")</f>
        <v>1.0901760975700561</v>
      </c>
      <c r="Z37" s="17"/>
      <c r="AY37" s="17"/>
    </row>
    <row r="38" spans="1:5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</row>
    <row r="39" spans="1:51" ht="50.1" customHeight="1" x14ac:dyDescent="0.25">
      <c r="A39" s="17"/>
      <c r="B39" s="39" t="s">
        <v>64</v>
      </c>
      <c r="C39" s="39"/>
      <c r="D39" s="39"/>
      <c r="E39" s="40">
        <v>45961</v>
      </c>
      <c r="F39" s="40"/>
      <c r="G39" s="40"/>
      <c r="H39" s="40"/>
      <c r="I39" s="40"/>
      <c r="J39" s="40"/>
      <c r="K39" s="40"/>
      <c r="L39" s="40"/>
      <c r="M39" s="40"/>
      <c r="N39" s="30" t="s">
        <v>71</v>
      </c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2"/>
      <c r="AY39" s="17"/>
    </row>
    <row r="40" spans="1:51" ht="50.1" customHeight="1" x14ac:dyDescent="0.25">
      <c r="A40" s="17"/>
      <c r="B40" s="39" t="s">
        <v>37</v>
      </c>
      <c r="C40" s="39"/>
      <c r="D40" s="39"/>
      <c r="E40" s="41">
        <f>'V02'!B1</f>
        <v>57.631578947368418</v>
      </c>
      <c r="F40" s="41"/>
      <c r="G40" s="41"/>
      <c r="H40" s="39" t="s">
        <v>25</v>
      </c>
      <c r="I40" s="39"/>
      <c r="J40" s="39"/>
      <c r="K40" s="42"/>
      <c r="L40" s="42"/>
      <c r="M40" s="42"/>
      <c r="N40" s="33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5"/>
      <c r="AY40" s="17"/>
    </row>
    <row r="41" spans="1:51" ht="50.1" customHeight="1" x14ac:dyDescent="0.25">
      <c r="A41" s="17"/>
      <c r="B41" s="39" t="s">
        <v>66</v>
      </c>
      <c r="C41" s="39"/>
      <c r="D41" s="39"/>
      <c r="E41" s="41">
        <f>'V02'!B2*3</f>
        <v>55.870404810710468</v>
      </c>
      <c r="F41" s="41"/>
      <c r="G41" s="41"/>
      <c r="H41" s="39" t="s">
        <v>26</v>
      </c>
      <c r="I41" s="39"/>
      <c r="J41" s="39"/>
      <c r="K41" s="42"/>
      <c r="L41" s="42"/>
      <c r="M41" s="42"/>
      <c r="N41" s="36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8"/>
      <c r="AY41" s="17"/>
    </row>
    <row r="42" spans="1:5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</row>
    <row r="43" spans="1:51" x14ac:dyDescent="0.25">
      <c r="A43" s="17"/>
      <c r="B43" t="s">
        <v>67</v>
      </c>
      <c r="K43" t="s">
        <v>68</v>
      </c>
      <c r="Z43" s="17"/>
      <c r="AY43" s="17"/>
    </row>
    <row r="44" spans="1:51" x14ac:dyDescent="0.25">
      <c r="A44" s="17"/>
      <c r="B44" s="6" t="s">
        <v>69</v>
      </c>
      <c r="C44" s="6" t="s">
        <v>70</v>
      </c>
      <c r="D44" s="6" t="s">
        <v>34</v>
      </c>
      <c r="E44" s="6" t="s">
        <v>35</v>
      </c>
      <c r="F44" s="6" t="s">
        <v>36</v>
      </c>
      <c r="G44" s="6" t="s">
        <v>37</v>
      </c>
      <c r="H44" s="6" t="s">
        <v>38</v>
      </c>
      <c r="I44" s="6" t="s">
        <v>39</v>
      </c>
      <c r="J44" s="6" t="s">
        <v>40</v>
      </c>
      <c r="K44" s="6" t="s">
        <v>70</v>
      </c>
      <c r="L44" t="s">
        <v>34</v>
      </c>
      <c r="M44" t="s">
        <v>35</v>
      </c>
      <c r="N44" t="s">
        <v>36</v>
      </c>
      <c r="O44" t="s">
        <v>37</v>
      </c>
      <c r="P44" t="s">
        <v>38</v>
      </c>
      <c r="Q44" t="s">
        <v>39</v>
      </c>
      <c r="R44" t="s">
        <v>40</v>
      </c>
      <c r="Z44" s="17"/>
      <c r="AY44" s="17"/>
    </row>
    <row r="45" spans="1:51" x14ac:dyDescent="0.25">
      <c r="A45" s="17"/>
      <c r="B45" s="2">
        <f t="shared" ref="B45:B72" si="3">EDATE(B46,-1)</f>
        <v>45074</v>
      </c>
      <c r="C45">
        <f>IFERROR(VLOOKUP($B45,'V01'!$A$9:$J$1048576,2,1),"")</f>
        <v>2</v>
      </c>
      <c r="D45" s="1">
        <f>IFERROR(VLOOKUP($B45,'V01'!$A$8:$J$29,4,1),"")</f>
        <v>-3.4730071117494075</v>
      </c>
      <c r="E45" s="1">
        <f>IFERROR(VLOOKUP($B45,'V01'!$A$8:$J$29,5,1),"")</f>
        <v>-1.0083205306399559</v>
      </c>
      <c r="F45" s="1">
        <f>IFERROR(VLOOKUP($B45,'V01'!$A$8:$J$29,6,1),"")</f>
        <v>1.4563660504694957</v>
      </c>
      <c r="G45" s="1">
        <f>IFERROR(VLOOKUP($B45,'V01'!$A$8:$J$29,7,1),"")</f>
        <v>3.9210526315789473</v>
      </c>
      <c r="H45" s="1">
        <f>IFERROR(VLOOKUP($B45,'V01'!$A$8:$J$29,8,1),"")</f>
        <v>6.3857392126883994</v>
      </c>
      <c r="I45" s="1">
        <f>IFERROR(VLOOKUP($B45,'V01'!$A$8:$J$29,9,1),"")</f>
        <v>8.8504257937978501</v>
      </c>
      <c r="J45" s="1">
        <f>IFERROR(VLOOKUP($B45,'V01'!$A$8:$J$29,10,1),"")</f>
        <v>11.315112374907303</v>
      </c>
      <c r="K45">
        <f>IFERROR(VLOOKUP($B45,'V01'!$A$9:$Q$1048576,3,1),"")</f>
        <v>0</v>
      </c>
      <c r="L45">
        <f>IFERROR(VLOOKUP($B45,'V01'!$A$8:$Q$29,11,1),"")</f>
        <v>-0.99807083441216138</v>
      </c>
      <c r="M45">
        <f>IFERROR(VLOOKUP($B45,'V01'!$A$8:$Q$29,12,1),"")</f>
        <v>-0.65002967908179188</v>
      </c>
      <c r="N45">
        <f>IFERROR(VLOOKUP($B45,'V01'!$A$8:$Q$29,13,1),"")</f>
        <v>-0.30198852375142227</v>
      </c>
      <c r="O45">
        <f>IFERROR(VLOOKUP($B45,'V01'!$A$8:$Q$29,14,1),"")</f>
        <v>4.6052631578947366E-2</v>
      </c>
      <c r="P45">
        <f>IFERROR(VLOOKUP($B45,'V01'!$A$8:$Q$29,15,1),"")</f>
        <v>0.39409378690931696</v>
      </c>
      <c r="Q45">
        <f>IFERROR(VLOOKUP($B45,'V01'!$A$8:$Q$29,16,1),"")</f>
        <v>0.74213494223968657</v>
      </c>
      <c r="R45">
        <f>IFERROR(VLOOKUP($B45,'V01'!$A$8:$Q$29,17,1),"")</f>
        <v>1.0901760975700561</v>
      </c>
      <c r="Z45" s="17"/>
      <c r="AY45" s="17"/>
    </row>
    <row r="46" spans="1:51" x14ac:dyDescent="0.25">
      <c r="A46" s="17"/>
      <c r="B46" s="2">
        <f t="shared" si="3"/>
        <v>45105</v>
      </c>
      <c r="C46">
        <f>IFERROR(VLOOKUP($B46,'V01'!$A$9:$J$1048576,2,1),"")</f>
        <v>1</v>
      </c>
      <c r="D46" s="1">
        <f>IFERROR(VLOOKUP($B46,'V01'!$A$8:$J$29,4,1),"")</f>
        <v>-3.4730071117494075</v>
      </c>
      <c r="E46" s="1">
        <f>IFERROR(VLOOKUP($B46,'V01'!$A$8:$J$29,5,1),"")</f>
        <v>-1.0083205306399559</v>
      </c>
      <c r="F46" s="1">
        <f>IFERROR(VLOOKUP($B46,'V01'!$A$8:$J$29,6,1),"")</f>
        <v>1.4563660504694957</v>
      </c>
      <c r="G46" s="1">
        <f>IFERROR(VLOOKUP($B46,'V01'!$A$8:$J$29,7,1),"")</f>
        <v>3.9210526315789473</v>
      </c>
      <c r="H46" s="1">
        <f>IFERROR(VLOOKUP($B46,'V01'!$A$8:$J$29,8,1),"")</f>
        <v>6.3857392126883994</v>
      </c>
      <c r="I46" s="1">
        <f>IFERROR(VLOOKUP($B46,'V01'!$A$8:$J$29,9,1),"")</f>
        <v>8.8504257937978501</v>
      </c>
      <c r="J46" s="1">
        <f>IFERROR(VLOOKUP($B46,'V01'!$A$8:$J$29,10,1),"")</f>
        <v>11.315112374907303</v>
      </c>
      <c r="K46">
        <f>IFERROR(VLOOKUP($B46,'V01'!$A$9:$Q$1048576,3,1),"")</f>
        <v>-0.25</v>
      </c>
      <c r="L46">
        <f>IFERROR(VLOOKUP($B46,'V01'!$A$8:$Q$29,11,1),"")</f>
        <v>-0.99807083441216138</v>
      </c>
      <c r="M46">
        <f>IFERROR(VLOOKUP($B46,'V01'!$A$8:$Q$29,12,1),"")</f>
        <v>-0.65002967908179188</v>
      </c>
      <c r="N46">
        <f>IFERROR(VLOOKUP($B46,'V01'!$A$8:$Q$29,13,1),"")</f>
        <v>-0.30198852375142227</v>
      </c>
      <c r="O46">
        <f>IFERROR(VLOOKUP($B46,'V01'!$A$8:$Q$29,14,1),"")</f>
        <v>4.6052631578947366E-2</v>
      </c>
      <c r="P46">
        <f>IFERROR(VLOOKUP($B46,'V01'!$A$8:$Q$29,15,1),"")</f>
        <v>0.39409378690931696</v>
      </c>
      <c r="Q46">
        <f>IFERROR(VLOOKUP($B46,'V01'!$A$8:$Q$29,16,1),"")</f>
        <v>0.74213494223968657</v>
      </c>
      <c r="R46">
        <f>IFERROR(VLOOKUP($B46,'V01'!$A$8:$Q$29,17,1),"")</f>
        <v>1.0901760975700561</v>
      </c>
      <c r="Z46" s="17"/>
      <c r="AY46" s="17"/>
    </row>
    <row r="47" spans="1:51" x14ac:dyDescent="0.25">
      <c r="A47" s="17"/>
      <c r="B47" s="2">
        <f t="shared" si="3"/>
        <v>45135</v>
      </c>
      <c r="C47">
        <f>IFERROR(VLOOKUP($B47,'V02'!$A$9:$J$1048576,2,1),"")</f>
        <v>52</v>
      </c>
      <c r="D47" s="1">
        <f>IFERROR(VLOOKUP($B47,'V02'!$A$8:$J$29,4,1),"")</f>
        <v>1.7611741366579494</v>
      </c>
      <c r="E47" s="1">
        <f>IFERROR(VLOOKUP($B47,'V02'!$A$8:$J$29,5,1),"")</f>
        <v>20.38464240689477</v>
      </c>
      <c r="F47" s="1">
        <f>IFERROR(VLOOKUP($B47,'V02'!$A$8:$J$29,6,1),"")</f>
        <v>39.008110677131597</v>
      </c>
      <c r="G47" s="1">
        <f>IFERROR(VLOOKUP($B47,'V02'!$A$8:$J$29,7,1),"")</f>
        <v>57.631578947368418</v>
      </c>
      <c r="H47" s="1">
        <f>IFERROR(VLOOKUP($B47,'V02'!$A$8:$J$29,8,1),"")</f>
        <v>76.255047217605238</v>
      </c>
      <c r="I47" s="1">
        <f>IFERROR(VLOOKUP($B47,'V02'!$A$8:$J$29,9,1),"")</f>
        <v>94.878515487842066</v>
      </c>
      <c r="J47" s="1">
        <f>IFERROR(VLOOKUP($B47,'V02'!$A$8:$J$29,10,1),"")</f>
        <v>113.50198375807889</v>
      </c>
      <c r="K47">
        <f>IFERROR(VLOOKUP($B47,'V02'!$A$9:$Q$1048576,3,1),"")</f>
        <v>1.25</v>
      </c>
      <c r="L47">
        <f>IFERROR(VLOOKUP($B47,'V02'!$A$8:$Q$29,11,1),"")</f>
        <v>-6.973007111749407</v>
      </c>
      <c r="M47">
        <f>IFERROR(VLOOKUP($B47,'V02'!$A$8:$Q$29,12,1),"")</f>
        <v>-4.5083205306399545</v>
      </c>
      <c r="N47">
        <f>IFERROR(VLOOKUP($B47,'V02'!$A$8:$Q$29,13,1),"")</f>
        <v>-2.0436339495305038</v>
      </c>
      <c r="O47">
        <f>IFERROR(VLOOKUP($B47,'V02'!$A$8:$Q$29,14,1),"")</f>
        <v>0.42105263157894735</v>
      </c>
      <c r="P47">
        <f>IFERROR(VLOOKUP($B47,'V02'!$A$8:$Q$29,15,1),"")</f>
        <v>2.8857392126883985</v>
      </c>
      <c r="Q47">
        <f>IFERROR(VLOOKUP($B47,'V02'!$A$8:$Q$29,16,1),"")</f>
        <v>5.3504257937978501</v>
      </c>
      <c r="R47">
        <f>IFERROR(VLOOKUP($B47,'V02'!$A$8:$Q$29,17,1),"")</f>
        <v>7.8151123749073008</v>
      </c>
      <c r="Z47" s="17"/>
      <c r="AY47" s="17"/>
    </row>
    <row r="48" spans="1:51" x14ac:dyDescent="0.25">
      <c r="A48" s="17"/>
      <c r="B48" s="2">
        <f t="shared" si="3"/>
        <v>45166</v>
      </c>
      <c r="C48">
        <f>IFERROR(VLOOKUP($B48,'V02'!$A$9:$J$1048576,2,1),"")</f>
        <v>54</v>
      </c>
      <c r="D48" s="1">
        <f>IFERROR(VLOOKUP($B48,'V02'!$A$8:$J$29,4,1),"")</f>
        <v>1.7611741366579494</v>
      </c>
      <c r="E48" s="1">
        <f>IFERROR(VLOOKUP($B48,'V02'!$A$8:$J$29,5,1),"")</f>
        <v>20.38464240689477</v>
      </c>
      <c r="F48" s="1">
        <f>IFERROR(VLOOKUP($B48,'V02'!$A$8:$J$29,6,1),"")</f>
        <v>39.008110677131597</v>
      </c>
      <c r="G48" s="1">
        <f>IFERROR(VLOOKUP($B48,'V02'!$A$8:$J$29,7,1),"")</f>
        <v>57.631578947368418</v>
      </c>
      <c r="H48" s="1">
        <f>IFERROR(VLOOKUP($B48,'V02'!$A$8:$J$29,8,1),"")</f>
        <v>76.255047217605238</v>
      </c>
      <c r="I48" s="1">
        <f>IFERROR(VLOOKUP($B48,'V02'!$A$8:$J$29,9,1),"")</f>
        <v>94.878515487842066</v>
      </c>
      <c r="J48" s="1">
        <f>IFERROR(VLOOKUP($B48,'V02'!$A$8:$J$29,10,1),"")</f>
        <v>113.50198375807889</v>
      </c>
      <c r="K48">
        <f>IFERROR(VLOOKUP($B48,'V02'!$A$9:$Q$1048576,3,1),"")</f>
        <v>0.5</v>
      </c>
      <c r="L48">
        <f>IFERROR(VLOOKUP($B48,'V02'!$A$8:$Q$29,11,1),"")</f>
        <v>-6.973007111749407</v>
      </c>
      <c r="M48">
        <f>IFERROR(VLOOKUP($B48,'V02'!$A$8:$Q$29,12,1),"")</f>
        <v>-4.5083205306399545</v>
      </c>
      <c r="N48">
        <f>IFERROR(VLOOKUP($B48,'V02'!$A$8:$Q$29,13,1),"")</f>
        <v>-2.0436339495305038</v>
      </c>
      <c r="O48">
        <f>IFERROR(VLOOKUP($B48,'V02'!$A$8:$Q$29,14,1),"")</f>
        <v>0.42105263157894735</v>
      </c>
      <c r="P48">
        <f>IFERROR(VLOOKUP($B48,'V02'!$A$8:$Q$29,15,1),"")</f>
        <v>2.8857392126883985</v>
      </c>
      <c r="Q48">
        <f>IFERROR(VLOOKUP($B48,'V02'!$A$8:$Q$29,16,1),"")</f>
        <v>5.3504257937978501</v>
      </c>
      <c r="R48">
        <f>IFERROR(VLOOKUP($B48,'V02'!$A$8:$Q$29,17,1),"")</f>
        <v>7.8151123749073008</v>
      </c>
      <c r="Z48" s="17"/>
      <c r="AY48" s="17"/>
    </row>
    <row r="49" spans="1:51" x14ac:dyDescent="0.25">
      <c r="A49" s="17"/>
      <c r="B49" s="2">
        <f t="shared" si="3"/>
        <v>45197</v>
      </c>
      <c r="C49">
        <f>IFERROR(VLOOKUP($B49,'V02'!$A$9:$J$1048576,2,1),"")</f>
        <v>52</v>
      </c>
      <c r="D49" s="1">
        <f>IFERROR(VLOOKUP($B49,'V02'!$A$8:$J$29,4,1),"")</f>
        <v>1.7611741366579494</v>
      </c>
      <c r="E49" s="1">
        <f>IFERROR(VLOOKUP($B49,'V02'!$A$8:$J$29,5,1),"")</f>
        <v>20.38464240689477</v>
      </c>
      <c r="F49" s="1">
        <f>IFERROR(VLOOKUP($B49,'V02'!$A$8:$J$29,6,1),"")</f>
        <v>39.008110677131597</v>
      </c>
      <c r="G49" s="1">
        <f>IFERROR(VLOOKUP($B49,'V02'!$A$8:$J$29,7,1),"")</f>
        <v>57.631578947368418</v>
      </c>
      <c r="H49" s="1">
        <f>IFERROR(VLOOKUP($B49,'V02'!$A$8:$J$29,8,1),"")</f>
        <v>76.255047217605238</v>
      </c>
      <c r="I49" s="1">
        <f>IFERROR(VLOOKUP($B49,'V02'!$A$8:$J$29,9,1),"")</f>
        <v>94.878515487842066</v>
      </c>
      <c r="J49" s="1">
        <f>IFERROR(VLOOKUP($B49,'V02'!$A$8:$J$29,10,1),"")</f>
        <v>113.50198375807889</v>
      </c>
      <c r="K49">
        <f>IFERROR(VLOOKUP($B49,'V02'!$A$9:$Q$1048576,3,1),"")</f>
        <v>-0.5</v>
      </c>
      <c r="L49">
        <f>IFERROR(VLOOKUP($B49,'V02'!$A$8:$Q$29,11,1),"")</f>
        <v>-6.973007111749407</v>
      </c>
      <c r="M49">
        <f>IFERROR(VLOOKUP($B49,'V02'!$A$8:$Q$29,12,1),"")</f>
        <v>-4.5083205306399545</v>
      </c>
      <c r="N49">
        <f>IFERROR(VLOOKUP($B49,'V02'!$A$8:$Q$29,13,1),"")</f>
        <v>-2.0436339495305038</v>
      </c>
      <c r="O49">
        <f>IFERROR(VLOOKUP($B49,'V02'!$A$8:$Q$29,14,1),"")</f>
        <v>0.42105263157894735</v>
      </c>
      <c r="P49">
        <f>IFERROR(VLOOKUP($B49,'V02'!$A$8:$Q$29,15,1),"")</f>
        <v>2.8857392126883985</v>
      </c>
      <c r="Q49">
        <f>IFERROR(VLOOKUP($B49,'V02'!$A$8:$Q$29,16,1),"")</f>
        <v>5.3504257937978501</v>
      </c>
      <c r="R49">
        <f>IFERROR(VLOOKUP($B49,'V02'!$A$8:$Q$29,17,1),"")</f>
        <v>7.8151123749073008</v>
      </c>
      <c r="Z49" s="17"/>
      <c r="AY49" s="17"/>
    </row>
    <row r="50" spans="1:51" x14ac:dyDescent="0.25">
      <c r="A50" s="17"/>
      <c r="B50" s="2">
        <f t="shared" si="3"/>
        <v>45227</v>
      </c>
      <c r="C50">
        <f>IFERROR(VLOOKUP($B50,'V02'!$A$9:$J$1048576,2,1),"")</f>
        <v>61</v>
      </c>
      <c r="D50" s="1">
        <f>IFERROR(VLOOKUP($B50,'V02'!$A$8:$J$29,4,1),"")</f>
        <v>1.7611741366579494</v>
      </c>
      <c r="E50" s="1">
        <f>IFERROR(VLOOKUP($B50,'V02'!$A$8:$J$29,5,1),"")</f>
        <v>20.38464240689477</v>
      </c>
      <c r="F50" s="1">
        <f>IFERROR(VLOOKUP($B50,'V02'!$A$8:$J$29,6,1),"")</f>
        <v>39.008110677131597</v>
      </c>
      <c r="G50" s="1">
        <f>IFERROR(VLOOKUP($B50,'V02'!$A$8:$J$29,7,1),"")</f>
        <v>57.631578947368418</v>
      </c>
      <c r="H50" s="1">
        <f>IFERROR(VLOOKUP($B50,'V02'!$A$8:$J$29,8,1),"")</f>
        <v>76.255047217605238</v>
      </c>
      <c r="I50" s="1">
        <f>IFERROR(VLOOKUP($B50,'V02'!$A$8:$J$29,9,1),"")</f>
        <v>94.878515487842066</v>
      </c>
      <c r="J50" s="1">
        <f>IFERROR(VLOOKUP($B50,'V02'!$A$8:$J$29,10,1),"")</f>
        <v>113.50198375807889</v>
      </c>
      <c r="K50">
        <f>IFERROR(VLOOKUP($B50,'V02'!$A$9:$Q$1048576,3,1),"")</f>
        <v>2.25</v>
      </c>
      <c r="L50">
        <f>IFERROR(VLOOKUP($B50,'V02'!$A$8:$Q$29,11,1),"")</f>
        <v>-6.973007111749407</v>
      </c>
      <c r="M50">
        <f>IFERROR(VLOOKUP($B50,'V02'!$A$8:$Q$29,12,1),"")</f>
        <v>-4.5083205306399545</v>
      </c>
      <c r="N50">
        <f>IFERROR(VLOOKUP($B50,'V02'!$A$8:$Q$29,13,1),"")</f>
        <v>-2.0436339495305038</v>
      </c>
      <c r="O50">
        <f>IFERROR(VLOOKUP($B50,'V02'!$A$8:$Q$29,14,1),"")</f>
        <v>0.42105263157894735</v>
      </c>
      <c r="P50">
        <f>IFERROR(VLOOKUP($B50,'V02'!$A$8:$Q$29,15,1),"")</f>
        <v>2.8857392126883985</v>
      </c>
      <c r="Q50">
        <f>IFERROR(VLOOKUP($B50,'V02'!$A$8:$Q$29,16,1),"")</f>
        <v>5.3504257937978501</v>
      </c>
      <c r="R50">
        <f>IFERROR(VLOOKUP($B50,'V02'!$A$8:$Q$29,17,1),"")</f>
        <v>7.8151123749073008</v>
      </c>
      <c r="Z50" s="17"/>
      <c r="AY50" s="17"/>
    </row>
    <row r="51" spans="1:51" x14ac:dyDescent="0.25">
      <c r="A51" s="17"/>
      <c r="B51" s="2">
        <f t="shared" si="3"/>
        <v>45258</v>
      </c>
      <c r="C51">
        <f>IFERROR(VLOOKUP($B51,'V02'!$A$9:$J$1048576,2,1),"")</f>
        <v>65</v>
      </c>
      <c r="D51" s="1">
        <f>IFERROR(VLOOKUP($B51,'V02'!$A$8:$J$29,4,1),"")</f>
        <v>1.7611741366579494</v>
      </c>
      <c r="E51" s="1">
        <f>IFERROR(VLOOKUP($B51,'V02'!$A$8:$J$29,5,1),"")</f>
        <v>20.38464240689477</v>
      </c>
      <c r="F51" s="1">
        <f>IFERROR(VLOOKUP($B51,'V02'!$A$8:$J$29,6,1),"")</f>
        <v>39.008110677131597</v>
      </c>
      <c r="G51" s="1">
        <f>IFERROR(VLOOKUP($B51,'V02'!$A$8:$J$29,7,1),"")</f>
        <v>57.631578947368418</v>
      </c>
      <c r="H51" s="1">
        <f>IFERROR(VLOOKUP($B51,'V02'!$A$8:$J$29,8,1),"")</f>
        <v>76.255047217605238</v>
      </c>
      <c r="I51" s="1">
        <f>IFERROR(VLOOKUP($B51,'V02'!$A$8:$J$29,9,1),"")</f>
        <v>94.878515487842066</v>
      </c>
      <c r="J51" s="1">
        <f>IFERROR(VLOOKUP($B51,'V02'!$A$8:$J$29,10,1),"")</f>
        <v>113.50198375807889</v>
      </c>
      <c r="K51">
        <f>IFERROR(VLOOKUP($B51,'V02'!$A$9:$Q$1048576,3,1),"")</f>
        <v>1</v>
      </c>
      <c r="L51">
        <f>IFERROR(VLOOKUP($B51,'V02'!$A$8:$Q$29,11,1),"")</f>
        <v>-6.973007111749407</v>
      </c>
      <c r="M51">
        <f>IFERROR(VLOOKUP($B51,'V02'!$A$8:$Q$29,12,1),"")</f>
        <v>-4.5083205306399545</v>
      </c>
      <c r="N51">
        <f>IFERROR(VLOOKUP($B51,'V02'!$A$8:$Q$29,13,1),"")</f>
        <v>-2.0436339495305038</v>
      </c>
      <c r="O51">
        <f>IFERROR(VLOOKUP($B51,'V02'!$A$8:$Q$29,14,1),"")</f>
        <v>0.42105263157894735</v>
      </c>
      <c r="P51">
        <f>IFERROR(VLOOKUP($B51,'V02'!$A$8:$Q$29,15,1),"")</f>
        <v>2.8857392126883985</v>
      </c>
      <c r="Q51">
        <f>IFERROR(VLOOKUP($B51,'V02'!$A$8:$Q$29,16,1),"")</f>
        <v>5.3504257937978501</v>
      </c>
      <c r="R51">
        <f>IFERROR(VLOOKUP($B51,'V02'!$A$8:$Q$29,17,1),"")</f>
        <v>7.8151123749073008</v>
      </c>
      <c r="Z51" s="17"/>
      <c r="AY51" s="17"/>
    </row>
    <row r="52" spans="1:51" x14ac:dyDescent="0.25">
      <c r="A52" s="17"/>
      <c r="B52" s="2">
        <f t="shared" si="3"/>
        <v>45288</v>
      </c>
      <c r="C52">
        <f>IFERROR(VLOOKUP($B52,'V02'!$A$9:$J$1048576,2,1),"")</f>
        <v>69</v>
      </c>
      <c r="D52" s="1">
        <f>IFERROR(VLOOKUP($B52,'V02'!$A$8:$J$29,4,1),"")</f>
        <v>1.7611741366579494</v>
      </c>
      <c r="E52" s="1">
        <f>IFERROR(VLOOKUP($B52,'V02'!$A$8:$J$29,5,1),"")</f>
        <v>20.38464240689477</v>
      </c>
      <c r="F52" s="1">
        <f>IFERROR(VLOOKUP($B52,'V02'!$A$8:$J$29,6,1),"")</f>
        <v>39.008110677131597</v>
      </c>
      <c r="G52" s="1">
        <f>IFERROR(VLOOKUP($B52,'V02'!$A$8:$J$29,7,1),"")</f>
        <v>57.631578947368418</v>
      </c>
      <c r="H52" s="1">
        <f>IFERROR(VLOOKUP($B52,'V02'!$A$8:$J$29,8,1),"")</f>
        <v>76.255047217605238</v>
      </c>
      <c r="I52" s="1">
        <f>IFERROR(VLOOKUP($B52,'V02'!$A$8:$J$29,9,1),"")</f>
        <v>94.878515487842066</v>
      </c>
      <c r="J52" s="1">
        <f>IFERROR(VLOOKUP($B52,'V02'!$A$8:$J$29,10,1),"")</f>
        <v>113.50198375807889</v>
      </c>
      <c r="K52">
        <f>IFERROR(VLOOKUP($B52,'V02'!$A$9:$Q$1048576,3,1),"")</f>
        <v>1</v>
      </c>
      <c r="L52">
        <f>IFERROR(VLOOKUP($B52,'V02'!$A$8:$Q$29,11,1),"")</f>
        <v>-6.973007111749407</v>
      </c>
      <c r="M52">
        <f>IFERROR(VLOOKUP($B52,'V02'!$A$8:$Q$29,12,1),"")</f>
        <v>-4.5083205306399545</v>
      </c>
      <c r="N52">
        <f>IFERROR(VLOOKUP($B52,'V02'!$A$8:$Q$29,13,1),"")</f>
        <v>-2.0436339495305038</v>
      </c>
      <c r="O52">
        <f>IFERROR(VLOOKUP($B52,'V02'!$A$8:$Q$29,14,1),"")</f>
        <v>0.42105263157894735</v>
      </c>
      <c r="P52">
        <f>IFERROR(VLOOKUP($B52,'V02'!$A$8:$Q$29,15,1),"")</f>
        <v>2.8857392126883985</v>
      </c>
      <c r="Q52">
        <f>IFERROR(VLOOKUP($B52,'V02'!$A$8:$Q$29,16,1),"")</f>
        <v>5.3504257937978501</v>
      </c>
      <c r="R52">
        <f>IFERROR(VLOOKUP($B52,'V02'!$A$8:$Q$29,17,1),"")</f>
        <v>7.8151123749073008</v>
      </c>
      <c r="Z52" s="17"/>
      <c r="AY52" s="17"/>
    </row>
    <row r="53" spans="1:51" x14ac:dyDescent="0.25">
      <c r="A53" s="17"/>
      <c r="B53" s="2">
        <f t="shared" si="3"/>
        <v>45319</v>
      </c>
      <c r="C53">
        <f>IFERROR(VLOOKUP($B53,'V02'!$A$9:$J$1048576,2,1),"")</f>
        <v>71</v>
      </c>
      <c r="D53" s="1">
        <f>IFERROR(VLOOKUP($B53,'V02'!$A$8:$J$29,4,1),"")</f>
        <v>1.7611741366579494</v>
      </c>
      <c r="E53" s="1">
        <f>IFERROR(VLOOKUP($B53,'V02'!$A$8:$J$29,5,1),"")</f>
        <v>20.38464240689477</v>
      </c>
      <c r="F53" s="1">
        <f>IFERROR(VLOOKUP($B53,'V02'!$A$8:$J$29,6,1),"")</f>
        <v>39.008110677131597</v>
      </c>
      <c r="G53" s="1">
        <f>IFERROR(VLOOKUP($B53,'V02'!$A$8:$J$29,7,1),"")</f>
        <v>57.631578947368418</v>
      </c>
      <c r="H53" s="1">
        <f>IFERROR(VLOOKUP($B53,'V02'!$A$8:$J$29,8,1),"")</f>
        <v>76.255047217605238</v>
      </c>
      <c r="I53" s="1">
        <f>IFERROR(VLOOKUP($B53,'V02'!$A$8:$J$29,9,1),"")</f>
        <v>94.878515487842066</v>
      </c>
      <c r="J53" s="1">
        <f>IFERROR(VLOOKUP($B53,'V02'!$A$8:$J$29,10,1),"")</f>
        <v>113.50198375807889</v>
      </c>
      <c r="K53">
        <f>IFERROR(VLOOKUP($B53,'V02'!$A$9:$Q$1048576,3,1),"")</f>
        <v>0.5</v>
      </c>
      <c r="L53">
        <f>IFERROR(VLOOKUP($B53,'V02'!$A$8:$Q$29,11,1),"")</f>
        <v>-6.973007111749407</v>
      </c>
      <c r="M53">
        <f>IFERROR(VLOOKUP($B53,'V02'!$A$8:$Q$29,12,1),"")</f>
        <v>-4.5083205306399545</v>
      </c>
      <c r="N53">
        <f>IFERROR(VLOOKUP($B53,'V02'!$A$8:$Q$29,13,1),"")</f>
        <v>-2.0436339495305038</v>
      </c>
      <c r="O53">
        <f>IFERROR(VLOOKUP($B53,'V02'!$A$8:$Q$29,14,1),"")</f>
        <v>0.42105263157894735</v>
      </c>
      <c r="P53">
        <f>IFERROR(VLOOKUP($B53,'V02'!$A$8:$Q$29,15,1),"")</f>
        <v>2.8857392126883985</v>
      </c>
      <c r="Q53">
        <f>IFERROR(VLOOKUP($B53,'V02'!$A$8:$Q$29,16,1),"")</f>
        <v>5.3504257937978501</v>
      </c>
      <c r="R53">
        <f>IFERROR(VLOOKUP($B53,'V02'!$A$8:$Q$29,17,1),"")</f>
        <v>7.8151123749073008</v>
      </c>
      <c r="Z53" s="17"/>
      <c r="AY53" s="17"/>
    </row>
    <row r="54" spans="1:51" x14ac:dyDescent="0.25">
      <c r="A54" s="17"/>
      <c r="B54" s="2">
        <f t="shared" si="3"/>
        <v>45350</v>
      </c>
      <c r="C54">
        <f>IFERROR(VLOOKUP($B54,'V02'!$A$9:$J$1048576,2,1),"")</f>
        <v>61</v>
      </c>
      <c r="D54" s="1">
        <f>IFERROR(VLOOKUP($B54,'V02'!$A$8:$J$29,4,1),"")</f>
        <v>1.7611741366579494</v>
      </c>
      <c r="E54" s="1">
        <f>IFERROR(VLOOKUP($B54,'V02'!$A$8:$J$29,5,1),"")</f>
        <v>20.38464240689477</v>
      </c>
      <c r="F54" s="1">
        <f>IFERROR(VLOOKUP($B54,'V02'!$A$8:$J$29,6,1),"")</f>
        <v>39.008110677131597</v>
      </c>
      <c r="G54" s="1">
        <f>IFERROR(VLOOKUP($B54,'V02'!$A$8:$J$29,7,1),"")</f>
        <v>57.631578947368418</v>
      </c>
      <c r="H54" s="1">
        <f>IFERROR(VLOOKUP($B54,'V02'!$A$8:$J$29,8,1),"")</f>
        <v>76.255047217605238</v>
      </c>
      <c r="I54" s="1">
        <f>IFERROR(VLOOKUP($B54,'V02'!$A$8:$J$29,9,1),"")</f>
        <v>94.878515487842066</v>
      </c>
      <c r="J54" s="1">
        <f>IFERROR(VLOOKUP($B54,'V02'!$A$8:$J$29,10,1),"")</f>
        <v>113.50198375807889</v>
      </c>
      <c r="K54">
        <f>IFERROR(VLOOKUP($B54,'V02'!$A$9:$Q$1048576,3,1),"")</f>
        <v>-2.5</v>
      </c>
      <c r="L54">
        <f>IFERROR(VLOOKUP($B54,'V02'!$A$8:$Q$29,11,1),"")</f>
        <v>-6.973007111749407</v>
      </c>
      <c r="M54">
        <f>IFERROR(VLOOKUP($B54,'V02'!$A$8:$Q$29,12,1),"")</f>
        <v>-4.5083205306399545</v>
      </c>
      <c r="N54">
        <f>IFERROR(VLOOKUP($B54,'V02'!$A$8:$Q$29,13,1),"")</f>
        <v>-2.0436339495305038</v>
      </c>
      <c r="O54">
        <f>IFERROR(VLOOKUP($B54,'V02'!$A$8:$Q$29,14,1),"")</f>
        <v>0.42105263157894735</v>
      </c>
      <c r="P54">
        <f>IFERROR(VLOOKUP($B54,'V02'!$A$8:$Q$29,15,1),"")</f>
        <v>2.8857392126883985</v>
      </c>
      <c r="Q54">
        <f>IFERROR(VLOOKUP($B54,'V02'!$A$8:$Q$29,16,1),"")</f>
        <v>5.3504257937978501</v>
      </c>
      <c r="R54">
        <f>IFERROR(VLOOKUP($B54,'V02'!$A$8:$Q$29,17,1),"")</f>
        <v>7.8151123749073008</v>
      </c>
      <c r="Z54" s="17"/>
      <c r="AY54" s="17"/>
    </row>
    <row r="55" spans="1:51" x14ac:dyDescent="0.25">
      <c r="A55" s="17"/>
      <c r="B55" s="2">
        <f t="shared" si="3"/>
        <v>45379</v>
      </c>
      <c r="C55">
        <f>IFERROR(VLOOKUP($B55,'V02'!$A$9:$J$1048576,2,1),"")</f>
        <v>51</v>
      </c>
      <c r="D55" s="1">
        <f>IFERROR(VLOOKUP($B55,'V02'!$A$8:$J$29,4,1),"")</f>
        <v>1.7611741366579494</v>
      </c>
      <c r="E55" s="1">
        <f>IFERROR(VLOOKUP($B55,'V02'!$A$8:$J$29,5,1),"")</f>
        <v>20.38464240689477</v>
      </c>
      <c r="F55" s="1">
        <f>IFERROR(VLOOKUP($B55,'V02'!$A$8:$J$29,6,1),"")</f>
        <v>39.008110677131597</v>
      </c>
      <c r="G55" s="1">
        <f>IFERROR(VLOOKUP($B55,'V02'!$A$8:$J$29,7,1),"")</f>
        <v>57.631578947368418</v>
      </c>
      <c r="H55" s="1">
        <f>IFERROR(VLOOKUP($B55,'V02'!$A$8:$J$29,8,1),"")</f>
        <v>76.255047217605238</v>
      </c>
      <c r="I55" s="1">
        <f>IFERROR(VLOOKUP($B55,'V02'!$A$8:$J$29,9,1),"")</f>
        <v>94.878515487842066</v>
      </c>
      <c r="J55" s="1">
        <f>IFERROR(VLOOKUP($B55,'V02'!$A$8:$J$29,10,1),"")</f>
        <v>113.50198375807889</v>
      </c>
      <c r="K55">
        <f>IFERROR(VLOOKUP($B55,'V02'!$A$9:$Q$1048576,3,1),"")</f>
        <v>-2.5</v>
      </c>
      <c r="L55">
        <f>IFERROR(VLOOKUP($B55,'V02'!$A$8:$Q$29,11,1),"")</f>
        <v>-6.973007111749407</v>
      </c>
      <c r="M55">
        <f>IFERROR(VLOOKUP($B55,'V02'!$A$8:$Q$29,12,1),"")</f>
        <v>-4.5083205306399545</v>
      </c>
      <c r="N55">
        <f>IFERROR(VLOOKUP($B55,'V02'!$A$8:$Q$29,13,1),"")</f>
        <v>-2.0436339495305038</v>
      </c>
      <c r="O55">
        <f>IFERROR(VLOOKUP($B55,'V02'!$A$8:$Q$29,14,1),"")</f>
        <v>0.42105263157894735</v>
      </c>
      <c r="P55">
        <f>IFERROR(VLOOKUP($B55,'V02'!$A$8:$Q$29,15,1),"")</f>
        <v>2.8857392126883985</v>
      </c>
      <c r="Q55">
        <f>IFERROR(VLOOKUP($B55,'V02'!$A$8:$Q$29,16,1),"")</f>
        <v>5.3504257937978501</v>
      </c>
      <c r="R55">
        <f>IFERROR(VLOOKUP($B55,'V02'!$A$8:$Q$29,17,1),"")</f>
        <v>7.8151123749073008</v>
      </c>
      <c r="Z55" s="17"/>
      <c r="AY55" s="17"/>
    </row>
    <row r="56" spans="1:51" x14ac:dyDescent="0.25">
      <c r="A56" s="17"/>
      <c r="B56" s="2">
        <f t="shared" si="3"/>
        <v>45410</v>
      </c>
      <c r="C56">
        <f>IFERROR(VLOOKUP($B56,'V02'!$A$9:$J$1048576,2,1),"")</f>
        <v>44</v>
      </c>
      <c r="D56" s="1">
        <f>IFERROR(VLOOKUP($B56,'V02'!$A$8:$J$29,4,1),"")</f>
        <v>1.7611741366579494</v>
      </c>
      <c r="E56" s="1">
        <f>IFERROR(VLOOKUP($B56,'V02'!$A$8:$J$29,5,1),"")</f>
        <v>20.38464240689477</v>
      </c>
      <c r="F56" s="1">
        <f>IFERROR(VLOOKUP($B56,'V02'!$A$8:$J$29,6,1),"")</f>
        <v>39.008110677131597</v>
      </c>
      <c r="G56" s="1">
        <f>IFERROR(VLOOKUP($B56,'V02'!$A$8:$J$29,7,1),"")</f>
        <v>57.631578947368418</v>
      </c>
      <c r="H56" s="1">
        <f>IFERROR(VLOOKUP($B56,'V02'!$A$8:$J$29,8,1),"")</f>
        <v>76.255047217605238</v>
      </c>
      <c r="I56" s="1">
        <f>IFERROR(VLOOKUP($B56,'V02'!$A$8:$J$29,9,1),"")</f>
        <v>94.878515487842066</v>
      </c>
      <c r="J56" s="1">
        <f>IFERROR(VLOOKUP($B56,'V02'!$A$8:$J$29,10,1),"")</f>
        <v>113.50198375807889</v>
      </c>
      <c r="K56">
        <f>IFERROR(VLOOKUP($B56,'V02'!$A$9:$Q$1048576,3,1),"")</f>
        <v>-1.75</v>
      </c>
      <c r="L56">
        <f>IFERROR(VLOOKUP($B56,'V02'!$A$8:$Q$29,11,1),"")</f>
        <v>-6.973007111749407</v>
      </c>
      <c r="M56">
        <f>IFERROR(VLOOKUP($B56,'V02'!$A$8:$Q$29,12,1),"")</f>
        <v>-4.5083205306399545</v>
      </c>
      <c r="N56">
        <f>IFERROR(VLOOKUP($B56,'V02'!$A$8:$Q$29,13,1),"")</f>
        <v>-2.0436339495305038</v>
      </c>
      <c r="O56">
        <f>IFERROR(VLOOKUP($B56,'V02'!$A$8:$Q$29,14,1),"")</f>
        <v>0.42105263157894735</v>
      </c>
      <c r="P56">
        <f>IFERROR(VLOOKUP($B56,'V02'!$A$8:$Q$29,15,1),"")</f>
        <v>2.8857392126883985</v>
      </c>
      <c r="Q56">
        <f>IFERROR(VLOOKUP($B56,'V02'!$A$8:$Q$29,16,1),"")</f>
        <v>5.3504257937978501</v>
      </c>
      <c r="R56">
        <f>IFERROR(VLOOKUP($B56,'V02'!$A$8:$Q$29,17,1),"")</f>
        <v>7.8151123749073008</v>
      </c>
      <c r="Z56" s="17"/>
      <c r="AY56" s="17"/>
    </row>
    <row r="57" spans="1:51" x14ac:dyDescent="0.25">
      <c r="A57" s="17"/>
      <c r="B57" s="2">
        <f t="shared" si="3"/>
        <v>45440</v>
      </c>
      <c r="C57">
        <f>IFERROR(VLOOKUP($B57,'V02'!$A$9:$J$1048576,2,1),"")</f>
        <v>44</v>
      </c>
      <c r="D57" s="1">
        <f>IFERROR(VLOOKUP($B57,'V02'!$A$8:$J$29,4,1),"")</f>
        <v>1.7611741366579494</v>
      </c>
      <c r="E57" s="1">
        <f>IFERROR(VLOOKUP($B57,'V02'!$A$8:$J$29,5,1),"")</f>
        <v>20.38464240689477</v>
      </c>
      <c r="F57" s="1">
        <f>IFERROR(VLOOKUP($B57,'V02'!$A$8:$J$29,6,1),"")</f>
        <v>39.008110677131597</v>
      </c>
      <c r="G57" s="1">
        <f>IFERROR(VLOOKUP($B57,'V02'!$A$8:$J$29,7,1),"")</f>
        <v>57.631578947368418</v>
      </c>
      <c r="H57" s="1">
        <f>IFERROR(VLOOKUP($B57,'V02'!$A$8:$J$29,8,1),"")</f>
        <v>76.255047217605238</v>
      </c>
      <c r="I57" s="1">
        <f>IFERROR(VLOOKUP($B57,'V02'!$A$8:$J$29,9,1),"")</f>
        <v>94.878515487842066</v>
      </c>
      <c r="J57" s="1">
        <f>IFERROR(VLOOKUP($B57,'V02'!$A$8:$J$29,10,1),"")</f>
        <v>113.50198375807889</v>
      </c>
      <c r="K57">
        <f>IFERROR(VLOOKUP($B57,'V02'!$A$9:$Q$1048576,3,1),"")</f>
        <v>0</v>
      </c>
      <c r="L57">
        <f>IFERROR(VLOOKUP($B57,'V02'!$A$8:$Q$29,11,1),"")</f>
        <v>-6.973007111749407</v>
      </c>
      <c r="M57">
        <f>IFERROR(VLOOKUP($B57,'V02'!$A$8:$Q$29,12,1),"")</f>
        <v>-4.5083205306399545</v>
      </c>
      <c r="N57">
        <f>IFERROR(VLOOKUP($B57,'V02'!$A$8:$Q$29,13,1),"")</f>
        <v>-2.0436339495305038</v>
      </c>
      <c r="O57">
        <f>IFERROR(VLOOKUP($B57,'V02'!$A$8:$Q$29,14,1),"")</f>
        <v>0.42105263157894735</v>
      </c>
      <c r="P57">
        <f>IFERROR(VLOOKUP($B57,'V02'!$A$8:$Q$29,15,1),"")</f>
        <v>2.8857392126883985</v>
      </c>
      <c r="Q57">
        <f>IFERROR(VLOOKUP($B57,'V02'!$A$8:$Q$29,16,1),"")</f>
        <v>5.3504257937978501</v>
      </c>
      <c r="R57">
        <f>IFERROR(VLOOKUP($B57,'V02'!$A$8:$Q$29,17,1),"")</f>
        <v>7.8151123749073008</v>
      </c>
      <c r="Z57" s="17"/>
      <c r="AY57" s="17"/>
    </row>
    <row r="58" spans="1:51" x14ac:dyDescent="0.25">
      <c r="A58" s="17"/>
      <c r="B58" s="2">
        <f t="shared" si="3"/>
        <v>45471</v>
      </c>
      <c r="C58">
        <f>IFERROR(VLOOKUP($B58,'V02'!$A$9:$J$1048576,2,1),"")</f>
        <v>61</v>
      </c>
      <c r="D58" s="1">
        <f>IFERROR(VLOOKUP($B58,'V02'!$A$8:$J$29,4,1),"")</f>
        <v>1.7611741366579494</v>
      </c>
      <c r="E58" s="1">
        <f>IFERROR(VLOOKUP($B58,'V02'!$A$8:$J$29,5,1),"")</f>
        <v>20.38464240689477</v>
      </c>
      <c r="F58" s="1">
        <f>IFERROR(VLOOKUP($B58,'V02'!$A$8:$J$29,6,1),"")</f>
        <v>39.008110677131597</v>
      </c>
      <c r="G58" s="1">
        <f>IFERROR(VLOOKUP($B58,'V02'!$A$8:$J$29,7,1),"")</f>
        <v>57.631578947368418</v>
      </c>
      <c r="H58" s="1">
        <f>IFERROR(VLOOKUP($B58,'V02'!$A$8:$J$29,8,1),"")</f>
        <v>76.255047217605238</v>
      </c>
      <c r="I58" s="1">
        <f>IFERROR(VLOOKUP($B58,'V02'!$A$8:$J$29,9,1),"")</f>
        <v>94.878515487842066</v>
      </c>
      <c r="J58" s="1">
        <f>IFERROR(VLOOKUP($B58,'V02'!$A$8:$J$29,10,1),"")</f>
        <v>113.50198375807889</v>
      </c>
      <c r="K58">
        <f>IFERROR(VLOOKUP($B58,'V02'!$A$9:$Q$1048576,3,1),"")</f>
        <v>4.25</v>
      </c>
      <c r="L58">
        <f>IFERROR(VLOOKUP($B58,'V02'!$A$8:$Q$29,11,1),"")</f>
        <v>-6.973007111749407</v>
      </c>
      <c r="M58">
        <f>IFERROR(VLOOKUP($B58,'V02'!$A$8:$Q$29,12,1),"")</f>
        <v>-4.5083205306399545</v>
      </c>
      <c r="N58">
        <f>IFERROR(VLOOKUP($B58,'V02'!$A$8:$Q$29,13,1),"")</f>
        <v>-2.0436339495305038</v>
      </c>
      <c r="O58">
        <f>IFERROR(VLOOKUP($B58,'V02'!$A$8:$Q$29,14,1),"")</f>
        <v>0.42105263157894735</v>
      </c>
      <c r="P58">
        <f>IFERROR(VLOOKUP($B58,'V02'!$A$8:$Q$29,15,1),"")</f>
        <v>2.8857392126883985</v>
      </c>
      <c r="Q58">
        <f>IFERROR(VLOOKUP($B58,'V02'!$A$8:$Q$29,16,1),"")</f>
        <v>5.3504257937978501</v>
      </c>
      <c r="R58">
        <f>IFERROR(VLOOKUP($B58,'V02'!$A$8:$Q$29,17,1),"")</f>
        <v>7.8151123749073008</v>
      </c>
      <c r="Z58" s="17"/>
      <c r="AY58" s="17"/>
    </row>
    <row r="59" spans="1:51" x14ac:dyDescent="0.25">
      <c r="A59" s="17"/>
      <c r="B59" s="2">
        <f t="shared" si="3"/>
        <v>45501</v>
      </c>
      <c r="C59">
        <f>IFERROR(VLOOKUP($B59,'V02'!$A$9:$J$1048576,2,1),"")</f>
        <v>76</v>
      </c>
      <c r="D59" s="1">
        <f>IFERROR(VLOOKUP($B59,'V02'!$A$8:$J$29,4,1),"")</f>
        <v>1.7611741366579494</v>
      </c>
      <c r="E59" s="1">
        <f>IFERROR(VLOOKUP($B59,'V02'!$A$8:$J$29,5,1),"")</f>
        <v>20.38464240689477</v>
      </c>
      <c r="F59" s="1">
        <f>IFERROR(VLOOKUP($B59,'V02'!$A$8:$J$29,6,1),"")</f>
        <v>39.008110677131597</v>
      </c>
      <c r="G59" s="1">
        <f>IFERROR(VLOOKUP($B59,'V02'!$A$8:$J$29,7,1),"")</f>
        <v>57.631578947368418</v>
      </c>
      <c r="H59" s="1">
        <f>IFERROR(VLOOKUP($B59,'V02'!$A$8:$J$29,8,1),"")</f>
        <v>76.255047217605238</v>
      </c>
      <c r="I59" s="1">
        <f>IFERROR(VLOOKUP($B59,'V02'!$A$8:$J$29,9,1),"")</f>
        <v>94.878515487842066</v>
      </c>
      <c r="J59" s="1">
        <f>IFERROR(VLOOKUP($B59,'V02'!$A$8:$J$29,10,1),"")</f>
        <v>113.50198375807889</v>
      </c>
      <c r="K59">
        <f>IFERROR(VLOOKUP($B59,'V02'!$A$9:$Q$1048576,3,1),"")</f>
        <v>3.75</v>
      </c>
      <c r="L59">
        <f>IFERROR(VLOOKUP($B59,'V02'!$A$8:$Q$29,11,1),"")</f>
        <v>-6.973007111749407</v>
      </c>
      <c r="M59">
        <f>IFERROR(VLOOKUP($B59,'V02'!$A$8:$Q$29,12,1),"")</f>
        <v>-4.5083205306399545</v>
      </c>
      <c r="N59">
        <f>IFERROR(VLOOKUP($B59,'V02'!$A$8:$Q$29,13,1),"")</f>
        <v>-2.0436339495305038</v>
      </c>
      <c r="O59">
        <f>IFERROR(VLOOKUP($B59,'V02'!$A$8:$Q$29,14,1),"")</f>
        <v>0.42105263157894735</v>
      </c>
      <c r="P59">
        <f>IFERROR(VLOOKUP($B59,'V02'!$A$8:$Q$29,15,1),"")</f>
        <v>2.8857392126883985</v>
      </c>
      <c r="Q59">
        <f>IFERROR(VLOOKUP($B59,'V02'!$A$8:$Q$29,16,1),"")</f>
        <v>5.3504257937978501</v>
      </c>
      <c r="R59">
        <f>IFERROR(VLOOKUP($B59,'V02'!$A$8:$Q$29,17,1),"")</f>
        <v>7.8151123749073008</v>
      </c>
      <c r="Z59" s="17"/>
      <c r="AY59" s="17"/>
    </row>
    <row r="60" spans="1:51" x14ac:dyDescent="0.25">
      <c r="A60" s="17"/>
      <c r="B60" s="2">
        <f t="shared" si="3"/>
        <v>45532</v>
      </c>
      <c r="C60">
        <f>IFERROR(VLOOKUP($B60,'V02'!$A$9:$J$1048576,2,1),"")</f>
        <v>92</v>
      </c>
      <c r="D60" s="1">
        <f>IFERROR(VLOOKUP($B60,'V02'!$A$8:$J$29,4,1),"")</f>
        <v>1.7611741366579494</v>
      </c>
      <c r="E60" s="1">
        <f>IFERROR(VLOOKUP($B60,'V02'!$A$8:$J$29,5,1),"")</f>
        <v>20.38464240689477</v>
      </c>
      <c r="F60" s="1">
        <f>IFERROR(VLOOKUP($B60,'V02'!$A$8:$J$29,6,1),"")</f>
        <v>39.008110677131597</v>
      </c>
      <c r="G60" s="1">
        <f>IFERROR(VLOOKUP($B60,'V02'!$A$8:$J$29,7,1),"")</f>
        <v>57.631578947368418</v>
      </c>
      <c r="H60" s="1">
        <f>IFERROR(VLOOKUP($B60,'V02'!$A$8:$J$29,8,1),"")</f>
        <v>76.255047217605238</v>
      </c>
      <c r="I60" s="1">
        <f>IFERROR(VLOOKUP($B60,'V02'!$A$8:$J$29,9,1),"")</f>
        <v>94.878515487842066</v>
      </c>
      <c r="J60" s="1">
        <f>IFERROR(VLOOKUP($B60,'V02'!$A$8:$J$29,10,1),"")</f>
        <v>113.50198375807889</v>
      </c>
      <c r="K60">
        <f>IFERROR(VLOOKUP($B60,'V02'!$A$9:$Q$1048576,3,1),"")</f>
        <v>4</v>
      </c>
      <c r="L60">
        <f>IFERROR(VLOOKUP($B60,'V02'!$A$8:$Q$29,11,1),"")</f>
        <v>-6.973007111749407</v>
      </c>
      <c r="M60">
        <f>IFERROR(VLOOKUP($B60,'V02'!$A$8:$Q$29,12,1),"")</f>
        <v>-4.5083205306399545</v>
      </c>
      <c r="N60">
        <f>IFERROR(VLOOKUP($B60,'V02'!$A$8:$Q$29,13,1),"")</f>
        <v>-2.0436339495305038</v>
      </c>
      <c r="O60">
        <f>IFERROR(VLOOKUP($B60,'V02'!$A$8:$Q$29,14,1),"")</f>
        <v>0.42105263157894735</v>
      </c>
      <c r="P60">
        <f>IFERROR(VLOOKUP($B60,'V02'!$A$8:$Q$29,15,1),"")</f>
        <v>2.8857392126883985</v>
      </c>
      <c r="Q60">
        <f>IFERROR(VLOOKUP($B60,'V02'!$A$8:$Q$29,16,1),"")</f>
        <v>5.3504257937978501</v>
      </c>
      <c r="R60">
        <f>IFERROR(VLOOKUP($B60,'V02'!$A$8:$Q$29,17,1),"")</f>
        <v>7.8151123749073008</v>
      </c>
      <c r="Z60" s="17"/>
      <c r="AY60" s="17"/>
    </row>
    <row r="61" spans="1:51" x14ac:dyDescent="0.25">
      <c r="A61" s="17"/>
      <c r="B61" s="2">
        <f t="shared" si="3"/>
        <v>45563</v>
      </c>
      <c r="C61">
        <f>IFERROR(VLOOKUP($B61,'V02'!$A$9:$J$1048576,2,1),"")</f>
        <v>103</v>
      </c>
      <c r="D61" s="1">
        <f>IFERROR(VLOOKUP($B61,'V02'!$A$8:$J$29,4,1),"")</f>
        <v>1.7611741366579494</v>
      </c>
      <c r="E61" s="1">
        <f>IFERROR(VLOOKUP($B61,'V02'!$A$8:$J$29,5,1),"")</f>
        <v>20.38464240689477</v>
      </c>
      <c r="F61" s="1">
        <f>IFERROR(VLOOKUP($B61,'V02'!$A$8:$J$29,6,1),"")</f>
        <v>39.008110677131597</v>
      </c>
      <c r="G61" s="1">
        <f>IFERROR(VLOOKUP($B61,'V02'!$A$8:$J$29,7,1),"")</f>
        <v>57.631578947368418</v>
      </c>
      <c r="H61" s="1">
        <f>IFERROR(VLOOKUP($B61,'V02'!$A$8:$J$29,8,1),"")</f>
        <v>76.255047217605238</v>
      </c>
      <c r="I61" s="1">
        <f>IFERROR(VLOOKUP($B61,'V02'!$A$8:$J$29,9,1),"")</f>
        <v>94.878515487842066</v>
      </c>
      <c r="J61" s="1">
        <f>IFERROR(VLOOKUP($B61,'V02'!$A$8:$J$29,10,1),"")</f>
        <v>113.50198375807889</v>
      </c>
      <c r="K61">
        <f>IFERROR(VLOOKUP($B61,'V02'!$A$9:$Q$1048576,3,1),"")</f>
        <v>2.75</v>
      </c>
      <c r="L61">
        <f>IFERROR(VLOOKUP($B61,'V02'!$A$8:$Q$29,11,1),"")</f>
        <v>-6.973007111749407</v>
      </c>
      <c r="M61">
        <f>IFERROR(VLOOKUP($B61,'V02'!$A$8:$Q$29,12,1),"")</f>
        <v>-4.5083205306399545</v>
      </c>
      <c r="N61">
        <f>IFERROR(VLOOKUP($B61,'V02'!$A$8:$Q$29,13,1),"")</f>
        <v>-2.0436339495305038</v>
      </c>
      <c r="O61">
        <f>IFERROR(VLOOKUP($B61,'V02'!$A$8:$Q$29,14,1),"")</f>
        <v>0.42105263157894735</v>
      </c>
      <c r="P61">
        <f>IFERROR(VLOOKUP($B61,'V02'!$A$8:$Q$29,15,1),"")</f>
        <v>2.8857392126883985</v>
      </c>
      <c r="Q61">
        <f>IFERROR(VLOOKUP($B61,'V02'!$A$8:$Q$29,16,1),"")</f>
        <v>5.3504257937978501</v>
      </c>
      <c r="R61">
        <f>IFERROR(VLOOKUP($B61,'V02'!$A$8:$Q$29,17,1),"")</f>
        <v>7.8151123749073008</v>
      </c>
      <c r="Z61" s="17"/>
      <c r="AY61" s="17"/>
    </row>
    <row r="62" spans="1:51" x14ac:dyDescent="0.25">
      <c r="A62" s="17"/>
      <c r="B62" s="2">
        <f t="shared" si="3"/>
        <v>45593</v>
      </c>
      <c r="C62">
        <f>IFERROR(VLOOKUP($B62,'V02'!$A$9:$J$1048576,2,1),"")</f>
        <v>97</v>
      </c>
      <c r="D62" s="1">
        <f>IFERROR(VLOOKUP($B62,'V02'!$A$8:$J$29,4,1),"")</f>
        <v>1.7611741366579494</v>
      </c>
      <c r="E62" s="1">
        <f>IFERROR(VLOOKUP($B62,'V02'!$A$8:$J$29,5,1),"")</f>
        <v>20.38464240689477</v>
      </c>
      <c r="F62" s="1">
        <f>IFERROR(VLOOKUP($B62,'V02'!$A$8:$J$29,6,1),"")</f>
        <v>39.008110677131597</v>
      </c>
      <c r="G62" s="1">
        <f>IFERROR(VLOOKUP($B62,'V02'!$A$8:$J$29,7,1),"")</f>
        <v>57.631578947368418</v>
      </c>
      <c r="H62" s="1">
        <f>IFERROR(VLOOKUP($B62,'V02'!$A$8:$J$29,8,1),"")</f>
        <v>76.255047217605238</v>
      </c>
      <c r="I62" s="1">
        <f>IFERROR(VLOOKUP($B62,'V02'!$A$8:$J$29,9,1),"")</f>
        <v>94.878515487842066</v>
      </c>
      <c r="J62" s="1">
        <f>IFERROR(VLOOKUP($B62,'V02'!$A$8:$J$29,10,1),"")</f>
        <v>113.50198375807889</v>
      </c>
      <c r="K62">
        <f>IFERROR(VLOOKUP($B62,'V02'!$A$9:$Q$1048576,3,1),"")</f>
        <v>-1.5</v>
      </c>
      <c r="L62">
        <f>IFERROR(VLOOKUP($B62,'V02'!$A$8:$Q$29,11,1),"")</f>
        <v>-6.973007111749407</v>
      </c>
      <c r="M62">
        <f>IFERROR(VLOOKUP($B62,'V02'!$A$8:$Q$29,12,1),"")</f>
        <v>-4.5083205306399545</v>
      </c>
      <c r="N62">
        <f>IFERROR(VLOOKUP($B62,'V02'!$A$8:$Q$29,13,1),"")</f>
        <v>-2.0436339495305038</v>
      </c>
      <c r="O62">
        <f>IFERROR(VLOOKUP($B62,'V02'!$A$8:$Q$29,14,1),"")</f>
        <v>0.42105263157894735</v>
      </c>
      <c r="P62">
        <f>IFERROR(VLOOKUP($B62,'V02'!$A$8:$Q$29,15,1),"")</f>
        <v>2.8857392126883985</v>
      </c>
      <c r="Q62">
        <f>IFERROR(VLOOKUP($B62,'V02'!$A$8:$Q$29,16,1),"")</f>
        <v>5.3504257937978501</v>
      </c>
      <c r="R62">
        <f>IFERROR(VLOOKUP($B62,'V02'!$A$8:$Q$29,17,1),"")</f>
        <v>7.8151123749073008</v>
      </c>
      <c r="Z62" s="17"/>
      <c r="AY62" s="17"/>
    </row>
    <row r="63" spans="1:51" x14ac:dyDescent="0.25">
      <c r="A63" s="17"/>
      <c r="B63" s="2">
        <f t="shared" si="3"/>
        <v>45624</v>
      </c>
      <c r="C63">
        <f>IFERROR(VLOOKUP($B63,'V02'!$A$9:$J$1048576,2,1),"")</f>
        <v>87</v>
      </c>
      <c r="D63" s="1">
        <f>IFERROR(VLOOKUP($B63,'V02'!$A$8:$J$29,4,1),"")</f>
        <v>1.7611741366579494</v>
      </c>
      <c r="E63" s="1">
        <f>IFERROR(VLOOKUP($B63,'V02'!$A$8:$J$29,5,1),"")</f>
        <v>20.38464240689477</v>
      </c>
      <c r="F63" s="1">
        <f>IFERROR(VLOOKUP($B63,'V02'!$A$8:$J$29,6,1),"")</f>
        <v>39.008110677131597</v>
      </c>
      <c r="G63" s="1">
        <f>IFERROR(VLOOKUP($B63,'V02'!$A$8:$J$29,7,1),"")</f>
        <v>57.631578947368418</v>
      </c>
      <c r="H63" s="1">
        <f>IFERROR(VLOOKUP($B63,'V02'!$A$8:$J$29,8,1),"")</f>
        <v>76.255047217605238</v>
      </c>
      <c r="I63" s="1">
        <f>IFERROR(VLOOKUP($B63,'V02'!$A$8:$J$29,9,1),"")</f>
        <v>94.878515487842066</v>
      </c>
      <c r="J63" s="1">
        <f>IFERROR(VLOOKUP($B63,'V02'!$A$8:$J$29,10,1),"")</f>
        <v>113.50198375807889</v>
      </c>
      <c r="K63">
        <f>IFERROR(VLOOKUP($B63,'V02'!$A$9:$Q$1048576,3,1),"")</f>
        <v>-2.5</v>
      </c>
      <c r="L63">
        <f>IFERROR(VLOOKUP($B63,'V02'!$A$8:$Q$29,11,1),"")</f>
        <v>-6.973007111749407</v>
      </c>
      <c r="M63">
        <f>IFERROR(VLOOKUP($B63,'V02'!$A$8:$Q$29,12,1),"")</f>
        <v>-4.5083205306399545</v>
      </c>
      <c r="N63">
        <f>IFERROR(VLOOKUP($B63,'V02'!$A$8:$Q$29,13,1),"")</f>
        <v>-2.0436339495305038</v>
      </c>
      <c r="O63">
        <f>IFERROR(VLOOKUP($B63,'V02'!$A$8:$Q$29,14,1),"")</f>
        <v>0.42105263157894735</v>
      </c>
      <c r="P63">
        <f>IFERROR(VLOOKUP($B63,'V02'!$A$8:$Q$29,15,1),"")</f>
        <v>2.8857392126883985</v>
      </c>
      <c r="Q63">
        <f>IFERROR(VLOOKUP($B63,'V02'!$A$8:$Q$29,16,1),"")</f>
        <v>5.3504257937978501</v>
      </c>
      <c r="R63">
        <f>IFERROR(VLOOKUP($B63,'V02'!$A$8:$Q$29,17,1),"")</f>
        <v>7.8151123749073008</v>
      </c>
      <c r="Z63" s="17"/>
      <c r="AY63" s="17"/>
    </row>
    <row r="64" spans="1:51" x14ac:dyDescent="0.25">
      <c r="A64" s="17"/>
      <c r="B64" s="2">
        <f t="shared" si="3"/>
        <v>45654</v>
      </c>
      <c r="C64">
        <f>IFERROR(VLOOKUP($B64,'V02'!$A$9:$J$1048576,2,1),"")</f>
        <v>63</v>
      </c>
      <c r="D64" s="1">
        <f>IFERROR(VLOOKUP($B64,'V02'!$A$8:$J$29,4,1),"")</f>
        <v>1.7611741366579494</v>
      </c>
      <c r="E64" s="1">
        <f>IFERROR(VLOOKUP($B64,'V02'!$A$8:$J$29,5,1),"")</f>
        <v>20.38464240689477</v>
      </c>
      <c r="F64" s="1">
        <f>IFERROR(VLOOKUP($B64,'V02'!$A$8:$J$29,6,1),"")</f>
        <v>39.008110677131597</v>
      </c>
      <c r="G64" s="1">
        <f>IFERROR(VLOOKUP($B64,'V02'!$A$8:$J$29,7,1),"")</f>
        <v>57.631578947368418</v>
      </c>
      <c r="H64" s="1">
        <f>IFERROR(VLOOKUP($B64,'V02'!$A$8:$J$29,8,1),"")</f>
        <v>76.255047217605238</v>
      </c>
      <c r="I64" s="1">
        <f>IFERROR(VLOOKUP($B64,'V02'!$A$8:$J$29,9,1),"")</f>
        <v>94.878515487842066</v>
      </c>
      <c r="J64" s="1">
        <f>IFERROR(VLOOKUP($B64,'V02'!$A$8:$J$29,10,1),"")</f>
        <v>113.50198375807889</v>
      </c>
      <c r="K64">
        <f>IFERROR(VLOOKUP($B64,'V02'!$A$9:$Q$1048576,3,1),"")</f>
        <v>-6</v>
      </c>
      <c r="L64">
        <f>IFERROR(VLOOKUP($B64,'V02'!$A$8:$Q$29,11,1),"")</f>
        <v>-6.973007111749407</v>
      </c>
      <c r="M64">
        <f>IFERROR(VLOOKUP($B64,'V02'!$A$8:$Q$29,12,1),"")</f>
        <v>-4.5083205306399545</v>
      </c>
      <c r="N64">
        <f>IFERROR(VLOOKUP($B64,'V02'!$A$8:$Q$29,13,1),"")</f>
        <v>-2.0436339495305038</v>
      </c>
      <c r="O64">
        <f>IFERROR(VLOOKUP($B64,'V02'!$A$8:$Q$29,14,1),"")</f>
        <v>0.42105263157894735</v>
      </c>
      <c r="P64">
        <f>IFERROR(VLOOKUP($B64,'V02'!$A$8:$Q$29,15,1),"")</f>
        <v>2.8857392126883985</v>
      </c>
      <c r="Q64">
        <f>IFERROR(VLOOKUP($B64,'V02'!$A$8:$Q$29,16,1),"")</f>
        <v>5.3504257937978501</v>
      </c>
      <c r="R64">
        <f>IFERROR(VLOOKUP($B64,'V02'!$A$8:$Q$29,17,1),"")</f>
        <v>7.8151123749073008</v>
      </c>
      <c r="Z64" s="17"/>
      <c r="AY64" s="17"/>
    </row>
    <row r="65" spans="1:51" x14ac:dyDescent="0.25">
      <c r="A65" s="17"/>
      <c r="B65" s="2">
        <f t="shared" si="3"/>
        <v>45685</v>
      </c>
      <c r="C65">
        <f>IFERROR(VLOOKUP($B65,'V02'!$A$9:$J$1048576,2,1),"")</f>
        <v>68</v>
      </c>
      <c r="D65" s="1">
        <f>IFERROR(VLOOKUP($B65,'V02'!$A$8:$J$29,4,1),"")</f>
        <v>1.7611741366579494</v>
      </c>
      <c r="E65" s="1">
        <f>IFERROR(VLOOKUP($B65,'V02'!$A$8:$J$29,5,1),"")</f>
        <v>20.38464240689477</v>
      </c>
      <c r="F65" s="1">
        <f>IFERROR(VLOOKUP($B65,'V02'!$A$8:$J$29,6,1),"")</f>
        <v>39.008110677131597</v>
      </c>
      <c r="G65" s="1">
        <f>IFERROR(VLOOKUP($B65,'V02'!$A$8:$J$29,7,1),"")</f>
        <v>57.631578947368418</v>
      </c>
      <c r="H65" s="1">
        <f>IFERROR(VLOOKUP($B65,'V02'!$A$8:$J$29,8,1),"")</f>
        <v>76.255047217605238</v>
      </c>
      <c r="I65" s="1">
        <f>IFERROR(VLOOKUP($B65,'V02'!$A$8:$J$29,9,1),"")</f>
        <v>94.878515487842066</v>
      </c>
      <c r="J65" s="1">
        <f>IFERROR(VLOOKUP($B65,'V02'!$A$8:$J$29,10,1),"")</f>
        <v>113.50198375807889</v>
      </c>
      <c r="K65">
        <f>IFERROR(VLOOKUP($B65,'V02'!$A$9:$Q$1048576,3,1),"")</f>
        <v>1.25</v>
      </c>
      <c r="L65">
        <f>IFERROR(VLOOKUP($B65,'V02'!$A$8:$Q$29,11,1),"")</f>
        <v>-6.973007111749407</v>
      </c>
      <c r="M65">
        <f>IFERROR(VLOOKUP($B65,'V02'!$A$8:$Q$29,12,1),"")</f>
        <v>-4.5083205306399545</v>
      </c>
      <c r="N65">
        <f>IFERROR(VLOOKUP($B65,'V02'!$A$8:$Q$29,13,1),"")</f>
        <v>-2.0436339495305038</v>
      </c>
      <c r="O65">
        <f>IFERROR(VLOOKUP($B65,'V02'!$A$8:$Q$29,14,1),"")</f>
        <v>0.42105263157894735</v>
      </c>
      <c r="P65">
        <f>IFERROR(VLOOKUP($B65,'V02'!$A$8:$Q$29,15,1),"")</f>
        <v>2.8857392126883985</v>
      </c>
      <c r="Q65">
        <f>IFERROR(VLOOKUP($B65,'V02'!$A$8:$Q$29,16,1),"")</f>
        <v>5.3504257937978501</v>
      </c>
      <c r="R65">
        <f>IFERROR(VLOOKUP($B65,'V02'!$A$8:$Q$29,17,1),"")</f>
        <v>7.8151123749073008</v>
      </c>
      <c r="Z65" s="17"/>
      <c r="AY65" s="17"/>
    </row>
    <row r="66" spans="1:51" x14ac:dyDescent="0.25">
      <c r="A66" s="17"/>
      <c r="B66" s="2">
        <f t="shared" si="3"/>
        <v>45716</v>
      </c>
      <c r="C66">
        <f>IFERROR(VLOOKUP($B66,'V02'!$A$9:$J$1048576,2,1),"")</f>
        <v>65</v>
      </c>
      <c r="D66" s="1">
        <f>IFERROR(VLOOKUP($B66,'V02'!$A$8:$J$29,4,1),"")</f>
        <v>1.7611741366579494</v>
      </c>
      <c r="E66" s="1">
        <f>IFERROR(VLOOKUP($B66,'V02'!$A$8:$J$29,5,1),"")</f>
        <v>20.38464240689477</v>
      </c>
      <c r="F66" s="1">
        <f>IFERROR(VLOOKUP($B66,'V02'!$A$8:$J$29,6,1),"")</f>
        <v>39.008110677131597</v>
      </c>
      <c r="G66" s="1">
        <f>IFERROR(VLOOKUP($B66,'V02'!$A$8:$J$29,7,1),"")</f>
        <v>57.631578947368418</v>
      </c>
      <c r="H66" s="1">
        <f>IFERROR(VLOOKUP($B66,'V02'!$A$8:$J$29,8,1),"")</f>
        <v>76.255047217605238</v>
      </c>
      <c r="I66" s="1">
        <f>IFERROR(VLOOKUP($B66,'V02'!$A$8:$J$29,9,1),"")</f>
        <v>94.878515487842066</v>
      </c>
      <c r="J66" s="1">
        <f>IFERROR(VLOOKUP($B66,'V02'!$A$8:$J$29,10,1),"")</f>
        <v>113.50198375807889</v>
      </c>
      <c r="K66">
        <f>IFERROR(VLOOKUP($B66,'V02'!$A$9:$Q$1048576,3,1),"")</f>
        <v>-0.75</v>
      </c>
      <c r="L66">
        <f>IFERROR(VLOOKUP($B66,'V02'!$A$8:$Q$29,11,1),"")</f>
        <v>-6.973007111749407</v>
      </c>
      <c r="M66">
        <f>IFERROR(VLOOKUP($B66,'V02'!$A$8:$Q$29,12,1),"")</f>
        <v>-4.5083205306399545</v>
      </c>
      <c r="N66">
        <f>IFERROR(VLOOKUP($B66,'V02'!$A$8:$Q$29,13,1),"")</f>
        <v>-2.0436339495305038</v>
      </c>
      <c r="O66">
        <f>IFERROR(VLOOKUP($B66,'V02'!$A$8:$Q$29,14,1),"")</f>
        <v>0.42105263157894735</v>
      </c>
      <c r="P66">
        <f>IFERROR(VLOOKUP($B66,'V02'!$A$8:$Q$29,15,1),"")</f>
        <v>2.8857392126883985</v>
      </c>
      <c r="Q66">
        <f>IFERROR(VLOOKUP($B66,'V02'!$A$8:$Q$29,16,1),"")</f>
        <v>5.3504257937978501</v>
      </c>
      <c r="R66">
        <f>IFERROR(VLOOKUP($B66,'V02'!$A$8:$Q$29,17,1),"")</f>
        <v>7.8151123749073008</v>
      </c>
      <c r="Z66" s="17"/>
      <c r="AY66" s="17"/>
    </row>
    <row r="67" spans="1:51" x14ac:dyDescent="0.25">
      <c r="A67" s="17"/>
      <c r="B67" s="2">
        <f t="shared" si="3"/>
        <v>45746</v>
      </c>
      <c r="C67">
        <f>IFERROR(VLOOKUP($B67,'V02'!$A$9:$J$1048576,2,1),"")</f>
        <v>67</v>
      </c>
      <c r="D67" s="1">
        <f>IFERROR(VLOOKUP($B67,'V02'!$A$8:$J$29,4,1),"")</f>
        <v>1.7611741366579494</v>
      </c>
      <c r="E67" s="1">
        <f>IFERROR(VLOOKUP($B67,'V02'!$A$8:$J$29,5,1),"")</f>
        <v>20.38464240689477</v>
      </c>
      <c r="F67" s="1">
        <f>IFERROR(VLOOKUP($B67,'V02'!$A$8:$J$29,6,1),"")</f>
        <v>39.008110677131597</v>
      </c>
      <c r="G67" s="1">
        <f>IFERROR(VLOOKUP($B67,'V02'!$A$8:$J$29,7,1),"")</f>
        <v>57.631578947368418</v>
      </c>
      <c r="H67" s="1">
        <f>IFERROR(VLOOKUP($B67,'V02'!$A$8:$J$29,8,1),"")</f>
        <v>76.255047217605238</v>
      </c>
      <c r="I67" s="1">
        <f>IFERROR(VLOOKUP($B67,'V02'!$A$8:$J$29,9,1),"")</f>
        <v>94.878515487842066</v>
      </c>
      <c r="J67" s="1">
        <f>IFERROR(VLOOKUP($B67,'V02'!$A$8:$J$29,10,1),"")</f>
        <v>113.50198375807889</v>
      </c>
      <c r="K67">
        <f>IFERROR(VLOOKUP($B67,'V02'!$A$9:$Q$1048576,3,1),"")</f>
        <v>0.5</v>
      </c>
      <c r="L67">
        <f>IFERROR(VLOOKUP($B67,'V02'!$A$8:$Q$29,11,1),"")</f>
        <v>-6.973007111749407</v>
      </c>
      <c r="M67">
        <f>IFERROR(VLOOKUP($B67,'V02'!$A$8:$Q$29,12,1),"")</f>
        <v>-4.5083205306399545</v>
      </c>
      <c r="N67">
        <f>IFERROR(VLOOKUP($B67,'V02'!$A$8:$Q$29,13,1),"")</f>
        <v>-2.0436339495305038</v>
      </c>
      <c r="O67">
        <f>IFERROR(VLOOKUP($B67,'V02'!$A$8:$Q$29,14,1),"")</f>
        <v>0.42105263157894735</v>
      </c>
      <c r="P67">
        <f>IFERROR(VLOOKUP($B67,'V02'!$A$8:$Q$29,15,1),"")</f>
        <v>2.8857392126883985</v>
      </c>
      <c r="Q67">
        <f>IFERROR(VLOOKUP($B67,'V02'!$A$8:$Q$29,16,1),"")</f>
        <v>5.3504257937978501</v>
      </c>
      <c r="R67">
        <f>IFERROR(VLOOKUP($B67,'V02'!$A$8:$Q$29,17,1),"")</f>
        <v>7.8151123749073008</v>
      </c>
      <c r="Z67" s="17"/>
      <c r="AY67" s="17"/>
    </row>
    <row r="68" spans="1:51" x14ac:dyDescent="0.25">
      <c r="A68" s="17"/>
      <c r="B68" s="2">
        <f t="shared" si="3"/>
        <v>45777</v>
      </c>
      <c r="C68">
        <f>IFERROR(VLOOKUP($B68,'V02'!$A$9:$J$1048576,2,1),"")</f>
        <v>81</v>
      </c>
      <c r="D68" s="1">
        <f>IFERROR(VLOOKUP($B68,'V02'!$A$8:$J$29,4,1),"")</f>
        <v>1.7611741366579494</v>
      </c>
      <c r="E68" s="1">
        <f>IFERROR(VLOOKUP($B68,'V02'!$A$8:$J$29,5,1),"")</f>
        <v>20.38464240689477</v>
      </c>
      <c r="F68" s="1">
        <f>IFERROR(VLOOKUP($B68,'V02'!$A$8:$J$29,6,1),"")</f>
        <v>39.008110677131597</v>
      </c>
      <c r="G68" s="1">
        <f>IFERROR(VLOOKUP($B68,'V02'!$A$8:$J$29,7,1),"")</f>
        <v>57.631578947368418</v>
      </c>
      <c r="H68" s="1">
        <f>IFERROR(VLOOKUP($B68,'V02'!$A$8:$J$29,8,1),"")</f>
        <v>76.255047217605238</v>
      </c>
      <c r="I68" s="1">
        <f>IFERROR(VLOOKUP($B68,'V02'!$A$8:$J$29,9,1),"")</f>
        <v>94.878515487842066</v>
      </c>
      <c r="J68" s="1">
        <f>IFERROR(VLOOKUP($B68,'V02'!$A$8:$J$29,10,1),"")</f>
        <v>113.50198375807889</v>
      </c>
      <c r="K68">
        <f>IFERROR(VLOOKUP($B68,'V02'!$A$9:$Q$1048576,3,1),"")</f>
        <v>3.5</v>
      </c>
      <c r="L68">
        <f>IFERROR(VLOOKUP($B68,'V02'!$A$8:$Q$29,11,1),"")</f>
        <v>-6.973007111749407</v>
      </c>
      <c r="M68">
        <f>IFERROR(VLOOKUP($B68,'V02'!$A$8:$Q$29,12,1),"")</f>
        <v>-4.5083205306399545</v>
      </c>
      <c r="N68">
        <f>IFERROR(VLOOKUP($B68,'V02'!$A$8:$Q$29,13,1),"")</f>
        <v>-2.0436339495305038</v>
      </c>
      <c r="O68">
        <f>IFERROR(VLOOKUP($B68,'V02'!$A$8:$Q$29,14,1),"")</f>
        <v>0.42105263157894735</v>
      </c>
      <c r="P68">
        <f>IFERROR(VLOOKUP($B68,'V02'!$A$8:$Q$29,15,1),"")</f>
        <v>2.8857392126883985</v>
      </c>
      <c r="Q68">
        <f>IFERROR(VLOOKUP($B68,'V02'!$A$8:$Q$29,16,1),"")</f>
        <v>5.3504257937978501</v>
      </c>
      <c r="R68">
        <f>IFERROR(VLOOKUP($B68,'V02'!$A$8:$Q$29,17,1),"")</f>
        <v>7.8151123749073008</v>
      </c>
      <c r="Z68" s="17"/>
      <c r="AY68" s="17"/>
    </row>
    <row r="69" spans="1:51" x14ac:dyDescent="0.25">
      <c r="A69" s="17"/>
      <c r="B69" s="2">
        <f t="shared" si="3"/>
        <v>45807</v>
      </c>
      <c r="C69">
        <f>IFERROR(VLOOKUP($B69,'V02'!$A$9:$J$1048576,2,1),"")</f>
        <v>61</v>
      </c>
      <c r="D69" s="1">
        <f>IFERROR(VLOOKUP($B69,'V02'!$A$8:$J$29,4,1),"")</f>
        <v>1.7611741366579494</v>
      </c>
      <c r="E69" s="1">
        <f>IFERROR(VLOOKUP($B69,'V02'!$A$8:$J$29,5,1),"")</f>
        <v>20.38464240689477</v>
      </c>
      <c r="F69" s="1">
        <f>IFERROR(VLOOKUP($B69,'V02'!$A$8:$J$29,6,1),"")</f>
        <v>39.008110677131597</v>
      </c>
      <c r="G69" s="1">
        <f>IFERROR(VLOOKUP($B69,'V02'!$A$8:$J$29,7,1),"")</f>
        <v>57.631578947368418</v>
      </c>
      <c r="H69" s="1">
        <f>IFERROR(VLOOKUP($B69,'V02'!$A$8:$J$29,8,1),"")</f>
        <v>76.255047217605238</v>
      </c>
      <c r="I69" s="1">
        <f>IFERROR(VLOOKUP($B69,'V02'!$A$8:$J$29,9,1),"")</f>
        <v>94.878515487842066</v>
      </c>
      <c r="J69" s="1">
        <f>IFERROR(VLOOKUP($B69,'V02'!$A$8:$J$29,10,1),"")</f>
        <v>113.50198375807889</v>
      </c>
      <c r="K69">
        <f>IFERROR(VLOOKUP($B69,'V02'!$A$9:$Q$1048576,3,1),"")</f>
        <v>-5</v>
      </c>
      <c r="L69">
        <f>IFERROR(VLOOKUP($B69,'V02'!$A$8:$Q$29,11,1),"")</f>
        <v>-6.973007111749407</v>
      </c>
      <c r="M69">
        <f>IFERROR(VLOOKUP($B69,'V02'!$A$8:$Q$29,12,1),"")</f>
        <v>-4.5083205306399545</v>
      </c>
      <c r="N69">
        <f>IFERROR(VLOOKUP($B69,'V02'!$A$8:$Q$29,13,1),"")</f>
        <v>-2.0436339495305038</v>
      </c>
      <c r="O69">
        <f>IFERROR(VLOOKUP($B69,'V02'!$A$8:$Q$29,14,1),"")</f>
        <v>0.42105263157894735</v>
      </c>
      <c r="P69">
        <f>IFERROR(VLOOKUP($B69,'V02'!$A$8:$Q$29,15,1),"")</f>
        <v>2.8857392126883985</v>
      </c>
      <c r="Q69">
        <f>IFERROR(VLOOKUP($B69,'V02'!$A$8:$Q$29,16,1),"")</f>
        <v>5.3504257937978501</v>
      </c>
      <c r="R69">
        <f>IFERROR(VLOOKUP($B69,'V02'!$A$8:$Q$29,17,1),"")</f>
        <v>7.8151123749073008</v>
      </c>
      <c r="Z69" s="17"/>
      <c r="AY69" s="17"/>
    </row>
    <row r="70" spans="1:51" x14ac:dyDescent="0.25">
      <c r="A70" s="17"/>
      <c r="B70" s="2">
        <f t="shared" si="3"/>
        <v>45838</v>
      </c>
      <c r="C70">
        <f>IFERROR(VLOOKUP($B70,'V02'!$A$9:$J$1048576,2,1),"")</f>
        <v>51</v>
      </c>
      <c r="D70" s="1">
        <f>IFERROR(VLOOKUP($B70,'V02'!$A$8:$J$29,4,1),"")</f>
        <v>1.7611741366579494</v>
      </c>
      <c r="E70" s="1">
        <f>IFERROR(VLOOKUP($B70,'V02'!$A$8:$J$29,5,1),"")</f>
        <v>20.38464240689477</v>
      </c>
      <c r="F70" s="1">
        <f>IFERROR(VLOOKUP($B70,'V02'!$A$8:$J$29,6,1),"")</f>
        <v>39.008110677131597</v>
      </c>
      <c r="G70" s="1">
        <f>IFERROR(VLOOKUP($B70,'V02'!$A$8:$J$29,7,1),"")</f>
        <v>57.631578947368418</v>
      </c>
      <c r="H70" s="1">
        <f>IFERROR(VLOOKUP($B70,'V02'!$A$8:$J$29,8,1),"")</f>
        <v>76.255047217605238</v>
      </c>
      <c r="I70" s="1">
        <f>IFERROR(VLOOKUP($B70,'V02'!$A$8:$J$29,9,1),"")</f>
        <v>94.878515487842066</v>
      </c>
      <c r="J70" s="1">
        <f>IFERROR(VLOOKUP($B70,'V02'!$A$8:$J$29,10,1),"")</f>
        <v>113.50198375807889</v>
      </c>
      <c r="K70">
        <f>IFERROR(VLOOKUP($B70,'V02'!$A$9:$Q$1048576,3,1),"")</f>
        <v>-2.5</v>
      </c>
      <c r="L70">
        <f>IFERROR(VLOOKUP($B70,'V02'!$A$8:$Q$29,11,1),"")</f>
        <v>-6.973007111749407</v>
      </c>
      <c r="M70">
        <f>IFERROR(VLOOKUP($B70,'V02'!$A$8:$Q$29,12,1),"")</f>
        <v>-4.5083205306399545</v>
      </c>
      <c r="N70">
        <f>IFERROR(VLOOKUP($B70,'V02'!$A$8:$Q$29,13,1),"")</f>
        <v>-2.0436339495305038</v>
      </c>
      <c r="O70">
        <f>IFERROR(VLOOKUP($B70,'V02'!$A$8:$Q$29,14,1),"")</f>
        <v>0.42105263157894735</v>
      </c>
      <c r="P70">
        <f>IFERROR(VLOOKUP($B70,'V02'!$A$8:$Q$29,15,1),"")</f>
        <v>2.8857392126883985</v>
      </c>
      <c r="Q70">
        <f>IFERROR(VLOOKUP($B70,'V02'!$A$8:$Q$29,16,1),"")</f>
        <v>5.3504257937978501</v>
      </c>
      <c r="R70">
        <f>IFERROR(VLOOKUP($B70,'V02'!$A$8:$Q$29,17,1),"")</f>
        <v>7.8151123749073008</v>
      </c>
      <c r="Z70" s="17"/>
      <c r="AY70" s="17"/>
    </row>
    <row r="71" spans="1:51" x14ac:dyDescent="0.25">
      <c r="A71" s="17"/>
      <c r="B71" s="2">
        <f t="shared" si="3"/>
        <v>45868</v>
      </c>
      <c r="C71">
        <f>IFERROR(VLOOKUP($B71,'V02'!$A$9:$J$1048576,2,1),"")</f>
        <v>49</v>
      </c>
      <c r="D71" s="1">
        <f>IFERROR(VLOOKUP($B71,'V02'!$A$8:$J$29,4,1),"")</f>
        <v>1.7611741366579494</v>
      </c>
      <c r="E71" s="1">
        <f>IFERROR(VLOOKUP($B71,'V02'!$A$8:$J$29,5,1),"")</f>
        <v>20.38464240689477</v>
      </c>
      <c r="F71" s="1">
        <f>IFERROR(VLOOKUP($B71,'V02'!$A$8:$J$29,6,1),"")</f>
        <v>39.008110677131597</v>
      </c>
      <c r="G71" s="1">
        <f>IFERROR(VLOOKUP($B71,'V02'!$A$8:$J$29,7,1),"")</f>
        <v>57.631578947368418</v>
      </c>
      <c r="H71" s="1">
        <f>IFERROR(VLOOKUP($B71,'V02'!$A$8:$J$29,8,1),"")</f>
        <v>76.255047217605238</v>
      </c>
      <c r="I71" s="1">
        <f>IFERROR(VLOOKUP($B71,'V02'!$A$8:$J$29,9,1),"")</f>
        <v>94.878515487842066</v>
      </c>
      <c r="J71" s="1">
        <f>IFERROR(VLOOKUP($B71,'V02'!$A$8:$J$29,10,1),"")</f>
        <v>113.50198375807889</v>
      </c>
      <c r="K71">
        <f>IFERROR(VLOOKUP($B71,'V02'!$A$9:$Q$1048576,3,1),"")</f>
        <v>-0.5</v>
      </c>
      <c r="L71">
        <f>IFERROR(VLOOKUP($B71,'V02'!$A$8:$Q$29,11,1),"")</f>
        <v>-6.973007111749407</v>
      </c>
      <c r="M71">
        <f>IFERROR(VLOOKUP($B71,'V02'!$A$8:$Q$29,12,1),"")</f>
        <v>-4.5083205306399545</v>
      </c>
      <c r="N71">
        <f>IFERROR(VLOOKUP($B71,'V02'!$A$8:$Q$29,13,1),"")</f>
        <v>-2.0436339495305038</v>
      </c>
      <c r="O71">
        <f>IFERROR(VLOOKUP($B71,'V02'!$A$8:$Q$29,14,1),"")</f>
        <v>0.42105263157894735</v>
      </c>
      <c r="P71">
        <f>IFERROR(VLOOKUP($B71,'V02'!$A$8:$Q$29,15,1),"")</f>
        <v>2.8857392126883985</v>
      </c>
      <c r="Q71">
        <f>IFERROR(VLOOKUP($B71,'V02'!$A$8:$Q$29,16,1),"")</f>
        <v>5.3504257937978501</v>
      </c>
      <c r="R71">
        <f>IFERROR(VLOOKUP($B71,'V02'!$A$8:$Q$29,17,1),"")</f>
        <v>7.8151123749073008</v>
      </c>
      <c r="Z71" s="17"/>
      <c r="AY71" s="17"/>
    </row>
    <row r="72" spans="1:51" x14ac:dyDescent="0.25">
      <c r="A72" s="17"/>
      <c r="B72" s="2">
        <f t="shared" si="3"/>
        <v>45899</v>
      </c>
      <c r="C72">
        <f>IFERROR(VLOOKUP($B72,'V02'!$A$9:$J$1048576,2,1),"")</f>
        <v>46</v>
      </c>
      <c r="D72" s="1">
        <f>IFERROR(VLOOKUP($B72,'V02'!$A$8:$J$29,4,1),"")</f>
        <v>1.7611741366579494</v>
      </c>
      <c r="E72" s="1">
        <f>IFERROR(VLOOKUP($B72,'V02'!$A$8:$J$29,5,1),"")</f>
        <v>20.38464240689477</v>
      </c>
      <c r="F72" s="1">
        <f>IFERROR(VLOOKUP($B72,'V02'!$A$8:$J$29,6,1),"")</f>
        <v>39.008110677131597</v>
      </c>
      <c r="G72" s="1">
        <f>IFERROR(VLOOKUP($B72,'V02'!$A$8:$J$29,7,1),"")</f>
        <v>57.631578947368418</v>
      </c>
      <c r="H72" s="1">
        <f>IFERROR(VLOOKUP($B72,'V02'!$A$8:$J$29,8,1),"")</f>
        <v>76.255047217605238</v>
      </c>
      <c r="I72" s="1">
        <f>IFERROR(VLOOKUP($B72,'V02'!$A$8:$J$29,9,1),"")</f>
        <v>94.878515487842066</v>
      </c>
      <c r="J72" s="1">
        <f>IFERROR(VLOOKUP($B72,'V02'!$A$8:$J$29,10,1),"")</f>
        <v>113.50198375807889</v>
      </c>
      <c r="K72">
        <f>IFERROR(VLOOKUP($B72,'V02'!$A$9:$Q$1048576,3,1),"")</f>
        <v>-0.75</v>
      </c>
      <c r="L72">
        <f>IFERROR(VLOOKUP($B72,'V02'!$A$8:$Q$29,11,1),"")</f>
        <v>-6.973007111749407</v>
      </c>
      <c r="M72">
        <f>IFERROR(VLOOKUP($B72,'V02'!$A$8:$Q$29,12,1),"")</f>
        <v>-4.5083205306399545</v>
      </c>
      <c r="N72">
        <f>IFERROR(VLOOKUP($B72,'V02'!$A$8:$Q$29,13,1),"")</f>
        <v>-2.0436339495305038</v>
      </c>
      <c r="O72">
        <f>IFERROR(VLOOKUP($B72,'V02'!$A$8:$Q$29,14,1),"")</f>
        <v>0.42105263157894735</v>
      </c>
      <c r="P72">
        <f>IFERROR(VLOOKUP($B72,'V02'!$A$8:$Q$29,15,1),"")</f>
        <v>2.8857392126883985</v>
      </c>
      <c r="Q72">
        <f>IFERROR(VLOOKUP($B72,'V02'!$A$8:$Q$29,16,1),"")</f>
        <v>5.3504257937978501</v>
      </c>
      <c r="R72">
        <f>IFERROR(VLOOKUP($B72,'V02'!$A$8:$Q$29,17,1),"")</f>
        <v>7.8151123749073008</v>
      </c>
      <c r="Z72" s="17"/>
      <c r="AY72" s="17"/>
    </row>
    <row r="73" spans="1:51" x14ac:dyDescent="0.25">
      <c r="A73" s="17"/>
      <c r="B73" s="2">
        <f>EDATE(B74,-1)</f>
        <v>45930</v>
      </c>
      <c r="C73">
        <f>IFERROR(VLOOKUP($B73,'V02'!$A$9:$J$1048576,2,1),"")</f>
        <v>56</v>
      </c>
      <c r="D73" s="1">
        <f>IFERROR(VLOOKUP($B73,'V02'!$A$8:$J$29,4,1),"")</f>
        <v>1.7611741366579494</v>
      </c>
      <c r="E73" s="1">
        <f>IFERROR(VLOOKUP($B73,'V02'!$A$8:$J$29,5,1),"")</f>
        <v>20.38464240689477</v>
      </c>
      <c r="F73" s="1">
        <f>IFERROR(VLOOKUP($B73,'V02'!$A$8:$J$29,6,1),"")</f>
        <v>39.008110677131597</v>
      </c>
      <c r="G73" s="1">
        <f>IFERROR(VLOOKUP($B73,'V02'!$A$8:$J$29,7,1),"")</f>
        <v>57.631578947368418</v>
      </c>
      <c r="H73" s="1">
        <f>IFERROR(VLOOKUP($B73,'V02'!$A$8:$J$29,8,1),"")</f>
        <v>76.255047217605238</v>
      </c>
      <c r="I73" s="1">
        <f>IFERROR(VLOOKUP($B73,'V02'!$A$8:$J$29,9,1),"")</f>
        <v>94.878515487842066</v>
      </c>
      <c r="J73" s="1">
        <f>IFERROR(VLOOKUP($B73,'V02'!$A$8:$J$29,10,1),"")</f>
        <v>113.50198375807889</v>
      </c>
      <c r="K73">
        <f>IFERROR(VLOOKUP($B73,'V02'!$A$9:$Q$1048576,3,1),"")</f>
        <v>2.5</v>
      </c>
      <c r="L73">
        <f>IFERROR(VLOOKUP($B73,'V02'!$A$8:$Q$29,11,1),"")</f>
        <v>-6.973007111749407</v>
      </c>
      <c r="M73">
        <f>IFERROR(VLOOKUP($B73,'V02'!$A$8:$Q$29,12,1),"")</f>
        <v>-4.5083205306399545</v>
      </c>
      <c r="N73">
        <f>IFERROR(VLOOKUP($B73,'V02'!$A$8:$Q$29,13,1),"")</f>
        <v>-2.0436339495305038</v>
      </c>
      <c r="O73">
        <f>IFERROR(VLOOKUP($B73,'V02'!$A$8:$Q$29,14,1),"")</f>
        <v>0.42105263157894735</v>
      </c>
      <c r="P73">
        <f>IFERROR(VLOOKUP($B73,'V02'!$A$8:$Q$29,15,1),"")</f>
        <v>2.8857392126883985</v>
      </c>
      <c r="Q73">
        <f>IFERROR(VLOOKUP($B73,'V02'!$A$8:$Q$29,16,1),"")</f>
        <v>5.3504257937978501</v>
      </c>
      <c r="R73">
        <f>IFERROR(VLOOKUP($B73,'V02'!$A$8:$Q$29,17,1),"")</f>
        <v>7.8151123749073008</v>
      </c>
      <c r="Z73" s="17"/>
      <c r="AY73" s="17"/>
    </row>
    <row r="74" spans="1:51" x14ac:dyDescent="0.25">
      <c r="A74" s="17"/>
      <c r="B74" s="2">
        <f>$E$39</f>
        <v>45961</v>
      </c>
      <c r="C74">
        <f>IFERROR(VLOOKUP($B74,'V02'!$A$9:$J$1048576,2,1),"")</f>
        <v>64</v>
      </c>
      <c r="D74" s="1">
        <f>IFERROR(VLOOKUP($B74,'V02'!$A$8:$J$29,4,1),"")</f>
        <v>1.7611741366579494</v>
      </c>
      <c r="E74" s="1">
        <f>IFERROR(VLOOKUP($B74,'V02'!$A$8:$J$29,5,1),"")</f>
        <v>20.38464240689477</v>
      </c>
      <c r="F74" s="1">
        <f>IFERROR(VLOOKUP($B74,'V02'!$A$8:$J$29,6,1),"")</f>
        <v>39.008110677131597</v>
      </c>
      <c r="G74" s="1">
        <f>IFERROR(VLOOKUP($B74,'V02'!$A$8:$J$29,7,1),"")</f>
        <v>57.631578947368418</v>
      </c>
      <c r="H74" s="1">
        <f>IFERROR(VLOOKUP($B74,'V02'!$A$8:$J$29,8,1),"")</f>
        <v>76.255047217605238</v>
      </c>
      <c r="I74" s="1">
        <f>IFERROR(VLOOKUP($B74,'V02'!$A$8:$J$29,9,1),"")</f>
        <v>94.878515487842066</v>
      </c>
      <c r="J74" s="1">
        <f>IFERROR(VLOOKUP($B74,'V02'!$A$8:$J$29,10,1),"")</f>
        <v>113.50198375807889</v>
      </c>
      <c r="K74">
        <f>IFERROR(VLOOKUP($B74,'V02'!$A$9:$Q$1048576,3,1),"")</f>
        <v>2</v>
      </c>
      <c r="L74">
        <f>IFERROR(VLOOKUP($B74,'V02'!$A$8:$Q$29,11,1),"")</f>
        <v>-6.973007111749407</v>
      </c>
      <c r="M74">
        <f>IFERROR(VLOOKUP($B74,'V02'!$A$8:$Q$29,12,1),"")</f>
        <v>-4.5083205306399545</v>
      </c>
      <c r="N74">
        <f>IFERROR(VLOOKUP($B74,'V02'!$A$8:$Q$29,13,1),"")</f>
        <v>-2.0436339495305038</v>
      </c>
      <c r="O74">
        <f>IFERROR(VLOOKUP($B74,'V02'!$A$8:$Q$29,14,1),"")</f>
        <v>0.42105263157894735</v>
      </c>
      <c r="P74">
        <f>IFERROR(VLOOKUP($B74,'V02'!$A$8:$Q$29,15,1),"")</f>
        <v>2.8857392126883985</v>
      </c>
      <c r="Q74">
        <f>IFERROR(VLOOKUP($B74,'V02'!$A$8:$Q$29,16,1),"")</f>
        <v>5.3504257937978501</v>
      </c>
      <c r="R74">
        <f>IFERROR(VLOOKUP($B74,'V02'!$A$8:$Q$29,17,1),"")</f>
        <v>7.8151123749073008</v>
      </c>
      <c r="Z74" s="17"/>
      <c r="AY74" s="17"/>
    </row>
    <row r="75" spans="1:5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</row>
    <row r="76" spans="1:51" ht="50.1" customHeight="1" x14ac:dyDescent="0.25">
      <c r="A76" s="17"/>
      <c r="B76" s="39" t="s">
        <v>64</v>
      </c>
      <c r="C76" s="39"/>
      <c r="D76" s="39"/>
      <c r="E76" s="40">
        <v>45954</v>
      </c>
      <c r="F76" s="40"/>
      <c r="G76" s="40"/>
      <c r="H76" s="40"/>
      <c r="I76" s="40"/>
      <c r="J76" s="40"/>
      <c r="K76" s="40"/>
      <c r="L76" s="40"/>
      <c r="M76" s="40"/>
      <c r="N76" s="30" t="s">
        <v>72</v>
      </c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2"/>
      <c r="AY76" s="17"/>
    </row>
    <row r="77" spans="1:51" ht="50.1" customHeight="1" x14ac:dyDescent="0.25">
      <c r="A77" s="17"/>
      <c r="B77" s="39" t="s">
        <v>37</v>
      </c>
      <c r="C77" s="39"/>
      <c r="D77" s="39"/>
      <c r="E77" s="41">
        <f>'V03'!B1</f>
        <v>1.4210526315789473</v>
      </c>
      <c r="F77" s="41"/>
      <c r="G77" s="41"/>
      <c r="H77" s="39" t="s">
        <v>25</v>
      </c>
      <c r="I77" s="39"/>
      <c r="J77" s="39"/>
      <c r="K77" s="42"/>
      <c r="L77" s="42"/>
      <c r="M77" s="42"/>
      <c r="N77" s="33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5"/>
      <c r="AY77" s="17"/>
    </row>
    <row r="78" spans="1:51" ht="50.1" customHeight="1" x14ac:dyDescent="0.25">
      <c r="A78" s="17"/>
      <c r="B78" s="39" t="s">
        <v>66</v>
      </c>
      <c r="C78" s="39"/>
      <c r="D78" s="39"/>
      <c r="E78" s="41">
        <f>'V03'!B2*3</f>
        <v>3.0903879798962683</v>
      </c>
      <c r="F78" s="41"/>
      <c r="G78" s="41"/>
      <c r="H78" s="39" t="s">
        <v>26</v>
      </c>
      <c r="I78" s="39"/>
      <c r="J78" s="39"/>
      <c r="K78" s="42"/>
      <c r="L78" s="42"/>
      <c r="M78" s="42"/>
      <c r="N78" s="36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8"/>
      <c r="AY78" s="17"/>
    </row>
    <row r="79" spans="1:5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</row>
    <row r="80" spans="1:51" x14ac:dyDescent="0.25">
      <c r="A80" s="17"/>
      <c r="B80" t="s">
        <v>67</v>
      </c>
      <c r="K80" t="s">
        <v>68</v>
      </c>
      <c r="Z80" s="17"/>
      <c r="AY80" s="17"/>
    </row>
    <row r="81" spans="1:51" x14ac:dyDescent="0.25">
      <c r="A81" s="17"/>
      <c r="B81" s="6" t="s">
        <v>69</v>
      </c>
      <c r="C81" s="6" t="s">
        <v>70</v>
      </c>
      <c r="D81" s="6" t="s">
        <v>34</v>
      </c>
      <c r="E81" s="6" t="s">
        <v>35</v>
      </c>
      <c r="F81" s="6" t="s">
        <v>36</v>
      </c>
      <c r="G81" s="6" t="s">
        <v>37</v>
      </c>
      <c r="H81" s="6" t="s">
        <v>38</v>
      </c>
      <c r="I81" s="6" t="s">
        <v>39</v>
      </c>
      <c r="J81" s="6" t="s">
        <v>40</v>
      </c>
      <c r="K81" s="6" t="s">
        <v>70</v>
      </c>
      <c r="L81" t="s">
        <v>34</v>
      </c>
      <c r="M81" t="s">
        <v>35</v>
      </c>
      <c r="N81" t="s">
        <v>36</v>
      </c>
      <c r="O81" t="s">
        <v>37</v>
      </c>
      <c r="P81" t="s">
        <v>38</v>
      </c>
      <c r="Q81" t="s">
        <v>39</v>
      </c>
      <c r="R81" t="s">
        <v>40</v>
      </c>
      <c r="Z81" s="17"/>
      <c r="AY81" s="17"/>
    </row>
    <row r="82" spans="1:51" x14ac:dyDescent="0.25">
      <c r="A82" s="17"/>
      <c r="B82" s="2">
        <f t="shared" ref="B82:B109" si="4">EDATE(B83,-1)</f>
        <v>45070</v>
      </c>
      <c r="C82">
        <f>IFERROR(VLOOKUP($B82,'V01'!$A$9:$J$1048576,2,1),"")</f>
        <v>2</v>
      </c>
      <c r="D82" s="1">
        <f>IFERROR(VLOOKUP($B82,'V01'!$A$8:$J$29,4,1),"")</f>
        <v>-3.4730071117494075</v>
      </c>
      <c r="E82" s="1">
        <f>IFERROR(VLOOKUP($B82,'V01'!$A$8:$J$29,5,1),"")</f>
        <v>-1.0083205306399559</v>
      </c>
      <c r="F82" s="1">
        <f>IFERROR(VLOOKUP($B82,'V01'!$A$8:$J$29,6,1),"")</f>
        <v>1.4563660504694957</v>
      </c>
      <c r="G82" s="1">
        <f>IFERROR(VLOOKUP($B82,'V01'!$A$8:$J$29,7,1),"")</f>
        <v>3.9210526315789473</v>
      </c>
      <c r="H82" s="1">
        <f>IFERROR(VLOOKUP($B82,'V01'!$A$8:$J$29,8,1),"")</f>
        <v>6.3857392126883994</v>
      </c>
      <c r="I82" s="1">
        <f>IFERROR(VLOOKUP($B82,'V01'!$A$8:$J$29,9,1),"")</f>
        <v>8.8504257937978501</v>
      </c>
      <c r="J82" s="1">
        <f>IFERROR(VLOOKUP($B82,'V01'!$A$8:$J$29,10,1),"")</f>
        <v>11.315112374907303</v>
      </c>
      <c r="K82">
        <f>IFERROR(VLOOKUP($B82,'V01'!$A$9:$Q$1048576,3,1),"")</f>
        <v>0</v>
      </c>
      <c r="L82">
        <f>IFERROR(VLOOKUP($B82,'V01'!$A$8:$Q$29,11,1),"")</f>
        <v>-0.99807083441216138</v>
      </c>
      <c r="M82">
        <f>IFERROR(VLOOKUP($B82,'V01'!$A$8:$Q$29,12,1),"")</f>
        <v>-0.65002967908179188</v>
      </c>
      <c r="N82">
        <f>IFERROR(VLOOKUP($B82,'V01'!$A$8:$Q$29,13,1),"")</f>
        <v>-0.30198852375142227</v>
      </c>
      <c r="O82">
        <f>IFERROR(VLOOKUP($B82,'V01'!$A$8:$Q$29,14,1),"")</f>
        <v>4.6052631578947366E-2</v>
      </c>
      <c r="P82">
        <f>IFERROR(VLOOKUP($B82,'V01'!$A$8:$Q$29,15,1),"")</f>
        <v>0.39409378690931696</v>
      </c>
      <c r="Q82">
        <f>IFERROR(VLOOKUP($B82,'V01'!$A$8:$Q$29,16,1),"")</f>
        <v>0.74213494223968657</v>
      </c>
      <c r="R82">
        <f>IFERROR(VLOOKUP($B82,'V01'!$A$8:$Q$29,17,1),"")</f>
        <v>1.0901760975700561</v>
      </c>
      <c r="Z82" s="17"/>
      <c r="AY82" s="17"/>
    </row>
    <row r="83" spans="1:51" x14ac:dyDescent="0.25">
      <c r="A83" s="17"/>
      <c r="B83" s="2">
        <f t="shared" si="4"/>
        <v>45101</v>
      </c>
      <c r="C83">
        <f>IFERROR(VLOOKUP($B83,'V01'!$A$9:$J$1048576,2,1),"")</f>
        <v>1</v>
      </c>
      <c r="D83" s="1">
        <f>IFERROR(VLOOKUP($B83,'V01'!$A$8:$J$29,4,1),"")</f>
        <v>-3.4730071117494075</v>
      </c>
      <c r="E83" s="1">
        <f>IFERROR(VLOOKUP($B83,'V01'!$A$8:$J$29,5,1),"")</f>
        <v>-1.0083205306399559</v>
      </c>
      <c r="F83" s="1">
        <f>IFERROR(VLOOKUP($B83,'V01'!$A$8:$J$29,6,1),"")</f>
        <v>1.4563660504694957</v>
      </c>
      <c r="G83" s="1">
        <f>IFERROR(VLOOKUP($B83,'V01'!$A$8:$J$29,7,1),"")</f>
        <v>3.9210526315789473</v>
      </c>
      <c r="H83" s="1">
        <f>IFERROR(VLOOKUP($B83,'V01'!$A$8:$J$29,8,1),"")</f>
        <v>6.3857392126883994</v>
      </c>
      <c r="I83" s="1">
        <f>IFERROR(VLOOKUP($B83,'V01'!$A$8:$J$29,9,1),"")</f>
        <v>8.8504257937978501</v>
      </c>
      <c r="J83" s="1">
        <f>IFERROR(VLOOKUP($B83,'V01'!$A$8:$J$29,10,1),"")</f>
        <v>11.315112374907303</v>
      </c>
      <c r="K83">
        <f>IFERROR(VLOOKUP($B83,'V01'!$A$9:$Q$1048576,3,1),"")</f>
        <v>-0.25</v>
      </c>
      <c r="L83">
        <f>IFERROR(VLOOKUP($B83,'V01'!$A$8:$Q$29,11,1),"")</f>
        <v>-0.99807083441216138</v>
      </c>
      <c r="M83">
        <f>IFERROR(VLOOKUP($B83,'V01'!$A$8:$Q$29,12,1),"")</f>
        <v>-0.65002967908179188</v>
      </c>
      <c r="N83">
        <f>IFERROR(VLOOKUP($B83,'V01'!$A$8:$Q$29,13,1),"")</f>
        <v>-0.30198852375142227</v>
      </c>
      <c r="O83">
        <f>IFERROR(VLOOKUP($B83,'V01'!$A$8:$Q$29,14,1),"")</f>
        <v>4.6052631578947366E-2</v>
      </c>
      <c r="P83">
        <f>IFERROR(VLOOKUP($B83,'V01'!$A$8:$Q$29,15,1),"")</f>
        <v>0.39409378690931696</v>
      </c>
      <c r="Q83">
        <f>IFERROR(VLOOKUP($B83,'V01'!$A$8:$Q$29,16,1),"")</f>
        <v>0.74213494223968657</v>
      </c>
      <c r="R83">
        <f>IFERROR(VLOOKUP($B83,'V01'!$A$8:$Q$29,17,1),"")</f>
        <v>1.0901760975700561</v>
      </c>
      <c r="Z83" s="17"/>
      <c r="AY83" s="17"/>
    </row>
    <row r="84" spans="1:51" x14ac:dyDescent="0.25">
      <c r="A84" s="17"/>
      <c r="B84" s="2">
        <f t="shared" si="4"/>
        <v>45131</v>
      </c>
      <c r="C84">
        <f>IFERROR(VLOOKUP($B84,'V03'!$A$9:$J$1048576,2,1),"")</f>
        <v>3</v>
      </c>
      <c r="D84" s="1">
        <f>IFERROR(VLOOKUP($B84,'V03'!$A$8:$J$29,4,1),"")</f>
        <v>-1.669335348317321</v>
      </c>
      <c r="E84" s="1">
        <f>IFERROR(VLOOKUP($B84,'V03'!$A$8:$J$29,5,1),"")</f>
        <v>-0.63920602168523155</v>
      </c>
      <c r="F84" s="1">
        <f>IFERROR(VLOOKUP($B84,'V03'!$A$8:$J$29,6,1),"")</f>
        <v>0.3909233049468579</v>
      </c>
      <c r="G84" s="1">
        <f>IFERROR(VLOOKUP($B84,'V03'!$A$8:$J$29,7,1),"")</f>
        <v>1.4210526315789473</v>
      </c>
      <c r="H84" s="1">
        <f>IFERROR(VLOOKUP($B84,'V03'!$A$8:$J$29,8,1),"")</f>
        <v>2.4511819582110368</v>
      </c>
      <c r="I84" s="1">
        <f>IFERROR(VLOOKUP($B84,'V03'!$A$8:$J$29,9,1),"")</f>
        <v>3.4813112848431262</v>
      </c>
      <c r="J84" s="1">
        <f>IFERROR(VLOOKUP($B84,'V03'!$A$8:$J$29,10,1),"")</f>
        <v>4.5114406114752157</v>
      </c>
      <c r="K84">
        <f>IFERROR(VLOOKUP($B84,'V03'!$A$9:$Q$1048576,3,1),"")</f>
        <v>0.25</v>
      </c>
      <c r="L84">
        <f>IFERROR(VLOOKUP($B84,'V03'!$A$8:$Q$29,11,1),"")</f>
        <v>-0.61427336506398167</v>
      </c>
      <c r="M84">
        <f>IFERROR(VLOOKUP($B84,'V03'!$A$8:$Q$29,12,1),"")</f>
        <v>-0.40512961179704049</v>
      </c>
      <c r="N84">
        <f>IFERROR(VLOOKUP($B84,'V03'!$A$8:$Q$29,13,1),"")</f>
        <v>-0.1959858585300992</v>
      </c>
      <c r="O84">
        <f>IFERROR(VLOOKUP($B84,'V03'!$A$8:$Q$29,14,1),"")</f>
        <v>1.3157894736842105E-2</v>
      </c>
      <c r="P84">
        <f>IFERROR(VLOOKUP($B84,'V03'!$A$8:$Q$29,15,1),"")</f>
        <v>0.22230164800378338</v>
      </c>
      <c r="Q84">
        <f>IFERROR(VLOOKUP($B84,'V03'!$A$8:$Q$29,16,1),"")</f>
        <v>0.43144540127072467</v>
      </c>
      <c r="R84">
        <f>IFERROR(VLOOKUP($B84,'V03'!$A$8:$Q$29,17,1),"")</f>
        <v>0.64058915453766596</v>
      </c>
      <c r="Z84" s="17"/>
      <c r="AY84" s="17"/>
    </row>
    <row r="85" spans="1:51" x14ac:dyDescent="0.25">
      <c r="A85" s="17"/>
      <c r="B85" s="2">
        <f t="shared" si="4"/>
        <v>45162</v>
      </c>
      <c r="C85">
        <f>IFERROR(VLOOKUP($B85,'V03'!$A$9:$J$1048576,2,1),"")</f>
        <v>3</v>
      </c>
      <c r="D85" s="1">
        <f>IFERROR(VLOOKUP($B85,'V03'!$A$8:$J$29,4,1),"")</f>
        <v>-1.669335348317321</v>
      </c>
      <c r="E85" s="1">
        <f>IFERROR(VLOOKUP($B85,'V03'!$A$8:$J$29,5,1),"")</f>
        <v>-0.63920602168523155</v>
      </c>
      <c r="F85" s="1">
        <f>IFERROR(VLOOKUP($B85,'V03'!$A$8:$J$29,6,1),"")</f>
        <v>0.3909233049468579</v>
      </c>
      <c r="G85" s="1">
        <f>IFERROR(VLOOKUP($B85,'V03'!$A$8:$J$29,7,1),"")</f>
        <v>1.4210526315789473</v>
      </c>
      <c r="H85" s="1">
        <f>IFERROR(VLOOKUP($B85,'V03'!$A$8:$J$29,8,1),"")</f>
        <v>2.4511819582110368</v>
      </c>
      <c r="I85" s="1">
        <f>IFERROR(VLOOKUP($B85,'V03'!$A$8:$J$29,9,1),"")</f>
        <v>3.4813112848431262</v>
      </c>
      <c r="J85" s="1">
        <f>IFERROR(VLOOKUP($B85,'V03'!$A$8:$J$29,10,1),"")</f>
        <v>4.5114406114752157</v>
      </c>
      <c r="K85">
        <f>IFERROR(VLOOKUP($B85,'V03'!$A$9:$Q$1048576,3,1),"")</f>
        <v>0</v>
      </c>
      <c r="L85">
        <f>IFERROR(VLOOKUP($B85,'V03'!$A$8:$Q$29,11,1),"")</f>
        <v>-0.61427336506398167</v>
      </c>
      <c r="M85">
        <f>IFERROR(VLOOKUP($B85,'V03'!$A$8:$Q$29,12,1),"")</f>
        <v>-0.40512961179704049</v>
      </c>
      <c r="N85">
        <f>IFERROR(VLOOKUP($B85,'V03'!$A$8:$Q$29,13,1),"")</f>
        <v>-0.1959858585300992</v>
      </c>
      <c r="O85">
        <f>IFERROR(VLOOKUP($B85,'V03'!$A$8:$Q$29,14,1),"")</f>
        <v>1.3157894736842105E-2</v>
      </c>
      <c r="P85">
        <f>IFERROR(VLOOKUP($B85,'V03'!$A$8:$Q$29,15,1),"")</f>
        <v>0.22230164800378338</v>
      </c>
      <c r="Q85">
        <f>IFERROR(VLOOKUP($B85,'V03'!$A$8:$Q$29,16,1),"")</f>
        <v>0.43144540127072467</v>
      </c>
      <c r="R85">
        <f>IFERROR(VLOOKUP($B85,'V03'!$A$8:$Q$29,17,1),"")</f>
        <v>0.64058915453766596</v>
      </c>
      <c r="Z85" s="17"/>
      <c r="AY85" s="17"/>
    </row>
    <row r="86" spans="1:51" x14ac:dyDescent="0.25">
      <c r="A86" s="17"/>
      <c r="B86" s="2">
        <f t="shared" si="4"/>
        <v>45193</v>
      </c>
      <c r="C86">
        <f>IFERROR(VLOOKUP($B86,'V03'!$A$9:$J$1048576,2,1),"")</f>
        <v>4</v>
      </c>
      <c r="D86" s="1">
        <f>IFERROR(VLOOKUP($B86,'V03'!$A$8:$J$29,4,1),"")</f>
        <v>-1.669335348317321</v>
      </c>
      <c r="E86" s="1">
        <f>IFERROR(VLOOKUP($B86,'V03'!$A$8:$J$29,5,1),"")</f>
        <v>-0.63920602168523155</v>
      </c>
      <c r="F86" s="1">
        <f>IFERROR(VLOOKUP($B86,'V03'!$A$8:$J$29,6,1),"")</f>
        <v>0.3909233049468579</v>
      </c>
      <c r="G86" s="1">
        <f>IFERROR(VLOOKUP($B86,'V03'!$A$8:$J$29,7,1),"")</f>
        <v>1.4210526315789473</v>
      </c>
      <c r="H86" s="1">
        <f>IFERROR(VLOOKUP($B86,'V03'!$A$8:$J$29,8,1),"")</f>
        <v>2.4511819582110368</v>
      </c>
      <c r="I86" s="1">
        <f>IFERROR(VLOOKUP($B86,'V03'!$A$8:$J$29,9,1),"")</f>
        <v>3.4813112848431262</v>
      </c>
      <c r="J86" s="1">
        <f>IFERROR(VLOOKUP($B86,'V03'!$A$8:$J$29,10,1),"")</f>
        <v>4.5114406114752157</v>
      </c>
      <c r="K86">
        <f>IFERROR(VLOOKUP($B86,'V03'!$A$9:$Q$1048576,3,1),"")</f>
        <v>0.25</v>
      </c>
      <c r="L86">
        <f>IFERROR(VLOOKUP($B86,'V03'!$A$8:$Q$29,11,1),"")</f>
        <v>-0.61427336506398167</v>
      </c>
      <c r="M86">
        <f>IFERROR(VLOOKUP($B86,'V03'!$A$8:$Q$29,12,1),"")</f>
        <v>-0.40512961179704049</v>
      </c>
      <c r="N86">
        <f>IFERROR(VLOOKUP($B86,'V03'!$A$8:$Q$29,13,1),"")</f>
        <v>-0.1959858585300992</v>
      </c>
      <c r="O86">
        <f>IFERROR(VLOOKUP($B86,'V03'!$A$8:$Q$29,14,1),"")</f>
        <v>1.3157894736842105E-2</v>
      </c>
      <c r="P86">
        <f>IFERROR(VLOOKUP($B86,'V03'!$A$8:$Q$29,15,1),"")</f>
        <v>0.22230164800378338</v>
      </c>
      <c r="Q86">
        <f>IFERROR(VLOOKUP($B86,'V03'!$A$8:$Q$29,16,1),"")</f>
        <v>0.43144540127072467</v>
      </c>
      <c r="R86">
        <f>IFERROR(VLOOKUP($B86,'V03'!$A$8:$Q$29,17,1),"")</f>
        <v>0.64058915453766596</v>
      </c>
      <c r="Z86" s="17"/>
      <c r="AY86" s="17"/>
    </row>
    <row r="87" spans="1:51" x14ac:dyDescent="0.25">
      <c r="A87" s="17"/>
      <c r="B87" s="2">
        <f t="shared" si="4"/>
        <v>45223</v>
      </c>
      <c r="C87">
        <f>IFERROR(VLOOKUP($B87,'V03'!$A$9:$J$1048576,2,1),"")</f>
        <v>3</v>
      </c>
      <c r="D87" s="1">
        <f>IFERROR(VLOOKUP($B87,'V03'!$A$8:$J$29,4,1),"")</f>
        <v>-1.669335348317321</v>
      </c>
      <c r="E87" s="1">
        <f>IFERROR(VLOOKUP($B87,'V03'!$A$8:$J$29,5,1),"")</f>
        <v>-0.63920602168523155</v>
      </c>
      <c r="F87" s="1">
        <f>IFERROR(VLOOKUP($B87,'V03'!$A$8:$J$29,6,1),"")</f>
        <v>0.3909233049468579</v>
      </c>
      <c r="G87" s="1">
        <f>IFERROR(VLOOKUP($B87,'V03'!$A$8:$J$29,7,1),"")</f>
        <v>1.4210526315789473</v>
      </c>
      <c r="H87" s="1">
        <f>IFERROR(VLOOKUP($B87,'V03'!$A$8:$J$29,8,1),"")</f>
        <v>2.4511819582110368</v>
      </c>
      <c r="I87" s="1">
        <f>IFERROR(VLOOKUP($B87,'V03'!$A$8:$J$29,9,1),"")</f>
        <v>3.4813112848431262</v>
      </c>
      <c r="J87" s="1">
        <f>IFERROR(VLOOKUP($B87,'V03'!$A$8:$J$29,10,1),"")</f>
        <v>4.5114406114752157</v>
      </c>
      <c r="K87">
        <f>IFERROR(VLOOKUP($B87,'V03'!$A$9:$Q$1048576,3,1),"")</f>
        <v>-0.25</v>
      </c>
      <c r="L87">
        <f>IFERROR(VLOOKUP($B87,'V03'!$A$8:$Q$29,11,1),"")</f>
        <v>-0.61427336506398167</v>
      </c>
      <c r="M87">
        <f>IFERROR(VLOOKUP($B87,'V03'!$A$8:$Q$29,12,1),"")</f>
        <v>-0.40512961179704049</v>
      </c>
      <c r="N87">
        <f>IFERROR(VLOOKUP($B87,'V03'!$A$8:$Q$29,13,1),"")</f>
        <v>-0.1959858585300992</v>
      </c>
      <c r="O87">
        <f>IFERROR(VLOOKUP($B87,'V03'!$A$8:$Q$29,14,1),"")</f>
        <v>1.3157894736842105E-2</v>
      </c>
      <c r="P87">
        <f>IFERROR(VLOOKUP($B87,'V03'!$A$8:$Q$29,15,1),"")</f>
        <v>0.22230164800378338</v>
      </c>
      <c r="Q87">
        <f>IFERROR(VLOOKUP($B87,'V03'!$A$8:$Q$29,16,1),"")</f>
        <v>0.43144540127072467</v>
      </c>
      <c r="R87">
        <f>IFERROR(VLOOKUP($B87,'V03'!$A$8:$Q$29,17,1),"")</f>
        <v>0.64058915453766596</v>
      </c>
      <c r="Z87" s="17"/>
      <c r="AY87" s="17"/>
    </row>
    <row r="88" spans="1:51" x14ac:dyDescent="0.25">
      <c r="A88" s="17"/>
      <c r="B88" s="2">
        <f t="shared" si="4"/>
        <v>45254</v>
      </c>
      <c r="C88">
        <f>IFERROR(VLOOKUP($B88,'V03'!$A$9:$J$1048576,2,1),"")</f>
        <v>2</v>
      </c>
      <c r="D88" s="1">
        <f>IFERROR(VLOOKUP($B88,'V03'!$A$8:$J$29,4,1),"")</f>
        <v>-1.669335348317321</v>
      </c>
      <c r="E88" s="1">
        <f>IFERROR(VLOOKUP($B88,'V03'!$A$8:$J$29,5,1),"")</f>
        <v>-0.63920602168523155</v>
      </c>
      <c r="F88" s="1">
        <f>IFERROR(VLOOKUP($B88,'V03'!$A$8:$J$29,6,1),"")</f>
        <v>0.3909233049468579</v>
      </c>
      <c r="G88" s="1">
        <f>IFERROR(VLOOKUP($B88,'V03'!$A$8:$J$29,7,1),"")</f>
        <v>1.4210526315789473</v>
      </c>
      <c r="H88" s="1">
        <f>IFERROR(VLOOKUP($B88,'V03'!$A$8:$J$29,8,1),"")</f>
        <v>2.4511819582110368</v>
      </c>
      <c r="I88" s="1">
        <f>IFERROR(VLOOKUP($B88,'V03'!$A$8:$J$29,9,1),"")</f>
        <v>3.4813112848431262</v>
      </c>
      <c r="J88" s="1">
        <f>IFERROR(VLOOKUP($B88,'V03'!$A$8:$J$29,10,1),"")</f>
        <v>4.5114406114752157</v>
      </c>
      <c r="K88">
        <f>IFERROR(VLOOKUP($B88,'V03'!$A$9:$Q$1048576,3,1),"")</f>
        <v>-0.25</v>
      </c>
      <c r="L88">
        <f>IFERROR(VLOOKUP($B88,'V03'!$A$8:$Q$29,11,1),"")</f>
        <v>-0.61427336506398167</v>
      </c>
      <c r="M88">
        <f>IFERROR(VLOOKUP($B88,'V03'!$A$8:$Q$29,12,1),"")</f>
        <v>-0.40512961179704049</v>
      </c>
      <c r="N88">
        <f>IFERROR(VLOOKUP($B88,'V03'!$A$8:$Q$29,13,1),"")</f>
        <v>-0.1959858585300992</v>
      </c>
      <c r="O88">
        <f>IFERROR(VLOOKUP($B88,'V03'!$A$8:$Q$29,14,1),"")</f>
        <v>1.3157894736842105E-2</v>
      </c>
      <c r="P88">
        <f>IFERROR(VLOOKUP($B88,'V03'!$A$8:$Q$29,15,1),"")</f>
        <v>0.22230164800378338</v>
      </c>
      <c r="Q88">
        <f>IFERROR(VLOOKUP($B88,'V03'!$A$8:$Q$29,16,1),"")</f>
        <v>0.43144540127072467</v>
      </c>
      <c r="R88">
        <f>IFERROR(VLOOKUP($B88,'V03'!$A$8:$Q$29,17,1),"")</f>
        <v>0.64058915453766596</v>
      </c>
      <c r="Z88" s="17"/>
      <c r="AY88" s="17"/>
    </row>
    <row r="89" spans="1:51" x14ac:dyDescent="0.25">
      <c r="A89" s="17"/>
      <c r="B89" s="2">
        <f t="shared" si="4"/>
        <v>45284</v>
      </c>
      <c r="C89">
        <f>IFERROR(VLOOKUP($B89,'V03'!$A$9:$J$1048576,2,1),"")</f>
        <v>2</v>
      </c>
      <c r="D89" s="1">
        <f>IFERROR(VLOOKUP($B89,'V03'!$A$8:$J$29,4,1),"")</f>
        <v>-1.669335348317321</v>
      </c>
      <c r="E89" s="1">
        <f>IFERROR(VLOOKUP($B89,'V03'!$A$8:$J$29,5,1),"")</f>
        <v>-0.63920602168523155</v>
      </c>
      <c r="F89" s="1">
        <f>IFERROR(VLOOKUP($B89,'V03'!$A$8:$J$29,6,1),"")</f>
        <v>0.3909233049468579</v>
      </c>
      <c r="G89" s="1">
        <f>IFERROR(VLOOKUP($B89,'V03'!$A$8:$J$29,7,1),"")</f>
        <v>1.4210526315789473</v>
      </c>
      <c r="H89" s="1">
        <f>IFERROR(VLOOKUP($B89,'V03'!$A$8:$J$29,8,1),"")</f>
        <v>2.4511819582110368</v>
      </c>
      <c r="I89" s="1">
        <f>IFERROR(VLOOKUP($B89,'V03'!$A$8:$J$29,9,1),"")</f>
        <v>3.4813112848431262</v>
      </c>
      <c r="J89" s="1">
        <f>IFERROR(VLOOKUP($B89,'V03'!$A$8:$J$29,10,1),"")</f>
        <v>4.5114406114752157</v>
      </c>
      <c r="K89">
        <f>IFERROR(VLOOKUP($B89,'V03'!$A$9:$Q$1048576,3,1),"")</f>
        <v>0</v>
      </c>
      <c r="L89">
        <f>IFERROR(VLOOKUP($B89,'V03'!$A$8:$Q$29,11,1),"")</f>
        <v>-0.61427336506398167</v>
      </c>
      <c r="M89">
        <f>IFERROR(VLOOKUP($B89,'V03'!$A$8:$Q$29,12,1),"")</f>
        <v>-0.40512961179704049</v>
      </c>
      <c r="N89">
        <f>IFERROR(VLOOKUP($B89,'V03'!$A$8:$Q$29,13,1),"")</f>
        <v>-0.1959858585300992</v>
      </c>
      <c r="O89">
        <f>IFERROR(VLOOKUP($B89,'V03'!$A$8:$Q$29,14,1),"")</f>
        <v>1.3157894736842105E-2</v>
      </c>
      <c r="P89">
        <f>IFERROR(VLOOKUP($B89,'V03'!$A$8:$Q$29,15,1),"")</f>
        <v>0.22230164800378338</v>
      </c>
      <c r="Q89">
        <f>IFERROR(VLOOKUP($B89,'V03'!$A$8:$Q$29,16,1),"")</f>
        <v>0.43144540127072467</v>
      </c>
      <c r="R89">
        <f>IFERROR(VLOOKUP($B89,'V03'!$A$8:$Q$29,17,1),"")</f>
        <v>0.64058915453766596</v>
      </c>
      <c r="Z89" s="17"/>
      <c r="AY89" s="17"/>
    </row>
    <row r="90" spans="1:51" x14ac:dyDescent="0.25">
      <c r="A90" s="17"/>
      <c r="B90" s="2">
        <f t="shared" si="4"/>
        <v>45315</v>
      </c>
      <c r="C90">
        <f>IFERROR(VLOOKUP($B90,'V03'!$A$9:$J$1048576,2,1),"")</f>
        <v>1</v>
      </c>
      <c r="D90" s="1">
        <f>IFERROR(VLOOKUP($B90,'V03'!$A$8:$J$29,4,1),"")</f>
        <v>-1.669335348317321</v>
      </c>
      <c r="E90" s="1">
        <f>IFERROR(VLOOKUP($B90,'V03'!$A$8:$J$29,5,1),"")</f>
        <v>-0.63920602168523155</v>
      </c>
      <c r="F90" s="1">
        <f>IFERROR(VLOOKUP($B90,'V03'!$A$8:$J$29,6,1),"")</f>
        <v>0.3909233049468579</v>
      </c>
      <c r="G90" s="1">
        <f>IFERROR(VLOOKUP($B90,'V03'!$A$8:$J$29,7,1),"")</f>
        <v>1.4210526315789473</v>
      </c>
      <c r="H90" s="1">
        <f>IFERROR(VLOOKUP($B90,'V03'!$A$8:$J$29,8,1),"")</f>
        <v>2.4511819582110368</v>
      </c>
      <c r="I90" s="1">
        <f>IFERROR(VLOOKUP($B90,'V03'!$A$8:$J$29,9,1),"")</f>
        <v>3.4813112848431262</v>
      </c>
      <c r="J90" s="1">
        <f>IFERROR(VLOOKUP($B90,'V03'!$A$8:$J$29,10,1),"")</f>
        <v>4.5114406114752157</v>
      </c>
      <c r="K90">
        <f>IFERROR(VLOOKUP($B90,'V03'!$A$9:$Q$1048576,3,1),"")</f>
        <v>-0.25</v>
      </c>
      <c r="L90">
        <f>IFERROR(VLOOKUP($B90,'V03'!$A$8:$Q$29,11,1),"")</f>
        <v>-0.61427336506398167</v>
      </c>
      <c r="M90">
        <f>IFERROR(VLOOKUP($B90,'V03'!$A$8:$Q$29,12,1),"")</f>
        <v>-0.40512961179704049</v>
      </c>
      <c r="N90">
        <f>IFERROR(VLOOKUP($B90,'V03'!$A$8:$Q$29,13,1),"")</f>
        <v>-0.1959858585300992</v>
      </c>
      <c r="O90">
        <f>IFERROR(VLOOKUP($B90,'V03'!$A$8:$Q$29,14,1),"")</f>
        <v>1.3157894736842105E-2</v>
      </c>
      <c r="P90">
        <f>IFERROR(VLOOKUP($B90,'V03'!$A$8:$Q$29,15,1),"")</f>
        <v>0.22230164800378338</v>
      </c>
      <c r="Q90">
        <f>IFERROR(VLOOKUP($B90,'V03'!$A$8:$Q$29,16,1),"")</f>
        <v>0.43144540127072467</v>
      </c>
      <c r="R90">
        <f>IFERROR(VLOOKUP($B90,'V03'!$A$8:$Q$29,17,1),"")</f>
        <v>0.64058915453766596</v>
      </c>
      <c r="Z90" s="17"/>
      <c r="AY90" s="17"/>
    </row>
    <row r="91" spans="1:51" x14ac:dyDescent="0.25">
      <c r="A91" s="17"/>
      <c r="B91" s="2">
        <f t="shared" si="4"/>
        <v>45346</v>
      </c>
      <c r="C91">
        <f>IFERROR(VLOOKUP($B91,'V03'!$A$9:$J$1048576,2,1),"")</f>
        <v>0</v>
      </c>
      <c r="D91" s="1">
        <f>IFERROR(VLOOKUP($B91,'V03'!$A$8:$J$29,4,1),"")</f>
        <v>-1.669335348317321</v>
      </c>
      <c r="E91" s="1">
        <f>IFERROR(VLOOKUP($B91,'V03'!$A$8:$J$29,5,1),"")</f>
        <v>-0.63920602168523155</v>
      </c>
      <c r="F91" s="1">
        <f>IFERROR(VLOOKUP($B91,'V03'!$A$8:$J$29,6,1),"")</f>
        <v>0.3909233049468579</v>
      </c>
      <c r="G91" s="1">
        <f>IFERROR(VLOOKUP($B91,'V03'!$A$8:$J$29,7,1),"")</f>
        <v>1.4210526315789473</v>
      </c>
      <c r="H91" s="1">
        <f>IFERROR(VLOOKUP($B91,'V03'!$A$8:$J$29,8,1),"")</f>
        <v>2.4511819582110368</v>
      </c>
      <c r="I91" s="1">
        <f>IFERROR(VLOOKUP($B91,'V03'!$A$8:$J$29,9,1),"")</f>
        <v>3.4813112848431262</v>
      </c>
      <c r="J91" s="1">
        <f>IFERROR(VLOOKUP($B91,'V03'!$A$8:$J$29,10,1),"")</f>
        <v>4.5114406114752157</v>
      </c>
      <c r="K91">
        <f>IFERROR(VLOOKUP($B91,'V03'!$A$9:$Q$1048576,3,1),"")</f>
        <v>-0.25</v>
      </c>
      <c r="L91">
        <f>IFERROR(VLOOKUP($B91,'V03'!$A$8:$Q$29,11,1),"")</f>
        <v>-0.61427336506398167</v>
      </c>
      <c r="M91">
        <f>IFERROR(VLOOKUP($B91,'V03'!$A$8:$Q$29,12,1),"")</f>
        <v>-0.40512961179704049</v>
      </c>
      <c r="N91">
        <f>IFERROR(VLOOKUP($B91,'V03'!$A$8:$Q$29,13,1),"")</f>
        <v>-0.1959858585300992</v>
      </c>
      <c r="O91">
        <f>IFERROR(VLOOKUP($B91,'V03'!$A$8:$Q$29,14,1),"")</f>
        <v>1.3157894736842105E-2</v>
      </c>
      <c r="P91">
        <f>IFERROR(VLOOKUP($B91,'V03'!$A$8:$Q$29,15,1),"")</f>
        <v>0.22230164800378338</v>
      </c>
      <c r="Q91">
        <f>IFERROR(VLOOKUP($B91,'V03'!$A$8:$Q$29,16,1),"")</f>
        <v>0.43144540127072467</v>
      </c>
      <c r="R91">
        <f>IFERROR(VLOOKUP($B91,'V03'!$A$8:$Q$29,17,1),"")</f>
        <v>0.64058915453766596</v>
      </c>
      <c r="Z91" s="17"/>
      <c r="AY91" s="17"/>
    </row>
    <row r="92" spans="1:51" x14ac:dyDescent="0.25">
      <c r="A92" s="17"/>
      <c r="B92" s="2">
        <f t="shared" si="4"/>
        <v>45375</v>
      </c>
      <c r="C92">
        <f>IFERROR(VLOOKUP($B92,'V03'!$A$9:$J$1048576,2,1),"")</f>
        <v>0</v>
      </c>
      <c r="D92" s="1">
        <f>IFERROR(VLOOKUP($B92,'V03'!$A$8:$J$29,4,1),"")</f>
        <v>-1.669335348317321</v>
      </c>
      <c r="E92" s="1">
        <f>IFERROR(VLOOKUP($B92,'V03'!$A$8:$J$29,5,1),"")</f>
        <v>-0.63920602168523155</v>
      </c>
      <c r="F92" s="1">
        <f>IFERROR(VLOOKUP($B92,'V03'!$A$8:$J$29,6,1),"")</f>
        <v>0.3909233049468579</v>
      </c>
      <c r="G92" s="1">
        <f>IFERROR(VLOOKUP($B92,'V03'!$A$8:$J$29,7,1),"")</f>
        <v>1.4210526315789473</v>
      </c>
      <c r="H92" s="1">
        <f>IFERROR(VLOOKUP($B92,'V03'!$A$8:$J$29,8,1),"")</f>
        <v>2.4511819582110368</v>
      </c>
      <c r="I92" s="1">
        <f>IFERROR(VLOOKUP($B92,'V03'!$A$8:$J$29,9,1),"")</f>
        <v>3.4813112848431262</v>
      </c>
      <c r="J92" s="1">
        <f>IFERROR(VLOOKUP($B92,'V03'!$A$8:$J$29,10,1),"")</f>
        <v>4.5114406114752157</v>
      </c>
      <c r="K92">
        <f>IFERROR(VLOOKUP($B92,'V03'!$A$9:$Q$1048576,3,1),"")</f>
        <v>0</v>
      </c>
      <c r="L92">
        <f>IFERROR(VLOOKUP($B92,'V03'!$A$8:$Q$29,11,1),"")</f>
        <v>-0.61427336506398167</v>
      </c>
      <c r="M92">
        <f>IFERROR(VLOOKUP($B92,'V03'!$A$8:$Q$29,12,1),"")</f>
        <v>-0.40512961179704049</v>
      </c>
      <c r="N92">
        <f>IFERROR(VLOOKUP($B92,'V03'!$A$8:$Q$29,13,1),"")</f>
        <v>-0.1959858585300992</v>
      </c>
      <c r="O92">
        <f>IFERROR(VLOOKUP($B92,'V03'!$A$8:$Q$29,14,1),"")</f>
        <v>1.3157894736842105E-2</v>
      </c>
      <c r="P92">
        <f>IFERROR(VLOOKUP($B92,'V03'!$A$8:$Q$29,15,1),"")</f>
        <v>0.22230164800378338</v>
      </c>
      <c r="Q92">
        <f>IFERROR(VLOOKUP($B92,'V03'!$A$8:$Q$29,16,1),"")</f>
        <v>0.43144540127072467</v>
      </c>
      <c r="R92">
        <f>IFERROR(VLOOKUP($B92,'V03'!$A$8:$Q$29,17,1),"")</f>
        <v>0.64058915453766596</v>
      </c>
      <c r="Z92" s="17"/>
      <c r="AY92" s="17"/>
    </row>
    <row r="93" spans="1:51" x14ac:dyDescent="0.25">
      <c r="A93" s="17"/>
      <c r="B93" s="2">
        <f t="shared" si="4"/>
        <v>45406</v>
      </c>
      <c r="C93">
        <f>IFERROR(VLOOKUP($B93,'V03'!$A$9:$J$1048576,2,1),"")</f>
        <v>0</v>
      </c>
      <c r="D93" s="1">
        <f>IFERROR(VLOOKUP($B93,'V03'!$A$8:$J$29,4,1),"")</f>
        <v>-1.669335348317321</v>
      </c>
      <c r="E93" s="1">
        <f>IFERROR(VLOOKUP($B93,'V03'!$A$8:$J$29,5,1),"")</f>
        <v>-0.63920602168523155</v>
      </c>
      <c r="F93" s="1">
        <f>IFERROR(VLOOKUP($B93,'V03'!$A$8:$J$29,6,1),"")</f>
        <v>0.3909233049468579</v>
      </c>
      <c r="G93" s="1">
        <f>IFERROR(VLOOKUP($B93,'V03'!$A$8:$J$29,7,1),"")</f>
        <v>1.4210526315789473</v>
      </c>
      <c r="H93" s="1">
        <f>IFERROR(VLOOKUP($B93,'V03'!$A$8:$J$29,8,1),"")</f>
        <v>2.4511819582110368</v>
      </c>
      <c r="I93" s="1">
        <f>IFERROR(VLOOKUP($B93,'V03'!$A$8:$J$29,9,1),"")</f>
        <v>3.4813112848431262</v>
      </c>
      <c r="J93" s="1">
        <f>IFERROR(VLOOKUP($B93,'V03'!$A$8:$J$29,10,1),"")</f>
        <v>4.5114406114752157</v>
      </c>
      <c r="K93">
        <f>IFERROR(VLOOKUP($B93,'V03'!$A$9:$Q$1048576,3,1),"")</f>
        <v>0</v>
      </c>
      <c r="L93">
        <f>IFERROR(VLOOKUP($B93,'V03'!$A$8:$Q$29,11,1),"")</f>
        <v>-0.61427336506398167</v>
      </c>
      <c r="M93">
        <f>IFERROR(VLOOKUP($B93,'V03'!$A$8:$Q$29,12,1),"")</f>
        <v>-0.40512961179704049</v>
      </c>
      <c r="N93">
        <f>IFERROR(VLOOKUP($B93,'V03'!$A$8:$Q$29,13,1),"")</f>
        <v>-0.1959858585300992</v>
      </c>
      <c r="O93">
        <f>IFERROR(VLOOKUP($B93,'V03'!$A$8:$Q$29,14,1),"")</f>
        <v>1.3157894736842105E-2</v>
      </c>
      <c r="P93">
        <f>IFERROR(VLOOKUP($B93,'V03'!$A$8:$Q$29,15,1),"")</f>
        <v>0.22230164800378338</v>
      </c>
      <c r="Q93">
        <f>IFERROR(VLOOKUP($B93,'V03'!$A$8:$Q$29,16,1),"")</f>
        <v>0.43144540127072467</v>
      </c>
      <c r="R93">
        <f>IFERROR(VLOOKUP($B93,'V03'!$A$8:$Q$29,17,1),"")</f>
        <v>0.64058915453766596</v>
      </c>
      <c r="Z93" s="17"/>
      <c r="AY93" s="17"/>
    </row>
    <row r="94" spans="1:51" x14ac:dyDescent="0.25">
      <c r="A94" s="17"/>
      <c r="B94" s="2">
        <f t="shared" si="4"/>
        <v>45436</v>
      </c>
      <c r="C94">
        <f>IFERROR(VLOOKUP($B94,'V03'!$A$9:$J$1048576,2,1),"")</f>
        <v>1</v>
      </c>
      <c r="D94" s="1">
        <f>IFERROR(VLOOKUP($B94,'V03'!$A$8:$J$29,4,1),"")</f>
        <v>-1.669335348317321</v>
      </c>
      <c r="E94" s="1">
        <f>IFERROR(VLOOKUP($B94,'V03'!$A$8:$J$29,5,1),"")</f>
        <v>-0.63920602168523155</v>
      </c>
      <c r="F94" s="1">
        <f>IFERROR(VLOOKUP($B94,'V03'!$A$8:$J$29,6,1),"")</f>
        <v>0.3909233049468579</v>
      </c>
      <c r="G94" s="1">
        <f>IFERROR(VLOOKUP($B94,'V03'!$A$8:$J$29,7,1),"")</f>
        <v>1.4210526315789473</v>
      </c>
      <c r="H94" s="1">
        <f>IFERROR(VLOOKUP($B94,'V03'!$A$8:$J$29,8,1),"")</f>
        <v>2.4511819582110368</v>
      </c>
      <c r="I94" s="1">
        <f>IFERROR(VLOOKUP($B94,'V03'!$A$8:$J$29,9,1),"")</f>
        <v>3.4813112848431262</v>
      </c>
      <c r="J94" s="1">
        <f>IFERROR(VLOOKUP($B94,'V03'!$A$8:$J$29,10,1),"")</f>
        <v>4.5114406114752157</v>
      </c>
      <c r="K94">
        <f>IFERROR(VLOOKUP($B94,'V03'!$A$9:$Q$1048576,3,1),"")</f>
        <v>0.25</v>
      </c>
      <c r="L94">
        <f>IFERROR(VLOOKUP($B94,'V03'!$A$8:$Q$29,11,1),"")</f>
        <v>-0.61427336506398167</v>
      </c>
      <c r="M94">
        <f>IFERROR(VLOOKUP($B94,'V03'!$A$8:$Q$29,12,1),"")</f>
        <v>-0.40512961179704049</v>
      </c>
      <c r="N94">
        <f>IFERROR(VLOOKUP($B94,'V03'!$A$8:$Q$29,13,1),"")</f>
        <v>-0.1959858585300992</v>
      </c>
      <c r="O94">
        <f>IFERROR(VLOOKUP($B94,'V03'!$A$8:$Q$29,14,1),"")</f>
        <v>1.3157894736842105E-2</v>
      </c>
      <c r="P94">
        <f>IFERROR(VLOOKUP($B94,'V03'!$A$8:$Q$29,15,1),"")</f>
        <v>0.22230164800378338</v>
      </c>
      <c r="Q94">
        <f>IFERROR(VLOOKUP($B94,'V03'!$A$8:$Q$29,16,1),"")</f>
        <v>0.43144540127072467</v>
      </c>
      <c r="R94">
        <f>IFERROR(VLOOKUP($B94,'V03'!$A$8:$Q$29,17,1),"")</f>
        <v>0.64058915453766596</v>
      </c>
      <c r="Z94" s="17"/>
      <c r="AY94" s="17"/>
    </row>
    <row r="95" spans="1:51" x14ac:dyDescent="0.25">
      <c r="A95" s="17"/>
      <c r="B95" s="2">
        <f t="shared" si="4"/>
        <v>45467</v>
      </c>
      <c r="C95">
        <f>IFERROR(VLOOKUP($B95,'V03'!$A$9:$J$1048576,2,1),"")</f>
        <v>1</v>
      </c>
      <c r="D95" s="1">
        <f>IFERROR(VLOOKUP($B95,'V03'!$A$8:$J$29,4,1),"")</f>
        <v>-1.669335348317321</v>
      </c>
      <c r="E95" s="1">
        <f>IFERROR(VLOOKUP($B95,'V03'!$A$8:$J$29,5,1),"")</f>
        <v>-0.63920602168523155</v>
      </c>
      <c r="F95" s="1">
        <f>IFERROR(VLOOKUP($B95,'V03'!$A$8:$J$29,6,1),"")</f>
        <v>0.3909233049468579</v>
      </c>
      <c r="G95" s="1">
        <f>IFERROR(VLOOKUP($B95,'V03'!$A$8:$J$29,7,1),"")</f>
        <v>1.4210526315789473</v>
      </c>
      <c r="H95" s="1">
        <f>IFERROR(VLOOKUP($B95,'V03'!$A$8:$J$29,8,1),"")</f>
        <v>2.4511819582110368</v>
      </c>
      <c r="I95" s="1">
        <f>IFERROR(VLOOKUP($B95,'V03'!$A$8:$J$29,9,1),"")</f>
        <v>3.4813112848431262</v>
      </c>
      <c r="J95" s="1">
        <f>IFERROR(VLOOKUP($B95,'V03'!$A$8:$J$29,10,1),"")</f>
        <v>4.5114406114752157</v>
      </c>
      <c r="K95">
        <f>IFERROR(VLOOKUP($B95,'V03'!$A$9:$Q$1048576,3,1),"")</f>
        <v>0</v>
      </c>
      <c r="L95">
        <f>IFERROR(VLOOKUP($B95,'V03'!$A$8:$Q$29,11,1),"")</f>
        <v>-0.61427336506398167</v>
      </c>
      <c r="M95">
        <f>IFERROR(VLOOKUP($B95,'V03'!$A$8:$Q$29,12,1),"")</f>
        <v>-0.40512961179704049</v>
      </c>
      <c r="N95">
        <f>IFERROR(VLOOKUP($B95,'V03'!$A$8:$Q$29,13,1),"")</f>
        <v>-0.1959858585300992</v>
      </c>
      <c r="O95">
        <f>IFERROR(VLOOKUP($B95,'V03'!$A$8:$Q$29,14,1),"")</f>
        <v>1.3157894736842105E-2</v>
      </c>
      <c r="P95">
        <f>IFERROR(VLOOKUP($B95,'V03'!$A$8:$Q$29,15,1),"")</f>
        <v>0.22230164800378338</v>
      </c>
      <c r="Q95">
        <f>IFERROR(VLOOKUP($B95,'V03'!$A$8:$Q$29,16,1),"")</f>
        <v>0.43144540127072467</v>
      </c>
      <c r="R95">
        <f>IFERROR(VLOOKUP($B95,'V03'!$A$8:$Q$29,17,1),"")</f>
        <v>0.64058915453766596</v>
      </c>
      <c r="Z95" s="17"/>
      <c r="AY95" s="17"/>
    </row>
    <row r="96" spans="1:51" x14ac:dyDescent="0.25">
      <c r="A96" s="17"/>
      <c r="B96" s="2">
        <f t="shared" si="4"/>
        <v>45497</v>
      </c>
      <c r="C96">
        <f>IFERROR(VLOOKUP($B96,'V03'!$A$9:$J$1048576,2,1),"")</f>
        <v>1</v>
      </c>
      <c r="D96" s="1">
        <f>IFERROR(VLOOKUP($B96,'V03'!$A$8:$J$29,4,1),"")</f>
        <v>-1.669335348317321</v>
      </c>
      <c r="E96" s="1">
        <f>IFERROR(VLOOKUP($B96,'V03'!$A$8:$J$29,5,1),"")</f>
        <v>-0.63920602168523155</v>
      </c>
      <c r="F96" s="1">
        <f>IFERROR(VLOOKUP($B96,'V03'!$A$8:$J$29,6,1),"")</f>
        <v>0.3909233049468579</v>
      </c>
      <c r="G96" s="1">
        <f>IFERROR(VLOOKUP($B96,'V03'!$A$8:$J$29,7,1),"")</f>
        <v>1.4210526315789473</v>
      </c>
      <c r="H96" s="1">
        <f>IFERROR(VLOOKUP($B96,'V03'!$A$8:$J$29,8,1),"")</f>
        <v>2.4511819582110368</v>
      </c>
      <c r="I96" s="1">
        <f>IFERROR(VLOOKUP($B96,'V03'!$A$8:$J$29,9,1),"")</f>
        <v>3.4813112848431262</v>
      </c>
      <c r="J96" s="1">
        <f>IFERROR(VLOOKUP($B96,'V03'!$A$8:$J$29,10,1),"")</f>
        <v>4.5114406114752157</v>
      </c>
      <c r="K96">
        <f>IFERROR(VLOOKUP($B96,'V03'!$A$9:$Q$1048576,3,1),"")</f>
        <v>0</v>
      </c>
      <c r="L96">
        <f>IFERROR(VLOOKUP($B96,'V03'!$A$8:$Q$29,11,1),"")</f>
        <v>-0.61427336506398167</v>
      </c>
      <c r="M96">
        <f>IFERROR(VLOOKUP($B96,'V03'!$A$8:$Q$29,12,1),"")</f>
        <v>-0.40512961179704049</v>
      </c>
      <c r="N96">
        <f>IFERROR(VLOOKUP($B96,'V03'!$A$8:$Q$29,13,1),"")</f>
        <v>-0.1959858585300992</v>
      </c>
      <c r="O96">
        <f>IFERROR(VLOOKUP($B96,'V03'!$A$8:$Q$29,14,1),"")</f>
        <v>1.3157894736842105E-2</v>
      </c>
      <c r="P96">
        <f>IFERROR(VLOOKUP($B96,'V03'!$A$8:$Q$29,15,1),"")</f>
        <v>0.22230164800378338</v>
      </c>
      <c r="Q96">
        <f>IFERROR(VLOOKUP($B96,'V03'!$A$8:$Q$29,16,1),"")</f>
        <v>0.43144540127072467</v>
      </c>
      <c r="R96">
        <f>IFERROR(VLOOKUP($B96,'V03'!$A$8:$Q$29,17,1),"")</f>
        <v>0.64058915453766596</v>
      </c>
      <c r="Z96" s="17"/>
      <c r="AY96" s="17"/>
    </row>
    <row r="97" spans="1:51" x14ac:dyDescent="0.25">
      <c r="A97" s="17"/>
      <c r="B97" s="2">
        <f t="shared" si="4"/>
        <v>45528</v>
      </c>
      <c r="C97">
        <f>IFERROR(VLOOKUP($B97,'V03'!$A$9:$J$1048576,2,1),"")</f>
        <v>2</v>
      </c>
      <c r="D97" s="1">
        <f>IFERROR(VLOOKUP($B97,'V03'!$A$8:$J$29,4,1),"")</f>
        <v>-1.669335348317321</v>
      </c>
      <c r="E97" s="1">
        <f>IFERROR(VLOOKUP($B97,'V03'!$A$8:$J$29,5,1),"")</f>
        <v>-0.63920602168523155</v>
      </c>
      <c r="F97" s="1">
        <f>IFERROR(VLOOKUP($B97,'V03'!$A$8:$J$29,6,1),"")</f>
        <v>0.3909233049468579</v>
      </c>
      <c r="G97" s="1">
        <f>IFERROR(VLOOKUP($B97,'V03'!$A$8:$J$29,7,1),"")</f>
        <v>1.4210526315789473</v>
      </c>
      <c r="H97" s="1">
        <f>IFERROR(VLOOKUP($B97,'V03'!$A$8:$J$29,8,1),"")</f>
        <v>2.4511819582110368</v>
      </c>
      <c r="I97" s="1">
        <f>IFERROR(VLOOKUP($B97,'V03'!$A$8:$J$29,9,1),"")</f>
        <v>3.4813112848431262</v>
      </c>
      <c r="J97" s="1">
        <f>IFERROR(VLOOKUP($B97,'V03'!$A$8:$J$29,10,1),"")</f>
        <v>4.5114406114752157</v>
      </c>
      <c r="K97">
        <f>IFERROR(VLOOKUP($B97,'V03'!$A$9:$Q$1048576,3,1),"")</f>
        <v>0.25</v>
      </c>
      <c r="L97">
        <f>IFERROR(VLOOKUP($B97,'V03'!$A$8:$Q$29,11,1),"")</f>
        <v>-0.61427336506398167</v>
      </c>
      <c r="M97">
        <f>IFERROR(VLOOKUP($B97,'V03'!$A$8:$Q$29,12,1),"")</f>
        <v>-0.40512961179704049</v>
      </c>
      <c r="N97">
        <f>IFERROR(VLOOKUP($B97,'V03'!$A$8:$Q$29,13,1),"")</f>
        <v>-0.1959858585300992</v>
      </c>
      <c r="O97">
        <f>IFERROR(VLOOKUP($B97,'V03'!$A$8:$Q$29,14,1),"")</f>
        <v>1.3157894736842105E-2</v>
      </c>
      <c r="P97">
        <f>IFERROR(VLOOKUP($B97,'V03'!$A$8:$Q$29,15,1),"")</f>
        <v>0.22230164800378338</v>
      </c>
      <c r="Q97">
        <f>IFERROR(VLOOKUP($B97,'V03'!$A$8:$Q$29,16,1),"")</f>
        <v>0.43144540127072467</v>
      </c>
      <c r="R97">
        <f>IFERROR(VLOOKUP($B97,'V03'!$A$8:$Q$29,17,1),"")</f>
        <v>0.64058915453766596</v>
      </c>
      <c r="Z97" s="17"/>
      <c r="AY97" s="17"/>
    </row>
    <row r="98" spans="1:51" x14ac:dyDescent="0.25">
      <c r="A98" s="17"/>
      <c r="B98" s="2">
        <f t="shared" si="4"/>
        <v>45559</v>
      </c>
      <c r="C98">
        <f>IFERROR(VLOOKUP($B98,'V03'!$A$9:$J$1048576,2,1),"")</f>
        <v>2</v>
      </c>
      <c r="D98" s="1">
        <f>IFERROR(VLOOKUP($B98,'V03'!$A$8:$J$29,4,1),"")</f>
        <v>-1.669335348317321</v>
      </c>
      <c r="E98" s="1">
        <f>IFERROR(VLOOKUP($B98,'V03'!$A$8:$J$29,5,1),"")</f>
        <v>-0.63920602168523155</v>
      </c>
      <c r="F98" s="1">
        <f>IFERROR(VLOOKUP($B98,'V03'!$A$8:$J$29,6,1),"")</f>
        <v>0.3909233049468579</v>
      </c>
      <c r="G98" s="1">
        <f>IFERROR(VLOOKUP($B98,'V03'!$A$8:$J$29,7,1),"")</f>
        <v>1.4210526315789473</v>
      </c>
      <c r="H98" s="1">
        <f>IFERROR(VLOOKUP($B98,'V03'!$A$8:$J$29,8,1),"")</f>
        <v>2.4511819582110368</v>
      </c>
      <c r="I98" s="1">
        <f>IFERROR(VLOOKUP($B98,'V03'!$A$8:$J$29,9,1),"")</f>
        <v>3.4813112848431262</v>
      </c>
      <c r="J98" s="1">
        <f>IFERROR(VLOOKUP($B98,'V03'!$A$8:$J$29,10,1),"")</f>
        <v>4.5114406114752157</v>
      </c>
      <c r="K98">
        <f>IFERROR(VLOOKUP($B98,'V03'!$A$9:$Q$1048576,3,1),"")</f>
        <v>0</v>
      </c>
      <c r="L98">
        <f>IFERROR(VLOOKUP($B98,'V03'!$A$8:$Q$29,11,1),"")</f>
        <v>-0.61427336506398167</v>
      </c>
      <c r="M98">
        <f>IFERROR(VLOOKUP($B98,'V03'!$A$8:$Q$29,12,1),"")</f>
        <v>-0.40512961179704049</v>
      </c>
      <c r="N98">
        <f>IFERROR(VLOOKUP($B98,'V03'!$A$8:$Q$29,13,1),"")</f>
        <v>-0.1959858585300992</v>
      </c>
      <c r="O98">
        <f>IFERROR(VLOOKUP($B98,'V03'!$A$8:$Q$29,14,1),"")</f>
        <v>1.3157894736842105E-2</v>
      </c>
      <c r="P98">
        <f>IFERROR(VLOOKUP($B98,'V03'!$A$8:$Q$29,15,1),"")</f>
        <v>0.22230164800378338</v>
      </c>
      <c r="Q98">
        <f>IFERROR(VLOOKUP($B98,'V03'!$A$8:$Q$29,16,1),"")</f>
        <v>0.43144540127072467</v>
      </c>
      <c r="R98">
        <f>IFERROR(VLOOKUP($B98,'V03'!$A$8:$Q$29,17,1),"")</f>
        <v>0.64058915453766596</v>
      </c>
      <c r="Z98" s="17"/>
      <c r="AY98" s="17"/>
    </row>
    <row r="99" spans="1:51" x14ac:dyDescent="0.25">
      <c r="A99" s="17"/>
      <c r="B99" s="2">
        <f t="shared" si="4"/>
        <v>45589</v>
      </c>
      <c r="C99">
        <f>IFERROR(VLOOKUP($B99,'V03'!$A$9:$J$1048576,2,1),"")</f>
        <v>2</v>
      </c>
      <c r="D99" s="1">
        <f>IFERROR(VLOOKUP($B99,'V03'!$A$8:$J$29,4,1),"")</f>
        <v>-1.669335348317321</v>
      </c>
      <c r="E99" s="1">
        <f>IFERROR(VLOOKUP($B99,'V03'!$A$8:$J$29,5,1),"")</f>
        <v>-0.63920602168523155</v>
      </c>
      <c r="F99" s="1">
        <f>IFERROR(VLOOKUP($B99,'V03'!$A$8:$J$29,6,1),"")</f>
        <v>0.3909233049468579</v>
      </c>
      <c r="G99" s="1">
        <f>IFERROR(VLOOKUP($B99,'V03'!$A$8:$J$29,7,1),"")</f>
        <v>1.4210526315789473</v>
      </c>
      <c r="H99" s="1">
        <f>IFERROR(VLOOKUP($B99,'V03'!$A$8:$J$29,8,1),"")</f>
        <v>2.4511819582110368</v>
      </c>
      <c r="I99" s="1">
        <f>IFERROR(VLOOKUP($B99,'V03'!$A$8:$J$29,9,1),"")</f>
        <v>3.4813112848431262</v>
      </c>
      <c r="J99" s="1">
        <f>IFERROR(VLOOKUP($B99,'V03'!$A$8:$J$29,10,1),"")</f>
        <v>4.5114406114752157</v>
      </c>
      <c r="K99">
        <f>IFERROR(VLOOKUP($B99,'V03'!$A$9:$Q$1048576,3,1),"")</f>
        <v>0</v>
      </c>
      <c r="L99">
        <f>IFERROR(VLOOKUP($B99,'V03'!$A$8:$Q$29,11,1),"")</f>
        <v>-0.61427336506398167</v>
      </c>
      <c r="M99">
        <f>IFERROR(VLOOKUP($B99,'V03'!$A$8:$Q$29,12,1),"")</f>
        <v>-0.40512961179704049</v>
      </c>
      <c r="N99">
        <f>IFERROR(VLOOKUP($B99,'V03'!$A$8:$Q$29,13,1),"")</f>
        <v>-0.1959858585300992</v>
      </c>
      <c r="O99">
        <f>IFERROR(VLOOKUP($B99,'V03'!$A$8:$Q$29,14,1),"")</f>
        <v>1.3157894736842105E-2</v>
      </c>
      <c r="P99">
        <f>IFERROR(VLOOKUP($B99,'V03'!$A$8:$Q$29,15,1),"")</f>
        <v>0.22230164800378338</v>
      </c>
      <c r="Q99">
        <f>IFERROR(VLOOKUP($B99,'V03'!$A$8:$Q$29,16,1),"")</f>
        <v>0.43144540127072467</v>
      </c>
      <c r="R99">
        <f>IFERROR(VLOOKUP($B99,'V03'!$A$8:$Q$29,17,1),"")</f>
        <v>0.64058915453766596</v>
      </c>
      <c r="Z99" s="17"/>
      <c r="AY99" s="17"/>
    </row>
    <row r="100" spans="1:51" x14ac:dyDescent="0.25">
      <c r="A100" s="17"/>
      <c r="B100" s="2">
        <f t="shared" si="4"/>
        <v>45620</v>
      </c>
      <c r="C100">
        <f>IFERROR(VLOOKUP($B100,'V03'!$A$9:$J$1048576,2,1),"")</f>
        <v>2</v>
      </c>
      <c r="D100" s="1">
        <f>IFERROR(VLOOKUP($B100,'V03'!$A$8:$J$29,4,1),"")</f>
        <v>-1.669335348317321</v>
      </c>
      <c r="E100" s="1">
        <f>IFERROR(VLOOKUP($B100,'V03'!$A$8:$J$29,5,1),"")</f>
        <v>-0.63920602168523155</v>
      </c>
      <c r="F100" s="1">
        <f>IFERROR(VLOOKUP($B100,'V03'!$A$8:$J$29,6,1),"")</f>
        <v>0.3909233049468579</v>
      </c>
      <c r="G100" s="1">
        <f>IFERROR(VLOOKUP($B100,'V03'!$A$8:$J$29,7,1),"")</f>
        <v>1.4210526315789473</v>
      </c>
      <c r="H100" s="1">
        <f>IFERROR(VLOOKUP($B100,'V03'!$A$8:$J$29,8,1),"")</f>
        <v>2.4511819582110368</v>
      </c>
      <c r="I100" s="1">
        <f>IFERROR(VLOOKUP($B100,'V03'!$A$8:$J$29,9,1),"")</f>
        <v>3.4813112848431262</v>
      </c>
      <c r="J100" s="1">
        <f>IFERROR(VLOOKUP($B100,'V03'!$A$8:$J$29,10,1),"")</f>
        <v>4.5114406114752157</v>
      </c>
      <c r="K100">
        <f>IFERROR(VLOOKUP($B100,'V03'!$A$9:$Q$1048576,3,1),"")</f>
        <v>0</v>
      </c>
      <c r="L100">
        <f>IFERROR(VLOOKUP($B100,'V03'!$A$8:$Q$29,11,1),"")</f>
        <v>-0.61427336506398167</v>
      </c>
      <c r="M100">
        <f>IFERROR(VLOOKUP($B100,'V03'!$A$8:$Q$29,12,1),"")</f>
        <v>-0.40512961179704049</v>
      </c>
      <c r="N100">
        <f>IFERROR(VLOOKUP($B100,'V03'!$A$8:$Q$29,13,1),"")</f>
        <v>-0.1959858585300992</v>
      </c>
      <c r="O100">
        <f>IFERROR(VLOOKUP($B100,'V03'!$A$8:$Q$29,14,1),"")</f>
        <v>1.3157894736842105E-2</v>
      </c>
      <c r="P100">
        <f>IFERROR(VLOOKUP($B100,'V03'!$A$8:$Q$29,15,1),"")</f>
        <v>0.22230164800378338</v>
      </c>
      <c r="Q100">
        <f>IFERROR(VLOOKUP($B100,'V03'!$A$8:$Q$29,16,1),"")</f>
        <v>0.43144540127072467</v>
      </c>
      <c r="R100">
        <f>IFERROR(VLOOKUP($B100,'V03'!$A$8:$Q$29,17,1),"")</f>
        <v>0.64058915453766596</v>
      </c>
      <c r="Z100" s="17"/>
      <c r="AY100" s="17"/>
    </row>
    <row r="101" spans="1:51" x14ac:dyDescent="0.25">
      <c r="A101" s="17"/>
      <c r="B101" s="2">
        <f t="shared" si="4"/>
        <v>45650</v>
      </c>
      <c r="C101">
        <f>IFERROR(VLOOKUP($B101,'V03'!$A$9:$J$1048576,2,1),"")</f>
        <v>1</v>
      </c>
      <c r="D101" s="1">
        <f>IFERROR(VLOOKUP($B101,'V03'!$A$8:$J$29,4,1),"")</f>
        <v>-1.669335348317321</v>
      </c>
      <c r="E101" s="1">
        <f>IFERROR(VLOOKUP($B101,'V03'!$A$8:$J$29,5,1),"")</f>
        <v>-0.63920602168523155</v>
      </c>
      <c r="F101" s="1">
        <f>IFERROR(VLOOKUP($B101,'V03'!$A$8:$J$29,6,1),"")</f>
        <v>0.3909233049468579</v>
      </c>
      <c r="G101" s="1">
        <f>IFERROR(VLOOKUP($B101,'V03'!$A$8:$J$29,7,1),"")</f>
        <v>1.4210526315789473</v>
      </c>
      <c r="H101" s="1">
        <f>IFERROR(VLOOKUP($B101,'V03'!$A$8:$J$29,8,1),"")</f>
        <v>2.4511819582110368</v>
      </c>
      <c r="I101" s="1">
        <f>IFERROR(VLOOKUP($B101,'V03'!$A$8:$J$29,9,1),"")</f>
        <v>3.4813112848431262</v>
      </c>
      <c r="J101" s="1">
        <f>IFERROR(VLOOKUP($B101,'V03'!$A$8:$J$29,10,1),"")</f>
        <v>4.5114406114752157</v>
      </c>
      <c r="K101">
        <f>IFERROR(VLOOKUP($B101,'V03'!$A$9:$Q$1048576,3,1),"")</f>
        <v>-0.25</v>
      </c>
      <c r="L101">
        <f>IFERROR(VLOOKUP($B101,'V03'!$A$8:$Q$29,11,1),"")</f>
        <v>-0.61427336506398167</v>
      </c>
      <c r="M101">
        <f>IFERROR(VLOOKUP($B101,'V03'!$A$8:$Q$29,12,1),"")</f>
        <v>-0.40512961179704049</v>
      </c>
      <c r="N101">
        <f>IFERROR(VLOOKUP($B101,'V03'!$A$8:$Q$29,13,1),"")</f>
        <v>-0.1959858585300992</v>
      </c>
      <c r="O101">
        <f>IFERROR(VLOOKUP($B101,'V03'!$A$8:$Q$29,14,1),"")</f>
        <v>1.3157894736842105E-2</v>
      </c>
      <c r="P101">
        <f>IFERROR(VLOOKUP($B101,'V03'!$A$8:$Q$29,15,1),"")</f>
        <v>0.22230164800378338</v>
      </c>
      <c r="Q101">
        <f>IFERROR(VLOOKUP($B101,'V03'!$A$8:$Q$29,16,1),"")</f>
        <v>0.43144540127072467</v>
      </c>
      <c r="R101">
        <f>IFERROR(VLOOKUP($B101,'V03'!$A$8:$Q$29,17,1),"")</f>
        <v>0.64058915453766596</v>
      </c>
      <c r="Z101" s="17"/>
      <c r="AY101" s="17"/>
    </row>
    <row r="102" spans="1:51" x14ac:dyDescent="0.25">
      <c r="A102" s="17"/>
      <c r="B102" s="2">
        <f t="shared" si="4"/>
        <v>45681</v>
      </c>
      <c r="C102">
        <f>IFERROR(VLOOKUP($B102,'V03'!$A$9:$J$1048576,2,1),"")</f>
        <v>1</v>
      </c>
      <c r="D102" s="1">
        <f>IFERROR(VLOOKUP($B102,'V03'!$A$8:$J$29,4,1),"")</f>
        <v>-1.669335348317321</v>
      </c>
      <c r="E102" s="1">
        <f>IFERROR(VLOOKUP($B102,'V03'!$A$8:$J$29,5,1),"")</f>
        <v>-0.63920602168523155</v>
      </c>
      <c r="F102" s="1">
        <f>IFERROR(VLOOKUP($B102,'V03'!$A$8:$J$29,6,1),"")</f>
        <v>0.3909233049468579</v>
      </c>
      <c r="G102" s="1">
        <f>IFERROR(VLOOKUP($B102,'V03'!$A$8:$J$29,7,1),"")</f>
        <v>1.4210526315789473</v>
      </c>
      <c r="H102" s="1">
        <f>IFERROR(VLOOKUP($B102,'V03'!$A$8:$J$29,8,1),"")</f>
        <v>2.4511819582110368</v>
      </c>
      <c r="I102" s="1">
        <f>IFERROR(VLOOKUP($B102,'V03'!$A$8:$J$29,9,1),"")</f>
        <v>3.4813112848431262</v>
      </c>
      <c r="J102" s="1">
        <f>IFERROR(VLOOKUP($B102,'V03'!$A$8:$J$29,10,1),"")</f>
        <v>4.5114406114752157</v>
      </c>
      <c r="K102">
        <f>IFERROR(VLOOKUP($B102,'V03'!$A$9:$Q$1048576,3,1),"")</f>
        <v>0</v>
      </c>
      <c r="L102">
        <f>IFERROR(VLOOKUP($B102,'V03'!$A$8:$Q$29,11,1),"")</f>
        <v>-0.61427336506398167</v>
      </c>
      <c r="M102">
        <f>IFERROR(VLOOKUP($B102,'V03'!$A$8:$Q$29,12,1),"")</f>
        <v>-0.40512961179704049</v>
      </c>
      <c r="N102">
        <f>IFERROR(VLOOKUP($B102,'V03'!$A$8:$Q$29,13,1),"")</f>
        <v>-0.1959858585300992</v>
      </c>
      <c r="O102">
        <f>IFERROR(VLOOKUP($B102,'V03'!$A$8:$Q$29,14,1),"")</f>
        <v>1.3157894736842105E-2</v>
      </c>
      <c r="P102">
        <f>IFERROR(VLOOKUP($B102,'V03'!$A$8:$Q$29,15,1),"")</f>
        <v>0.22230164800378338</v>
      </c>
      <c r="Q102">
        <f>IFERROR(VLOOKUP($B102,'V03'!$A$8:$Q$29,16,1),"")</f>
        <v>0.43144540127072467</v>
      </c>
      <c r="R102">
        <f>IFERROR(VLOOKUP($B102,'V03'!$A$8:$Q$29,17,1),"")</f>
        <v>0.64058915453766596</v>
      </c>
      <c r="Z102" s="17"/>
      <c r="AY102" s="17"/>
    </row>
    <row r="103" spans="1:51" x14ac:dyDescent="0.25">
      <c r="A103" s="17"/>
      <c r="B103" s="2">
        <f t="shared" si="4"/>
        <v>45712</v>
      </c>
      <c r="C103">
        <f>IFERROR(VLOOKUP($B103,'V03'!$A$9:$J$1048576,2,1),"")</f>
        <v>1</v>
      </c>
      <c r="D103" s="1">
        <f>IFERROR(VLOOKUP($B103,'V03'!$A$8:$J$29,4,1),"")</f>
        <v>-1.669335348317321</v>
      </c>
      <c r="E103" s="1">
        <f>IFERROR(VLOOKUP($B103,'V03'!$A$8:$J$29,5,1),"")</f>
        <v>-0.63920602168523155</v>
      </c>
      <c r="F103" s="1">
        <f>IFERROR(VLOOKUP($B103,'V03'!$A$8:$J$29,6,1),"")</f>
        <v>0.3909233049468579</v>
      </c>
      <c r="G103" s="1">
        <f>IFERROR(VLOOKUP($B103,'V03'!$A$8:$J$29,7,1),"")</f>
        <v>1.4210526315789473</v>
      </c>
      <c r="H103" s="1">
        <f>IFERROR(VLOOKUP($B103,'V03'!$A$8:$J$29,8,1),"")</f>
        <v>2.4511819582110368</v>
      </c>
      <c r="I103" s="1">
        <f>IFERROR(VLOOKUP($B103,'V03'!$A$8:$J$29,9,1),"")</f>
        <v>3.4813112848431262</v>
      </c>
      <c r="J103" s="1">
        <f>IFERROR(VLOOKUP($B103,'V03'!$A$8:$J$29,10,1),"")</f>
        <v>4.5114406114752157</v>
      </c>
      <c r="K103">
        <f>IFERROR(VLOOKUP($B103,'V03'!$A$9:$Q$1048576,3,1),"")</f>
        <v>0</v>
      </c>
      <c r="L103">
        <f>IFERROR(VLOOKUP($B103,'V03'!$A$8:$Q$29,11,1),"")</f>
        <v>-0.61427336506398167</v>
      </c>
      <c r="M103">
        <f>IFERROR(VLOOKUP($B103,'V03'!$A$8:$Q$29,12,1),"")</f>
        <v>-0.40512961179704049</v>
      </c>
      <c r="N103">
        <f>IFERROR(VLOOKUP($B103,'V03'!$A$8:$Q$29,13,1),"")</f>
        <v>-0.1959858585300992</v>
      </c>
      <c r="O103">
        <f>IFERROR(VLOOKUP($B103,'V03'!$A$8:$Q$29,14,1),"")</f>
        <v>1.3157894736842105E-2</v>
      </c>
      <c r="P103">
        <f>IFERROR(VLOOKUP($B103,'V03'!$A$8:$Q$29,15,1),"")</f>
        <v>0.22230164800378338</v>
      </c>
      <c r="Q103">
        <f>IFERROR(VLOOKUP($B103,'V03'!$A$8:$Q$29,16,1),"")</f>
        <v>0.43144540127072467</v>
      </c>
      <c r="R103">
        <f>IFERROR(VLOOKUP($B103,'V03'!$A$8:$Q$29,17,1),"")</f>
        <v>0.64058915453766596</v>
      </c>
      <c r="Z103" s="17"/>
      <c r="AY103" s="17"/>
    </row>
    <row r="104" spans="1:51" x14ac:dyDescent="0.25">
      <c r="A104" s="17"/>
      <c r="B104" s="2">
        <f t="shared" si="4"/>
        <v>45740</v>
      </c>
      <c r="C104">
        <f>IFERROR(VLOOKUP($B104,'V03'!$A$9:$J$1048576,2,1),"")</f>
        <v>2</v>
      </c>
      <c r="D104" s="1">
        <f>IFERROR(VLOOKUP($B104,'V03'!$A$8:$J$29,4,1),"")</f>
        <v>-1.669335348317321</v>
      </c>
      <c r="E104" s="1">
        <f>IFERROR(VLOOKUP($B104,'V03'!$A$8:$J$29,5,1),"")</f>
        <v>-0.63920602168523155</v>
      </c>
      <c r="F104" s="1">
        <f>IFERROR(VLOOKUP($B104,'V03'!$A$8:$J$29,6,1),"")</f>
        <v>0.3909233049468579</v>
      </c>
      <c r="G104" s="1">
        <f>IFERROR(VLOOKUP($B104,'V03'!$A$8:$J$29,7,1),"")</f>
        <v>1.4210526315789473</v>
      </c>
      <c r="H104" s="1">
        <f>IFERROR(VLOOKUP($B104,'V03'!$A$8:$J$29,8,1),"")</f>
        <v>2.4511819582110368</v>
      </c>
      <c r="I104" s="1">
        <f>IFERROR(VLOOKUP($B104,'V03'!$A$8:$J$29,9,1),"")</f>
        <v>3.4813112848431262</v>
      </c>
      <c r="J104" s="1">
        <f>IFERROR(VLOOKUP($B104,'V03'!$A$8:$J$29,10,1),"")</f>
        <v>4.5114406114752157</v>
      </c>
      <c r="K104">
        <f>IFERROR(VLOOKUP($B104,'V03'!$A$9:$Q$1048576,3,1),"")</f>
        <v>0.25</v>
      </c>
      <c r="L104">
        <f>IFERROR(VLOOKUP($B104,'V03'!$A$8:$Q$29,11,1),"")</f>
        <v>-0.61427336506398167</v>
      </c>
      <c r="M104">
        <f>IFERROR(VLOOKUP($B104,'V03'!$A$8:$Q$29,12,1),"")</f>
        <v>-0.40512961179704049</v>
      </c>
      <c r="N104">
        <f>IFERROR(VLOOKUP($B104,'V03'!$A$8:$Q$29,13,1),"")</f>
        <v>-0.1959858585300992</v>
      </c>
      <c r="O104">
        <f>IFERROR(VLOOKUP($B104,'V03'!$A$8:$Q$29,14,1),"")</f>
        <v>1.3157894736842105E-2</v>
      </c>
      <c r="P104">
        <f>IFERROR(VLOOKUP($B104,'V03'!$A$8:$Q$29,15,1),"")</f>
        <v>0.22230164800378338</v>
      </c>
      <c r="Q104">
        <f>IFERROR(VLOOKUP($B104,'V03'!$A$8:$Q$29,16,1),"")</f>
        <v>0.43144540127072467</v>
      </c>
      <c r="R104">
        <f>IFERROR(VLOOKUP($B104,'V03'!$A$8:$Q$29,17,1),"")</f>
        <v>0.64058915453766596</v>
      </c>
      <c r="Z104" s="17"/>
      <c r="AY104" s="17"/>
    </row>
    <row r="105" spans="1:51" x14ac:dyDescent="0.25">
      <c r="A105" s="17"/>
      <c r="B105" s="2">
        <f t="shared" si="4"/>
        <v>45771</v>
      </c>
      <c r="C105">
        <f>IFERROR(VLOOKUP($B105,'V03'!$A$9:$J$1048576,2,1),"")</f>
        <v>3</v>
      </c>
      <c r="D105" s="1">
        <f>IFERROR(VLOOKUP($B105,'V03'!$A$8:$J$29,4,1),"")</f>
        <v>-1.669335348317321</v>
      </c>
      <c r="E105" s="1">
        <f>IFERROR(VLOOKUP($B105,'V03'!$A$8:$J$29,5,1),"")</f>
        <v>-0.63920602168523155</v>
      </c>
      <c r="F105" s="1">
        <f>IFERROR(VLOOKUP($B105,'V03'!$A$8:$J$29,6,1),"")</f>
        <v>0.3909233049468579</v>
      </c>
      <c r="G105" s="1">
        <f>IFERROR(VLOOKUP($B105,'V03'!$A$8:$J$29,7,1),"")</f>
        <v>1.4210526315789473</v>
      </c>
      <c r="H105" s="1">
        <f>IFERROR(VLOOKUP($B105,'V03'!$A$8:$J$29,8,1),"")</f>
        <v>2.4511819582110368</v>
      </c>
      <c r="I105" s="1">
        <f>IFERROR(VLOOKUP($B105,'V03'!$A$8:$J$29,9,1),"")</f>
        <v>3.4813112848431262</v>
      </c>
      <c r="J105" s="1">
        <f>IFERROR(VLOOKUP($B105,'V03'!$A$8:$J$29,10,1),"")</f>
        <v>4.5114406114752157</v>
      </c>
      <c r="K105">
        <f>IFERROR(VLOOKUP($B105,'V03'!$A$9:$Q$1048576,3,1),"")</f>
        <v>0.25</v>
      </c>
      <c r="L105">
        <f>IFERROR(VLOOKUP($B105,'V03'!$A$8:$Q$29,11,1),"")</f>
        <v>-0.61427336506398167</v>
      </c>
      <c r="M105">
        <f>IFERROR(VLOOKUP($B105,'V03'!$A$8:$Q$29,12,1),"")</f>
        <v>-0.40512961179704049</v>
      </c>
      <c r="N105">
        <f>IFERROR(VLOOKUP($B105,'V03'!$A$8:$Q$29,13,1),"")</f>
        <v>-0.1959858585300992</v>
      </c>
      <c r="O105">
        <f>IFERROR(VLOOKUP($B105,'V03'!$A$8:$Q$29,14,1),"")</f>
        <v>1.3157894736842105E-2</v>
      </c>
      <c r="P105">
        <f>IFERROR(VLOOKUP($B105,'V03'!$A$8:$Q$29,15,1),"")</f>
        <v>0.22230164800378338</v>
      </c>
      <c r="Q105">
        <f>IFERROR(VLOOKUP($B105,'V03'!$A$8:$Q$29,16,1),"")</f>
        <v>0.43144540127072467</v>
      </c>
      <c r="R105">
        <f>IFERROR(VLOOKUP($B105,'V03'!$A$8:$Q$29,17,1),"")</f>
        <v>0.64058915453766596</v>
      </c>
      <c r="Z105" s="17"/>
      <c r="AY105" s="17"/>
    </row>
    <row r="106" spans="1:51" x14ac:dyDescent="0.25">
      <c r="A106" s="17"/>
      <c r="B106" s="2">
        <f t="shared" si="4"/>
        <v>45801</v>
      </c>
      <c r="C106">
        <f>IFERROR(VLOOKUP($B106,'V03'!$A$9:$J$1048576,2,1),"")</f>
        <v>2</v>
      </c>
      <c r="D106" s="1">
        <f>IFERROR(VLOOKUP($B106,'V03'!$A$8:$J$29,4,1),"")</f>
        <v>-1.669335348317321</v>
      </c>
      <c r="E106" s="1">
        <f>IFERROR(VLOOKUP($B106,'V03'!$A$8:$J$29,5,1),"")</f>
        <v>-0.63920602168523155</v>
      </c>
      <c r="F106" s="1">
        <f>IFERROR(VLOOKUP($B106,'V03'!$A$8:$J$29,6,1),"")</f>
        <v>0.3909233049468579</v>
      </c>
      <c r="G106" s="1">
        <f>IFERROR(VLOOKUP($B106,'V03'!$A$8:$J$29,7,1),"")</f>
        <v>1.4210526315789473</v>
      </c>
      <c r="H106" s="1">
        <f>IFERROR(VLOOKUP($B106,'V03'!$A$8:$J$29,8,1),"")</f>
        <v>2.4511819582110368</v>
      </c>
      <c r="I106" s="1">
        <f>IFERROR(VLOOKUP($B106,'V03'!$A$8:$J$29,9,1),"")</f>
        <v>3.4813112848431262</v>
      </c>
      <c r="J106" s="1">
        <f>IFERROR(VLOOKUP($B106,'V03'!$A$8:$J$29,10,1),"")</f>
        <v>4.5114406114752157</v>
      </c>
      <c r="K106">
        <f>IFERROR(VLOOKUP($B106,'V03'!$A$9:$Q$1048576,3,1),"")</f>
        <v>-0.25</v>
      </c>
      <c r="L106">
        <f>IFERROR(VLOOKUP($B106,'V03'!$A$8:$Q$29,11,1),"")</f>
        <v>-0.61427336506398167</v>
      </c>
      <c r="M106">
        <f>IFERROR(VLOOKUP($B106,'V03'!$A$8:$Q$29,12,1),"")</f>
        <v>-0.40512961179704049</v>
      </c>
      <c r="N106">
        <f>IFERROR(VLOOKUP($B106,'V03'!$A$8:$Q$29,13,1),"")</f>
        <v>-0.1959858585300992</v>
      </c>
      <c r="O106">
        <f>IFERROR(VLOOKUP($B106,'V03'!$A$8:$Q$29,14,1),"")</f>
        <v>1.3157894736842105E-2</v>
      </c>
      <c r="P106">
        <f>IFERROR(VLOOKUP($B106,'V03'!$A$8:$Q$29,15,1),"")</f>
        <v>0.22230164800378338</v>
      </c>
      <c r="Q106">
        <f>IFERROR(VLOOKUP($B106,'V03'!$A$8:$Q$29,16,1),"")</f>
        <v>0.43144540127072467</v>
      </c>
      <c r="R106">
        <f>IFERROR(VLOOKUP($B106,'V03'!$A$8:$Q$29,17,1),"")</f>
        <v>0.64058915453766596</v>
      </c>
      <c r="Z106" s="17"/>
      <c r="AY106" s="17"/>
    </row>
    <row r="107" spans="1:51" x14ac:dyDescent="0.25">
      <c r="A107" s="17"/>
      <c r="B107" s="2">
        <f t="shared" si="4"/>
        <v>45832</v>
      </c>
      <c r="C107">
        <f>IFERROR(VLOOKUP($B107,'V03'!$A$9:$J$1048576,2,1),"")</f>
        <v>2</v>
      </c>
      <c r="D107" s="1">
        <f>IFERROR(VLOOKUP($B107,'V03'!$A$8:$J$29,4,1),"")</f>
        <v>-1.669335348317321</v>
      </c>
      <c r="E107" s="1">
        <f>IFERROR(VLOOKUP($B107,'V03'!$A$8:$J$29,5,1),"")</f>
        <v>-0.63920602168523155</v>
      </c>
      <c r="F107" s="1">
        <f>IFERROR(VLOOKUP($B107,'V03'!$A$8:$J$29,6,1),"")</f>
        <v>0.3909233049468579</v>
      </c>
      <c r="G107" s="1">
        <f>IFERROR(VLOOKUP($B107,'V03'!$A$8:$J$29,7,1),"")</f>
        <v>1.4210526315789473</v>
      </c>
      <c r="H107" s="1">
        <f>IFERROR(VLOOKUP($B107,'V03'!$A$8:$J$29,8,1),"")</f>
        <v>2.4511819582110368</v>
      </c>
      <c r="I107" s="1">
        <f>IFERROR(VLOOKUP($B107,'V03'!$A$8:$J$29,9,1),"")</f>
        <v>3.4813112848431262</v>
      </c>
      <c r="J107" s="1">
        <f>IFERROR(VLOOKUP($B107,'V03'!$A$8:$J$29,10,1),"")</f>
        <v>4.5114406114752157</v>
      </c>
      <c r="K107">
        <f>IFERROR(VLOOKUP($B107,'V03'!$A$9:$Q$1048576,3,1),"")</f>
        <v>0</v>
      </c>
      <c r="L107">
        <f>IFERROR(VLOOKUP($B107,'V03'!$A$8:$Q$29,11,1),"")</f>
        <v>-0.61427336506398167</v>
      </c>
      <c r="M107">
        <f>IFERROR(VLOOKUP($B107,'V03'!$A$8:$Q$29,12,1),"")</f>
        <v>-0.40512961179704049</v>
      </c>
      <c r="N107">
        <f>IFERROR(VLOOKUP($B107,'V03'!$A$8:$Q$29,13,1),"")</f>
        <v>-0.1959858585300992</v>
      </c>
      <c r="O107">
        <f>IFERROR(VLOOKUP($B107,'V03'!$A$8:$Q$29,14,1),"")</f>
        <v>1.3157894736842105E-2</v>
      </c>
      <c r="P107">
        <f>IFERROR(VLOOKUP($B107,'V03'!$A$8:$Q$29,15,1),"")</f>
        <v>0.22230164800378338</v>
      </c>
      <c r="Q107">
        <f>IFERROR(VLOOKUP($B107,'V03'!$A$8:$Q$29,16,1),"")</f>
        <v>0.43144540127072467</v>
      </c>
      <c r="R107">
        <f>IFERROR(VLOOKUP($B107,'V03'!$A$8:$Q$29,17,1),"")</f>
        <v>0.64058915453766596</v>
      </c>
      <c r="Z107" s="17"/>
      <c r="AY107" s="17"/>
    </row>
    <row r="108" spans="1:51" x14ac:dyDescent="0.25">
      <c r="A108" s="17"/>
      <c r="B108" s="2">
        <f t="shared" si="4"/>
        <v>45862</v>
      </c>
      <c r="C108">
        <f>IFERROR(VLOOKUP($B108,'V03'!$A$9:$J$1048576,2,1),"")</f>
        <v>1</v>
      </c>
      <c r="D108" s="1">
        <f>IFERROR(VLOOKUP($B108,'V03'!$A$8:$J$29,4,1),"")</f>
        <v>-1.669335348317321</v>
      </c>
      <c r="E108" s="1">
        <f>IFERROR(VLOOKUP($B108,'V03'!$A$8:$J$29,5,1),"")</f>
        <v>-0.63920602168523155</v>
      </c>
      <c r="F108" s="1">
        <f>IFERROR(VLOOKUP($B108,'V03'!$A$8:$J$29,6,1),"")</f>
        <v>0.3909233049468579</v>
      </c>
      <c r="G108" s="1">
        <f>IFERROR(VLOOKUP($B108,'V03'!$A$8:$J$29,7,1),"")</f>
        <v>1.4210526315789473</v>
      </c>
      <c r="H108" s="1">
        <f>IFERROR(VLOOKUP($B108,'V03'!$A$8:$J$29,8,1),"")</f>
        <v>2.4511819582110368</v>
      </c>
      <c r="I108" s="1">
        <f>IFERROR(VLOOKUP($B108,'V03'!$A$8:$J$29,9,1),"")</f>
        <v>3.4813112848431262</v>
      </c>
      <c r="J108" s="1">
        <f>IFERROR(VLOOKUP($B108,'V03'!$A$8:$J$29,10,1),"")</f>
        <v>4.5114406114752157</v>
      </c>
      <c r="K108">
        <f>IFERROR(VLOOKUP($B108,'V03'!$A$9:$Q$1048576,3,1),"")</f>
        <v>-0.25</v>
      </c>
      <c r="L108">
        <f>IFERROR(VLOOKUP($B108,'V03'!$A$8:$Q$29,11,1),"")</f>
        <v>-0.61427336506398167</v>
      </c>
      <c r="M108">
        <f>IFERROR(VLOOKUP($B108,'V03'!$A$8:$Q$29,12,1),"")</f>
        <v>-0.40512961179704049</v>
      </c>
      <c r="N108">
        <f>IFERROR(VLOOKUP($B108,'V03'!$A$8:$Q$29,13,1),"")</f>
        <v>-0.1959858585300992</v>
      </c>
      <c r="O108">
        <f>IFERROR(VLOOKUP($B108,'V03'!$A$8:$Q$29,14,1),"")</f>
        <v>1.3157894736842105E-2</v>
      </c>
      <c r="P108">
        <f>IFERROR(VLOOKUP($B108,'V03'!$A$8:$Q$29,15,1),"")</f>
        <v>0.22230164800378338</v>
      </c>
      <c r="Q108">
        <f>IFERROR(VLOOKUP($B108,'V03'!$A$8:$Q$29,16,1),"")</f>
        <v>0.43144540127072467</v>
      </c>
      <c r="R108">
        <f>IFERROR(VLOOKUP($B108,'V03'!$A$8:$Q$29,17,1),"")</f>
        <v>0.64058915453766596</v>
      </c>
      <c r="Z108" s="17"/>
      <c r="AY108" s="17"/>
    </row>
    <row r="109" spans="1:51" x14ac:dyDescent="0.25">
      <c r="A109" s="17"/>
      <c r="B109" s="2">
        <f t="shared" si="4"/>
        <v>45893</v>
      </c>
      <c r="C109">
        <f>IFERROR(VLOOKUP($B109,'V03'!$A$9:$J$1048576,2,1),"")</f>
        <v>0</v>
      </c>
      <c r="D109" s="1">
        <f>IFERROR(VLOOKUP($B109,'V03'!$A$8:$J$29,4,1),"")</f>
        <v>-1.669335348317321</v>
      </c>
      <c r="E109" s="1">
        <f>IFERROR(VLOOKUP($B109,'V03'!$A$8:$J$29,5,1),"")</f>
        <v>-0.63920602168523155</v>
      </c>
      <c r="F109" s="1">
        <f>IFERROR(VLOOKUP($B109,'V03'!$A$8:$J$29,6,1),"")</f>
        <v>0.3909233049468579</v>
      </c>
      <c r="G109" s="1">
        <f>IFERROR(VLOOKUP($B109,'V03'!$A$8:$J$29,7,1),"")</f>
        <v>1.4210526315789473</v>
      </c>
      <c r="H109" s="1">
        <f>IFERROR(VLOOKUP($B109,'V03'!$A$8:$J$29,8,1),"")</f>
        <v>2.4511819582110368</v>
      </c>
      <c r="I109" s="1">
        <f>IFERROR(VLOOKUP($B109,'V03'!$A$8:$J$29,9,1),"")</f>
        <v>3.4813112848431262</v>
      </c>
      <c r="J109" s="1">
        <f>IFERROR(VLOOKUP($B109,'V03'!$A$8:$J$29,10,1),"")</f>
        <v>4.5114406114752157</v>
      </c>
      <c r="K109">
        <f>IFERROR(VLOOKUP($B109,'V03'!$A$9:$Q$1048576,3,1),"")</f>
        <v>-0.25</v>
      </c>
      <c r="L109">
        <f>IFERROR(VLOOKUP($B109,'V03'!$A$8:$Q$29,11,1),"")</f>
        <v>-0.61427336506398167</v>
      </c>
      <c r="M109">
        <f>IFERROR(VLOOKUP($B109,'V03'!$A$8:$Q$29,12,1),"")</f>
        <v>-0.40512961179704049</v>
      </c>
      <c r="N109">
        <f>IFERROR(VLOOKUP($B109,'V03'!$A$8:$Q$29,13,1),"")</f>
        <v>-0.1959858585300992</v>
      </c>
      <c r="O109">
        <f>IFERROR(VLOOKUP($B109,'V03'!$A$8:$Q$29,14,1),"")</f>
        <v>1.3157894736842105E-2</v>
      </c>
      <c r="P109">
        <f>IFERROR(VLOOKUP($B109,'V03'!$A$8:$Q$29,15,1),"")</f>
        <v>0.22230164800378338</v>
      </c>
      <c r="Q109">
        <f>IFERROR(VLOOKUP($B109,'V03'!$A$8:$Q$29,16,1),"")</f>
        <v>0.43144540127072467</v>
      </c>
      <c r="R109">
        <f>IFERROR(VLOOKUP($B109,'V03'!$A$8:$Q$29,17,1),"")</f>
        <v>0.64058915453766596</v>
      </c>
      <c r="Z109" s="17"/>
      <c r="AY109" s="17"/>
    </row>
    <row r="110" spans="1:51" x14ac:dyDescent="0.25">
      <c r="A110" s="17"/>
      <c r="B110" s="2">
        <f>EDATE(B111,-1)</f>
        <v>45924</v>
      </c>
      <c r="C110">
        <f>IFERROR(VLOOKUP($B110,'V03'!$A$9:$J$1048576,2,1),"")</f>
        <v>0</v>
      </c>
      <c r="D110" s="1">
        <f>IFERROR(VLOOKUP($B110,'V03'!$A$8:$J$29,4,1),"")</f>
        <v>-1.669335348317321</v>
      </c>
      <c r="E110" s="1">
        <f>IFERROR(VLOOKUP($B110,'V03'!$A$8:$J$29,5,1),"")</f>
        <v>-0.63920602168523155</v>
      </c>
      <c r="F110" s="1">
        <f>IFERROR(VLOOKUP($B110,'V03'!$A$8:$J$29,6,1),"")</f>
        <v>0.3909233049468579</v>
      </c>
      <c r="G110" s="1">
        <f>IFERROR(VLOOKUP($B110,'V03'!$A$8:$J$29,7,1),"")</f>
        <v>1.4210526315789473</v>
      </c>
      <c r="H110" s="1">
        <f>IFERROR(VLOOKUP($B110,'V03'!$A$8:$J$29,8,1),"")</f>
        <v>2.4511819582110368</v>
      </c>
      <c r="I110" s="1">
        <f>IFERROR(VLOOKUP($B110,'V03'!$A$8:$J$29,9,1),"")</f>
        <v>3.4813112848431262</v>
      </c>
      <c r="J110" s="1">
        <f>IFERROR(VLOOKUP($B110,'V03'!$A$8:$J$29,10,1),"")</f>
        <v>4.5114406114752157</v>
      </c>
      <c r="K110">
        <f>IFERROR(VLOOKUP($B110,'V03'!$A$9:$Q$1048576,3,1),"")</f>
        <v>0</v>
      </c>
      <c r="L110">
        <f>IFERROR(VLOOKUP($B110,'V03'!$A$8:$Q$29,11,1),"")</f>
        <v>-0.61427336506398167</v>
      </c>
      <c r="M110">
        <f>IFERROR(VLOOKUP($B110,'V03'!$A$8:$Q$29,12,1),"")</f>
        <v>-0.40512961179704049</v>
      </c>
      <c r="N110">
        <f>IFERROR(VLOOKUP($B110,'V03'!$A$8:$Q$29,13,1),"")</f>
        <v>-0.1959858585300992</v>
      </c>
      <c r="O110">
        <f>IFERROR(VLOOKUP($B110,'V03'!$A$8:$Q$29,14,1),"")</f>
        <v>1.3157894736842105E-2</v>
      </c>
      <c r="P110">
        <f>IFERROR(VLOOKUP($B110,'V03'!$A$8:$Q$29,15,1),"")</f>
        <v>0.22230164800378338</v>
      </c>
      <c r="Q110">
        <f>IFERROR(VLOOKUP($B110,'V03'!$A$8:$Q$29,16,1),"")</f>
        <v>0.43144540127072467</v>
      </c>
      <c r="R110">
        <f>IFERROR(VLOOKUP($B110,'V03'!$A$8:$Q$29,17,1),"")</f>
        <v>0.64058915453766596</v>
      </c>
      <c r="Z110" s="17"/>
      <c r="AY110" s="17"/>
    </row>
    <row r="111" spans="1:51" x14ac:dyDescent="0.25">
      <c r="A111" s="17"/>
      <c r="B111" s="2">
        <f>$E$76</f>
        <v>45954</v>
      </c>
      <c r="C111">
        <f>IFERROR(VLOOKUP($B111,'V03'!$A$9:$J$1048576,2,1),"")</f>
        <v>2</v>
      </c>
      <c r="D111" s="1">
        <f>IFERROR(VLOOKUP($B111,'V03'!$A$8:$J$29,4,1),"")</f>
        <v>-1.669335348317321</v>
      </c>
      <c r="E111" s="1">
        <f>IFERROR(VLOOKUP($B111,'V03'!$A$8:$J$29,5,1),"")</f>
        <v>-0.63920602168523155</v>
      </c>
      <c r="F111" s="1">
        <f>IFERROR(VLOOKUP($B111,'V03'!$A$8:$J$29,6,1),"")</f>
        <v>0.3909233049468579</v>
      </c>
      <c r="G111" s="1">
        <f>IFERROR(VLOOKUP($B111,'V03'!$A$8:$J$29,7,1),"")</f>
        <v>1.4210526315789473</v>
      </c>
      <c r="H111" s="1">
        <f>IFERROR(VLOOKUP($B111,'V03'!$A$8:$J$29,8,1),"")</f>
        <v>2.4511819582110368</v>
      </c>
      <c r="I111" s="1">
        <f>IFERROR(VLOOKUP($B111,'V03'!$A$8:$J$29,9,1),"")</f>
        <v>3.4813112848431262</v>
      </c>
      <c r="J111" s="1">
        <f>IFERROR(VLOOKUP($B111,'V03'!$A$8:$J$29,10,1),"")</f>
        <v>4.5114406114752157</v>
      </c>
      <c r="K111">
        <f>IFERROR(VLOOKUP($B111,'V03'!$A$9:$Q$1048576,3,1),"")</f>
        <v>0.5</v>
      </c>
      <c r="L111">
        <f>IFERROR(VLOOKUP($B111,'V03'!$A$8:$Q$29,11,1),"")</f>
        <v>-0.61427336506398167</v>
      </c>
      <c r="M111">
        <f>IFERROR(VLOOKUP($B111,'V03'!$A$8:$Q$29,12,1),"")</f>
        <v>-0.40512961179704049</v>
      </c>
      <c r="N111">
        <f>IFERROR(VLOOKUP($B111,'V03'!$A$8:$Q$29,13,1),"")</f>
        <v>-0.1959858585300992</v>
      </c>
      <c r="O111">
        <f>IFERROR(VLOOKUP($B111,'V03'!$A$8:$Q$29,14,1),"")</f>
        <v>1.3157894736842105E-2</v>
      </c>
      <c r="P111">
        <f>IFERROR(VLOOKUP($B111,'V03'!$A$8:$Q$29,15,1),"")</f>
        <v>0.22230164800378338</v>
      </c>
      <c r="Q111">
        <f>IFERROR(VLOOKUP($B111,'V03'!$A$8:$Q$29,16,1),"")</f>
        <v>0.43144540127072467</v>
      </c>
      <c r="R111">
        <f>IFERROR(VLOOKUP($B111,'V03'!$A$8:$Q$29,17,1),"")</f>
        <v>0.64058915453766596</v>
      </c>
      <c r="Z111" s="17"/>
      <c r="AY111" s="17"/>
    </row>
    <row r="112" spans="1:5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</row>
    <row r="113" spans="1:51" ht="50.1" customHeight="1" x14ac:dyDescent="0.25">
      <c r="A113" s="17"/>
      <c r="B113" s="39" t="s">
        <v>64</v>
      </c>
      <c r="C113" s="39"/>
      <c r="D113" s="39"/>
      <c r="E113" s="40">
        <v>45954</v>
      </c>
      <c r="F113" s="40"/>
      <c r="G113" s="40"/>
      <c r="H113" s="40"/>
      <c r="I113" s="40"/>
      <c r="J113" s="40"/>
      <c r="K113" s="40"/>
      <c r="L113" s="40"/>
      <c r="M113" s="40"/>
      <c r="N113" s="30" t="s">
        <v>73</v>
      </c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2"/>
      <c r="AY113" s="17"/>
    </row>
    <row r="114" spans="1:51" ht="50.1" customHeight="1" x14ac:dyDescent="0.25">
      <c r="A114" s="17"/>
      <c r="B114" s="39" t="s">
        <v>37</v>
      </c>
      <c r="C114" s="39"/>
      <c r="D114" s="39"/>
      <c r="E114" s="41">
        <f>'V04'!B1</f>
        <v>57.631578947368418</v>
      </c>
      <c r="F114" s="41"/>
      <c r="G114" s="41"/>
      <c r="H114" s="39" t="s">
        <v>25</v>
      </c>
      <c r="I114" s="39"/>
      <c r="J114" s="39"/>
      <c r="K114" s="42"/>
      <c r="L114" s="42"/>
      <c r="M114" s="42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5"/>
      <c r="AY114" s="17"/>
    </row>
    <row r="115" spans="1:51" ht="50.1" customHeight="1" x14ac:dyDescent="0.25">
      <c r="A115" s="17"/>
      <c r="B115" s="39" t="s">
        <v>66</v>
      </c>
      <c r="C115" s="39"/>
      <c r="D115" s="39"/>
      <c r="E115" s="41">
        <f>'V04'!B2*3</f>
        <v>55.870404810710468</v>
      </c>
      <c r="F115" s="41"/>
      <c r="G115" s="41"/>
      <c r="H115" s="39" t="s">
        <v>26</v>
      </c>
      <c r="I115" s="39"/>
      <c r="J115" s="39"/>
      <c r="K115" s="42"/>
      <c r="L115" s="42"/>
      <c r="M115" s="42"/>
      <c r="N115" s="36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8"/>
      <c r="AY115" s="17"/>
    </row>
    <row r="116" spans="1:5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</row>
    <row r="117" spans="1:51" x14ac:dyDescent="0.25">
      <c r="A117" s="17"/>
      <c r="B117" t="s">
        <v>67</v>
      </c>
      <c r="K117" t="s">
        <v>68</v>
      </c>
      <c r="Z117" s="17"/>
      <c r="AY117" s="17"/>
    </row>
    <row r="118" spans="1:51" x14ac:dyDescent="0.25">
      <c r="A118" s="17"/>
      <c r="B118" s="6" t="s">
        <v>69</v>
      </c>
      <c r="C118" s="6" t="s">
        <v>70</v>
      </c>
      <c r="D118" s="6" t="s">
        <v>34</v>
      </c>
      <c r="E118" s="6" t="s">
        <v>35</v>
      </c>
      <c r="F118" s="6" t="s">
        <v>36</v>
      </c>
      <c r="G118" s="6" t="s">
        <v>37</v>
      </c>
      <c r="H118" s="6" t="s">
        <v>38</v>
      </c>
      <c r="I118" s="6" t="s">
        <v>39</v>
      </c>
      <c r="J118" s="6" t="s">
        <v>40</v>
      </c>
      <c r="K118" s="6" t="s">
        <v>70</v>
      </c>
      <c r="L118" t="s">
        <v>34</v>
      </c>
      <c r="M118" t="s">
        <v>35</v>
      </c>
      <c r="N118" t="s">
        <v>36</v>
      </c>
      <c r="O118" t="s">
        <v>37</v>
      </c>
      <c r="P118" t="s">
        <v>38</v>
      </c>
      <c r="Q118" t="s">
        <v>39</v>
      </c>
      <c r="R118" t="s">
        <v>40</v>
      </c>
      <c r="Z118" s="17"/>
      <c r="AY118" s="17"/>
    </row>
    <row r="119" spans="1:51" x14ac:dyDescent="0.25">
      <c r="A119" s="17"/>
      <c r="B119" s="2">
        <f t="shared" ref="B119:B146" si="5">EDATE(B120,-1)</f>
        <v>45070</v>
      </c>
      <c r="C119">
        <f>IFERROR(VLOOKUP($B119,'V04'!$A$9:$J$1048576,2,1),"")</f>
        <v>52</v>
      </c>
      <c r="D119" s="1">
        <f>IFERROR(VLOOKUP($B119,'V04'!$A$8:$J$29,4,1),"")</f>
        <v>1.7611741366579494</v>
      </c>
      <c r="E119" s="1">
        <f>IFERROR(VLOOKUP($B119,'V04'!$A$8:$J$29,5,1),"")</f>
        <v>20.38464240689477</v>
      </c>
      <c r="F119" s="1">
        <f>IFERROR(VLOOKUP($B119,'V04'!$A$8:$J$29,6,1),"")</f>
        <v>39.008110677131597</v>
      </c>
      <c r="G119" s="1">
        <f>IFERROR(VLOOKUP($B119,'V04'!$A$8:$J$29,7,1),"")</f>
        <v>57.631578947368418</v>
      </c>
      <c r="H119" s="1">
        <f>IFERROR(VLOOKUP($B119,'V04'!$A$8:$J$29,8,1),"")</f>
        <v>76.255047217605238</v>
      </c>
      <c r="I119" s="1">
        <f>IFERROR(VLOOKUP($B119,'V04'!$A$8:$J$29,9,1),"")</f>
        <v>94.878515487842066</v>
      </c>
      <c r="J119" s="1">
        <f>IFERROR(VLOOKUP($B119,'V04'!$A$8:$J$29,10,1),"")</f>
        <v>113.50198375807889</v>
      </c>
      <c r="K119">
        <f>IFERROR(VLOOKUP($B119,'V04'!$A$9:$Q$1048576,3,1),"")</f>
        <v>2.25</v>
      </c>
      <c r="L119">
        <f>IFERROR(VLOOKUP($B119,'V04'!$A$8:$Q$29,11,1),"")</f>
        <v>-6.973007111749407</v>
      </c>
      <c r="M119">
        <f>IFERROR(VLOOKUP($B119,'V04'!$A$8:$Q$29,12,1),"")</f>
        <v>-4.5083205306399545</v>
      </c>
      <c r="N119">
        <f>IFERROR(VLOOKUP($B119,'V04'!$A$8:$Q$29,13,1),"")</f>
        <v>-2.0436339495305038</v>
      </c>
      <c r="O119">
        <f>IFERROR(VLOOKUP($B119,'V04'!$A$8:$Q$29,14,1),"")</f>
        <v>0.42105263157894735</v>
      </c>
      <c r="P119">
        <f>IFERROR(VLOOKUP($B119,'V04'!$A$8:$Q$29,15,1),"")</f>
        <v>2.8857392126883985</v>
      </c>
      <c r="Q119">
        <f>IFERROR(VLOOKUP($B119,'V04'!$A$8:$Q$29,16,1),"")</f>
        <v>5.3504257937978501</v>
      </c>
      <c r="R119">
        <f>IFERROR(VLOOKUP($B119,'V04'!$A$8:$Q$29,17,1),"")</f>
        <v>7.8151123749073008</v>
      </c>
      <c r="Z119" s="17"/>
      <c r="AY119" s="17"/>
    </row>
    <row r="120" spans="1:51" x14ac:dyDescent="0.25">
      <c r="A120" s="17"/>
      <c r="B120" s="2">
        <f t="shared" si="5"/>
        <v>45101</v>
      </c>
      <c r="C120">
        <f>IFERROR(VLOOKUP($B120,'V04'!$A$9:$J$1048576,2,1),"")</f>
        <v>47</v>
      </c>
      <c r="D120" s="1">
        <f>IFERROR(VLOOKUP($B120,'V04'!$A$8:$J$29,4,1),"")</f>
        <v>1.7611741366579494</v>
      </c>
      <c r="E120" s="1">
        <f>IFERROR(VLOOKUP($B120,'V04'!$A$8:$J$29,5,1),"")</f>
        <v>20.38464240689477</v>
      </c>
      <c r="F120" s="1">
        <f>IFERROR(VLOOKUP($B120,'V04'!$A$8:$J$29,6,1),"")</f>
        <v>39.008110677131597</v>
      </c>
      <c r="G120" s="1">
        <f>IFERROR(VLOOKUP($B120,'V04'!$A$8:$J$29,7,1),"")</f>
        <v>57.631578947368418</v>
      </c>
      <c r="H120" s="1">
        <f>IFERROR(VLOOKUP($B120,'V04'!$A$8:$J$29,8,1),"")</f>
        <v>76.255047217605238</v>
      </c>
      <c r="I120" s="1">
        <f>IFERROR(VLOOKUP($B120,'V04'!$A$8:$J$29,9,1),"")</f>
        <v>94.878515487842066</v>
      </c>
      <c r="J120" s="1">
        <f>IFERROR(VLOOKUP($B120,'V04'!$A$8:$J$29,10,1),"")</f>
        <v>113.50198375807889</v>
      </c>
      <c r="K120">
        <f>IFERROR(VLOOKUP($B120,'V04'!$A$9:$Q$1048576,3,1),"")</f>
        <v>-1.25</v>
      </c>
      <c r="L120">
        <f>IFERROR(VLOOKUP($B120,'V04'!$A$8:$Q$29,11,1),"")</f>
        <v>-6.973007111749407</v>
      </c>
      <c r="M120">
        <f>IFERROR(VLOOKUP($B120,'V04'!$A$8:$Q$29,12,1),"")</f>
        <v>-4.5083205306399545</v>
      </c>
      <c r="N120">
        <f>IFERROR(VLOOKUP($B120,'V04'!$A$8:$Q$29,13,1),"")</f>
        <v>-2.0436339495305038</v>
      </c>
      <c r="O120">
        <f>IFERROR(VLOOKUP($B120,'V04'!$A$8:$Q$29,14,1),"")</f>
        <v>0.42105263157894735</v>
      </c>
      <c r="P120">
        <f>IFERROR(VLOOKUP($B120,'V04'!$A$8:$Q$29,15,1),"")</f>
        <v>2.8857392126883985</v>
      </c>
      <c r="Q120">
        <f>IFERROR(VLOOKUP($B120,'V04'!$A$8:$Q$29,16,1),"")</f>
        <v>5.3504257937978501</v>
      </c>
      <c r="R120">
        <f>IFERROR(VLOOKUP($B120,'V04'!$A$8:$Q$29,17,1),"")</f>
        <v>7.8151123749073008</v>
      </c>
      <c r="Z120" s="17"/>
      <c r="AY120" s="17"/>
    </row>
    <row r="121" spans="1:51" x14ac:dyDescent="0.25">
      <c r="A121" s="17"/>
      <c r="B121" s="2">
        <f t="shared" si="5"/>
        <v>45131</v>
      </c>
      <c r="C121">
        <f>IFERROR(VLOOKUP($B121,'V04'!$A$9:$J$1048576,2,1),"")</f>
        <v>52</v>
      </c>
      <c r="D121" s="1">
        <f>IFERROR(VLOOKUP($B121,'V04'!$A$8:$J$29,4,1),"")</f>
        <v>1.7611741366579494</v>
      </c>
      <c r="E121" s="1">
        <f>IFERROR(VLOOKUP($B121,'V04'!$A$8:$J$29,5,1),"")</f>
        <v>20.38464240689477</v>
      </c>
      <c r="F121" s="1">
        <f>IFERROR(VLOOKUP($B121,'V04'!$A$8:$J$29,6,1),"")</f>
        <v>39.008110677131597</v>
      </c>
      <c r="G121" s="1">
        <f>IFERROR(VLOOKUP($B121,'V04'!$A$8:$J$29,7,1),"")</f>
        <v>57.631578947368418</v>
      </c>
      <c r="H121" s="1">
        <f>IFERROR(VLOOKUP($B121,'V04'!$A$8:$J$29,8,1),"")</f>
        <v>76.255047217605238</v>
      </c>
      <c r="I121" s="1">
        <f>IFERROR(VLOOKUP($B121,'V04'!$A$8:$J$29,9,1),"")</f>
        <v>94.878515487842066</v>
      </c>
      <c r="J121" s="1">
        <f>IFERROR(VLOOKUP($B121,'V04'!$A$8:$J$29,10,1),"")</f>
        <v>113.50198375807889</v>
      </c>
      <c r="K121">
        <f>IFERROR(VLOOKUP($B121,'V04'!$A$9:$Q$1048576,3,1),"")</f>
        <v>1.25</v>
      </c>
      <c r="L121">
        <f>IFERROR(VLOOKUP($B121,'V04'!$A$8:$Q$29,11,1),"")</f>
        <v>-6.973007111749407</v>
      </c>
      <c r="M121">
        <f>IFERROR(VLOOKUP($B121,'V04'!$A$8:$Q$29,12,1),"")</f>
        <v>-4.5083205306399545</v>
      </c>
      <c r="N121">
        <f>IFERROR(VLOOKUP($B121,'V04'!$A$8:$Q$29,13,1),"")</f>
        <v>-2.0436339495305038</v>
      </c>
      <c r="O121">
        <f>IFERROR(VLOOKUP($B121,'V04'!$A$8:$Q$29,14,1),"")</f>
        <v>0.42105263157894735</v>
      </c>
      <c r="P121">
        <f>IFERROR(VLOOKUP($B121,'V04'!$A$8:$Q$29,15,1),"")</f>
        <v>2.8857392126883985</v>
      </c>
      <c r="Q121">
        <f>IFERROR(VLOOKUP($B121,'V04'!$A$8:$Q$29,16,1),"")</f>
        <v>5.3504257937978501</v>
      </c>
      <c r="R121">
        <f>IFERROR(VLOOKUP($B121,'V04'!$A$8:$Q$29,17,1),"")</f>
        <v>7.8151123749073008</v>
      </c>
      <c r="Z121" s="17"/>
      <c r="AY121" s="17"/>
    </row>
    <row r="122" spans="1:51" x14ac:dyDescent="0.25">
      <c r="A122" s="17"/>
      <c r="B122" s="2">
        <f t="shared" si="5"/>
        <v>45162</v>
      </c>
      <c r="C122">
        <f>IFERROR(VLOOKUP($B122,'V04'!$A$9:$J$1048576,2,1),"")</f>
        <v>54</v>
      </c>
      <c r="D122" s="1">
        <f>IFERROR(VLOOKUP($B122,'V04'!$A$8:$J$29,4,1),"")</f>
        <v>1.7611741366579494</v>
      </c>
      <c r="E122" s="1">
        <f>IFERROR(VLOOKUP($B122,'V04'!$A$8:$J$29,5,1),"")</f>
        <v>20.38464240689477</v>
      </c>
      <c r="F122" s="1">
        <f>IFERROR(VLOOKUP($B122,'V04'!$A$8:$J$29,6,1),"")</f>
        <v>39.008110677131597</v>
      </c>
      <c r="G122" s="1">
        <f>IFERROR(VLOOKUP($B122,'V04'!$A$8:$J$29,7,1),"")</f>
        <v>57.631578947368418</v>
      </c>
      <c r="H122" s="1">
        <f>IFERROR(VLOOKUP($B122,'V04'!$A$8:$J$29,8,1),"")</f>
        <v>76.255047217605238</v>
      </c>
      <c r="I122" s="1">
        <f>IFERROR(VLOOKUP($B122,'V04'!$A$8:$J$29,9,1),"")</f>
        <v>94.878515487842066</v>
      </c>
      <c r="J122" s="1">
        <f>IFERROR(VLOOKUP($B122,'V04'!$A$8:$J$29,10,1),"")</f>
        <v>113.50198375807889</v>
      </c>
      <c r="K122">
        <f>IFERROR(VLOOKUP($B122,'V04'!$A$9:$Q$1048576,3,1),"")</f>
        <v>0.5</v>
      </c>
      <c r="L122">
        <f>IFERROR(VLOOKUP($B122,'V04'!$A$8:$Q$29,11,1),"")</f>
        <v>-6.973007111749407</v>
      </c>
      <c r="M122">
        <f>IFERROR(VLOOKUP($B122,'V04'!$A$8:$Q$29,12,1),"")</f>
        <v>-4.5083205306399545</v>
      </c>
      <c r="N122">
        <f>IFERROR(VLOOKUP($B122,'V04'!$A$8:$Q$29,13,1),"")</f>
        <v>-2.0436339495305038</v>
      </c>
      <c r="O122">
        <f>IFERROR(VLOOKUP($B122,'V04'!$A$8:$Q$29,14,1),"")</f>
        <v>0.42105263157894735</v>
      </c>
      <c r="P122">
        <f>IFERROR(VLOOKUP($B122,'V04'!$A$8:$Q$29,15,1),"")</f>
        <v>2.8857392126883985</v>
      </c>
      <c r="Q122">
        <f>IFERROR(VLOOKUP($B122,'V04'!$A$8:$Q$29,16,1),"")</f>
        <v>5.3504257937978501</v>
      </c>
      <c r="R122">
        <f>IFERROR(VLOOKUP($B122,'V04'!$A$8:$Q$29,17,1),"")</f>
        <v>7.8151123749073008</v>
      </c>
      <c r="Z122" s="17"/>
      <c r="AY122" s="17"/>
    </row>
    <row r="123" spans="1:51" x14ac:dyDescent="0.25">
      <c r="A123" s="17"/>
      <c r="B123" s="2">
        <f t="shared" si="5"/>
        <v>45193</v>
      </c>
      <c r="C123">
        <f>IFERROR(VLOOKUP($B123,'V04'!$A$9:$J$1048576,2,1),"")</f>
        <v>52</v>
      </c>
      <c r="D123" s="1">
        <f>IFERROR(VLOOKUP($B123,'V04'!$A$8:$J$29,4,1),"")</f>
        <v>1.7611741366579494</v>
      </c>
      <c r="E123" s="1">
        <f>IFERROR(VLOOKUP($B123,'V04'!$A$8:$J$29,5,1),"")</f>
        <v>20.38464240689477</v>
      </c>
      <c r="F123" s="1">
        <f>IFERROR(VLOOKUP($B123,'V04'!$A$8:$J$29,6,1),"")</f>
        <v>39.008110677131597</v>
      </c>
      <c r="G123" s="1">
        <f>IFERROR(VLOOKUP($B123,'V04'!$A$8:$J$29,7,1),"")</f>
        <v>57.631578947368418</v>
      </c>
      <c r="H123" s="1">
        <f>IFERROR(VLOOKUP($B123,'V04'!$A$8:$J$29,8,1),"")</f>
        <v>76.255047217605238</v>
      </c>
      <c r="I123" s="1">
        <f>IFERROR(VLOOKUP($B123,'V04'!$A$8:$J$29,9,1),"")</f>
        <v>94.878515487842066</v>
      </c>
      <c r="J123" s="1">
        <f>IFERROR(VLOOKUP($B123,'V04'!$A$8:$J$29,10,1),"")</f>
        <v>113.50198375807889</v>
      </c>
      <c r="K123">
        <f>IFERROR(VLOOKUP($B123,'V04'!$A$9:$Q$1048576,3,1),"")</f>
        <v>-0.5</v>
      </c>
      <c r="L123">
        <f>IFERROR(VLOOKUP($B123,'V04'!$A$8:$Q$29,11,1),"")</f>
        <v>-6.973007111749407</v>
      </c>
      <c r="M123">
        <f>IFERROR(VLOOKUP($B123,'V04'!$A$8:$Q$29,12,1),"")</f>
        <v>-4.5083205306399545</v>
      </c>
      <c r="N123">
        <f>IFERROR(VLOOKUP($B123,'V04'!$A$8:$Q$29,13,1),"")</f>
        <v>-2.0436339495305038</v>
      </c>
      <c r="O123">
        <f>IFERROR(VLOOKUP($B123,'V04'!$A$8:$Q$29,14,1),"")</f>
        <v>0.42105263157894735</v>
      </c>
      <c r="P123">
        <f>IFERROR(VLOOKUP($B123,'V04'!$A$8:$Q$29,15,1),"")</f>
        <v>2.8857392126883985</v>
      </c>
      <c r="Q123">
        <f>IFERROR(VLOOKUP($B123,'V04'!$A$8:$Q$29,16,1),"")</f>
        <v>5.3504257937978501</v>
      </c>
      <c r="R123">
        <f>IFERROR(VLOOKUP($B123,'V04'!$A$8:$Q$29,17,1),"")</f>
        <v>7.8151123749073008</v>
      </c>
      <c r="Z123" s="17"/>
      <c r="AY123" s="17"/>
    </row>
    <row r="124" spans="1:51" x14ac:dyDescent="0.25">
      <c r="A124" s="17"/>
      <c r="B124" s="2">
        <f t="shared" si="5"/>
        <v>45223</v>
      </c>
      <c r="C124">
        <f>IFERROR(VLOOKUP($B124,'V04'!$A$9:$J$1048576,2,1),"")</f>
        <v>61</v>
      </c>
      <c r="D124" s="1">
        <f>IFERROR(VLOOKUP($B124,'V04'!$A$8:$J$29,4,1),"")</f>
        <v>1.7611741366579494</v>
      </c>
      <c r="E124" s="1">
        <f>IFERROR(VLOOKUP($B124,'V04'!$A$8:$J$29,5,1),"")</f>
        <v>20.38464240689477</v>
      </c>
      <c r="F124" s="1">
        <f>IFERROR(VLOOKUP($B124,'V04'!$A$8:$J$29,6,1),"")</f>
        <v>39.008110677131597</v>
      </c>
      <c r="G124" s="1">
        <f>IFERROR(VLOOKUP($B124,'V04'!$A$8:$J$29,7,1),"")</f>
        <v>57.631578947368418</v>
      </c>
      <c r="H124" s="1">
        <f>IFERROR(VLOOKUP($B124,'V04'!$A$8:$J$29,8,1),"")</f>
        <v>76.255047217605238</v>
      </c>
      <c r="I124" s="1">
        <f>IFERROR(VLOOKUP($B124,'V04'!$A$8:$J$29,9,1),"")</f>
        <v>94.878515487842066</v>
      </c>
      <c r="J124" s="1">
        <f>IFERROR(VLOOKUP($B124,'V04'!$A$8:$J$29,10,1),"")</f>
        <v>113.50198375807889</v>
      </c>
      <c r="K124">
        <f>IFERROR(VLOOKUP($B124,'V04'!$A$9:$Q$1048576,3,1),"")</f>
        <v>2.25</v>
      </c>
      <c r="L124">
        <f>IFERROR(VLOOKUP($B124,'V04'!$A$8:$Q$29,11,1),"")</f>
        <v>-6.973007111749407</v>
      </c>
      <c r="M124">
        <f>IFERROR(VLOOKUP($B124,'V04'!$A$8:$Q$29,12,1),"")</f>
        <v>-4.5083205306399545</v>
      </c>
      <c r="N124">
        <f>IFERROR(VLOOKUP($B124,'V04'!$A$8:$Q$29,13,1),"")</f>
        <v>-2.0436339495305038</v>
      </c>
      <c r="O124">
        <f>IFERROR(VLOOKUP($B124,'V04'!$A$8:$Q$29,14,1),"")</f>
        <v>0.42105263157894735</v>
      </c>
      <c r="P124">
        <f>IFERROR(VLOOKUP($B124,'V04'!$A$8:$Q$29,15,1),"")</f>
        <v>2.8857392126883985</v>
      </c>
      <c r="Q124">
        <f>IFERROR(VLOOKUP($B124,'V04'!$A$8:$Q$29,16,1),"")</f>
        <v>5.3504257937978501</v>
      </c>
      <c r="R124">
        <f>IFERROR(VLOOKUP($B124,'V04'!$A$8:$Q$29,17,1),"")</f>
        <v>7.8151123749073008</v>
      </c>
      <c r="Z124" s="17"/>
      <c r="AY124" s="17"/>
    </row>
    <row r="125" spans="1:51" x14ac:dyDescent="0.25">
      <c r="A125" s="17"/>
      <c r="B125" s="2">
        <f t="shared" si="5"/>
        <v>45254</v>
      </c>
      <c r="C125">
        <f>IFERROR(VLOOKUP($B125,'V04'!$A$9:$J$1048576,2,1),"")</f>
        <v>65</v>
      </c>
      <c r="D125" s="1">
        <f>IFERROR(VLOOKUP($B125,'V04'!$A$8:$J$29,4,1),"")</f>
        <v>1.7611741366579494</v>
      </c>
      <c r="E125" s="1">
        <f>IFERROR(VLOOKUP($B125,'V04'!$A$8:$J$29,5,1),"")</f>
        <v>20.38464240689477</v>
      </c>
      <c r="F125" s="1">
        <f>IFERROR(VLOOKUP($B125,'V04'!$A$8:$J$29,6,1),"")</f>
        <v>39.008110677131597</v>
      </c>
      <c r="G125" s="1">
        <f>IFERROR(VLOOKUP($B125,'V04'!$A$8:$J$29,7,1),"")</f>
        <v>57.631578947368418</v>
      </c>
      <c r="H125" s="1">
        <f>IFERROR(VLOOKUP($B125,'V04'!$A$8:$J$29,8,1),"")</f>
        <v>76.255047217605238</v>
      </c>
      <c r="I125" s="1">
        <f>IFERROR(VLOOKUP($B125,'V04'!$A$8:$J$29,9,1),"")</f>
        <v>94.878515487842066</v>
      </c>
      <c r="J125" s="1">
        <f>IFERROR(VLOOKUP($B125,'V04'!$A$8:$J$29,10,1),"")</f>
        <v>113.50198375807889</v>
      </c>
      <c r="K125">
        <f>IFERROR(VLOOKUP($B125,'V04'!$A$9:$Q$1048576,3,1),"")</f>
        <v>1</v>
      </c>
      <c r="L125">
        <f>IFERROR(VLOOKUP($B125,'V04'!$A$8:$Q$29,11,1),"")</f>
        <v>-6.973007111749407</v>
      </c>
      <c r="M125">
        <f>IFERROR(VLOOKUP($B125,'V04'!$A$8:$Q$29,12,1),"")</f>
        <v>-4.5083205306399545</v>
      </c>
      <c r="N125">
        <f>IFERROR(VLOOKUP($B125,'V04'!$A$8:$Q$29,13,1),"")</f>
        <v>-2.0436339495305038</v>
      </c>
      <c r="O125">
        <f>IFERROR(VLOOKUP($B125,'V04'!$A$8:$Q$29,14,1),"")</f>
        <v>0.42105263157894735</v>
      </c>
      <c r="P125">
        <f>IFERROR(VLOOKUP($B125,'V04'!$A$8:$Q$29,15,1),"")</f>
        <v>2.8857392126883985</v>
      </c>
      <c r="Q125">
        <f>IFERROR(VLOOKUP($B125,'V04'!$A$8:$Q$29,16,1),"")</f>
        <v>5.3504257937978501</v>
      </c>
      <c r="R125">
        <f>IFERROR(VLOOKUP($B125,'V04'!$A$8:$Q$29,17,1),"")</f>
        <v>7.8151123749073008</v>
      </c>
      <c r="Z125" s="17"/>
      <c r="AY125" s="17"/>
    </row>
    <row r="126" spans="1:51" x14ac:dyDescent="0.25">
      <c r="A126" s="17"/>
      <c r="B126" s="2">
        <f t="shared" si="5"/>
        <v>45284</v>
      </c>
      <c r="C126">
        <f>IFERROR(VLOOKUP($B126,'V04'!$A$9:$J$1048576,2,1),"")</f>
        <v>69</v>
      </c>
      <c r="D126" s="1">
        <f>IFERROR(VLOOKUP($B126,'V04'!$A$8:$J$29,4,1),"")</f>
        <v>1.7611741366579494</v>
      </c>
      <c r="E126" s="1">
        <f>IFERROR(VLOOKUP($B126,'V04'!$A$8:$J$29,5,1),"")</f>
        <v>20.38464240689477</v>
      </c>
      <c r="F126" s="1">
        <f>IFERROR(VLOOKUP($B126,'V04'!$A$8:$J$29,6,1),"")</f>
        <v>39.008110677131597</v>
      </c>
      <c r="G126" s="1">
        <f>IFERROR(VLOOKUP($B126,'V04'!$A$8:$J$29,7,1),"")</f>
        <v>57.631578947368418</v>
      </c>
      <c r="H126" s="1">
        <f>IFERROR(VLOOKUP($B126,'V04'!$A$8:$J$29,8,1),"")</f>
        <v>76.255047217605238</v>
      </c>
      <c r="I126" s="1">
        <f>IFERROR(VLOOKUP($B126,'V04'!$A$8:$J$29,9,1),"")</f>
        <v>94.878515487842066</v>
      </c>
      <c r="J126" s="1">
        <f>IFERROR(VLOOKUP($B126,'V04'!$A$8:$J$29,10,1),"")</f>
        <v>113.50198375807889</v>
      </c>
      <c r="K126">
        <f>IFERROR(VLOOKUP($B126,'V04'!$A$9:$Q$1048576,3,1),"")</f>
        <v>1</v>
      </c>
      <c r="L126">
        <f>IFERROR(VLOOKUP($B126,'V04'!$A$8:$Q$29,11,1),"")</f>
        <v>-6.973007111749407</v>
      </c>
      <c r="M126">
        <f>IFERROR(VLOOKUP($B126,'V04'!$A$8:$Q$29,12,1),"")</f>
        <v>-4.5083205306399545</v>
      </c>
      <c r="N126">
        <f>IFERROR(VLOOKUP($B126,'V04'!$A$8:$Q$29,13,1),"")</f>
        <v>-2.0436339495305038</v>
      </c>
      <c r="O126">
        <f>IFERROR(VLOOKUP($B126,'V04'!$A$8:$Q$29,14,1),"")</f>
        <v>0.42105263157894735</v>
      </c>
      <c r="P126">
        <f>IFERROR(VLOOKUP($B126,'V04'!$A$8:$Q$29,15,1),"")</f>
        <v>2.8857392126883985</v>
      </c>
      <c r="Q126">
        <f>IFERROR(VLOOKUP($B126,'V04'!$A$8:$Q$29,16,1),"")</f>
        <v>5.3504257937978501</v>
      </c>
      <c r="R126">
        <f>IFERROR(VLOOKUP($B126,'V04'!$A$8:$Q$29,17,1),"")</f>
        <v>7.8151123749073008</v>
      </c>
      <c r="Z126" s="17"/>
      <c r="AY126" s="17"/>
    </row>
    <row r="127" spans="1:51" x14ac:dyDescent="0.25">
      <c r="A127" s="17"/>
      <c r="B127" s="2">
        <f t="shared" si="5"/>
        <v>45315</v>
      </c>
      <c r="C127">
        <f>IFERROR(VLOOKUP($B127,'V04'!$A$9:$J$1048576,2,1),"")</f>
        <v>71</v>
      </c>
      <c r="D127" s="1">
        <f>IFERROR(VLOOKUP($B127,'V04'!$A$8:$J$29,4,1),"")</f>
        <v>1.7611741366579494</v>
      </c>
      <c r="E127" s="1">
        <f>IFERROR(VLOOKUP($B127,'V04'!$A$8:$J$29,5,1),"")</f>
        <v>20.38464240689477</v>
      </c>
      <c r="F127" s="1">
        <f>IFERROR(VLOOKUP($B127,'V04'!$A$8:$J$29,6,1),"")</f>
        <v>39.008110677131597</v>
      </c>
      <c r="G127" s="1">
        <f>IFERROR(VLOOKUP($B127,'V04'!$A$8:$J$29,7,1),"")</f>
        <v>57.631578947368418</v>
      </c>
      <c r="H127" s="1">
        <f>IFERROR(VLOOKUP($B127,'V04'!$A$8:$J$29,8,1),"")</f>
        <v>76.255047217605238</v>
      </c>
      <c r="I127" s="1">
        <f>IFERROR(VLOOKUP($B127,'V04'!$A$8:$J$29,9,1),"")</f>
        <v>94.878515487842066</v>
      </c>
      <c r="J127" s="1">
        <f>IFERROR(VLOOKUP($B127,'V04'!$A$8:$J$29,10,1),"")</f>
        <v>113.50198375807889</v>
      </c>
      <c r="K127">
        <f>IFERROR(VLOOKUP($B127,'V04'!$A$9:$Q$1048576,3,1),"")</f>
        <v>0.5</v>
      </c>
      <c r="L127">
        <f>IFERROR(VLOOKUP($B127,'V04'!$A$8:$Q$29,11,1),"")</f>
        <v>-6.973007111749407</v>
      </c>
      <c r="M127">
        <f>IFERROR(VLOOKUP($B127,'V04'!$A$8:$Q$29,12,1),"")</f>
        <v>-4.5083205306399545</v>
      </c>
      <c r="N127">
        <f>IFERROR(VLOOKUP($B127,'V04'!$A$8:$Q$29,13,1),"")</f>
        <v>-2.0436339495305038</v>
      </c>
      <c r="O127">
        <f>IFERROR(VLOOKUP($B127,'V04'!$A$8:$Q$29,14,1),"")</f>
        <v>0.42105263157894735</v>
      </c>
      <c r="P127">
        <f>IFERROR(VLOOKUP($B127,'V04'!$A$8:$Q$29,15,1),"")</f>
        <v>2.8857392126883985</v>
      </c>
      <c r="Q127">
        <f>IFERROR(VLOOKUP($B127,'V04'!$A$8:$Q$29,16,1),"")</f>
        <v>5.3504257937978501</v>
      </c>
      <c r="R127">
        <f>IFERROR(VLOOKUP($B127,'V04'!$A$8:$Q$29,17,1),"")</f>
        <v>7.8151123749073008</v>
      </c>
      <c r="Z127" s="17"/>
      <c r="AY127" s="17"/>
    </row>
    <row r="128" spans="1:51" x14ac:dyDescent="0.25">
      <c r="A128" s="17"/>
      <c r="B128" s="2">
        <f t="shared" si="5"/>
        <v>45346</v>
      </c>
      <c r="C128">
        <f>IFERROR(VLOOKUP($B128,'V04'!$A$9:$J$1048576,2,1),"")</f>
        <v>61</v>
      </c>
      <c r="D128" s="1">
        <f>IFERROR(VLOOKUP($B128,'V04'!$A$8:$J$29,4,1),"")</f>
        <v>1.7611741366579494</v>
      </c>
      <c r="E128" s="1">
        <f>IFERROR(VLOOKUP($B128,'V04'!$A$8:$J$29,5,1),"")</f>
        <v>20.38464240689477</v>
      </c>
      <c r="F128" s="1">
        <f>IFERROR(VLOOKUP($B128,'V04'!$A$8:$J$29,6,1),"")</f>
        <v>39.008110677131597</v>
      </c>
      <c r="G128" s="1">
        <f>IFERROR(VLOOKUP($B128,'V04'!$A$8:$J$29,7,1),"")</f>
        <v>57.631578947368418</v>
      </c>
      <c r="H128" s="1">
        <f>IFERROR(VLOOKUP($B128,'V04'!$A$8:$J$29,8,1),"")</f>
        <v>76.255047217605238</v>
      </c>
      <c r="I128" s="1">
        <f>IFERROR(VLOOKUP($B128,'V04'!$A$8:$J$29,9,1),"")</f>
        <v>94.878515487842066</v>
      </c>
      <c r="J128" s="1">
        <f>IFERROR(VLOOKUP($B128,'V04'!$A$8:$J$29,10,1),"")</f>
        <v>113.50198375807889</v>
      </c>
      <c r="K128">
        <f>IFERROR(VLOOKUP($B128,'V04'!$A$9:$Q$1048576,3,1),"")</f>
        <v>-2.5</v>
      </c>
      <c r="L128">
        <f>IFERROR(VLOOKUP($B128,'V04'!$A$8:$Q$29,11,1),"")</f>
        <v>-6.973007111749407</v>
      </c>
      <c r="M128">
        <f>IFERROR(VLOOKUP($B128,'V04'!$A$8:$Q$29,12,1),"")</f>
        <v>-4.5083205306399545</v>
      </c>
      <c r="N128">
        <f>IFERROR(VLOOKUP($B128,'V04'!$A$8:$Q$29,13,1),"")</f>
        <v>-2.0436339495305038</v>
      </c>
      <c r="O128">
        <f>IFERROR(VLOOKUP($B128,'V04'!$A$8:$Q$29,14,1),"")</f>
        <v>0.42105263157894735</v>
      </c>
      <c r="P128">
        <f>IFERROR(VLOOKUP($B128,'V04'!$A$8:$Q$29,15,1),"")</f>
        <v>2.8857392126883985</v>
      </c>
      <c r="Q128">
        <f>IFERROR(VLOOKUP($B128,'V04'!$A$8:$Q$29,16,1),"")</f>
        <v>5.3504257937978501</v>
      </c>
      <c r="R128">
        <f>IFERROR(VLOOKUP($B128,'V04'!$A$8:$Q$29,17,1),"")</f>
        <v>7.8151123749073008</v>
      </c>
      <c r="Z128" s="17"/>
      <c r="AY128" s="17"/>
    </row>
    <row r="129" spans="1:51" x14ac:dyDescent="0.25">
      <c r="A129" s="17"/>
      <c r="B129" s="2">
        <f t="shared" si="5"/>
        <v>45375</v>
      </c>
      <c r="C129">
        <f>IFERROR(VLOOKUP($B129,'V04'!$A$9:$J$1048576,2,1),"")</f>
        <v>51</v>
      </c>
      <c r="D129" s="1">
        <f>IFERROR(VLOOKUP($B129,'V04'!$A$8:$J$29,4,1),"")</f>
        <v>1.7611741366579494</v>
      </c>
      <c r="E129" s="1">
        <f>IFERROR(VLOOKUP($B129,'V04'!$A$8:$J$29,5,1),"")</f>
        <v>20.38464240689477</v>
      </c>
      <c r="F129" s="1">
        <f>IFERROR(VLOOKUP($B129,'V04'!$A$8:$J$29,6,1),"")</f>
        <v>39.008110677131597</v>
      </c>
      <c r="G129" s="1">
        <f>IFERROR(VLOOKUP($B129,'V04'!$A$8:$J$29,7,1),"")</f>
        <v>57.631578947368418</v>
      </c>
      <c r="H129" s="1">
        <f>IFERROR(VLOOKUP($B129,'V04'!$A$8:$J$29,8,1),"")</f>
        <v>76.255047217605238</v>
      </c>
      <c r="I129" s="1">
        <f>IFERROR(VLOOKUP($B129,'V04'!$A$8:$J$29,9,1),"")</f>
        <v>94.878515487842066</v>
      </c>
      <c r="J129" s="1">
        <f>IFERROR(VLOOKUP($B129,'V04'!$A$8:$J$29,10,1),"")</f>
        <v>113.50198375807889</v>
      </c>
      <c r="K129">
        <f>IFERROR(VLOOKUP($B129,'V04'!$A$9:$Q$1048576,3,1),"")</f>
        <v>-2.5</v>
      </c>
      <c r="L129">
        <f>IFERROR(VLOOKUP($B129,'V04'!$A$8:$Q$29,11,1),"")</f>
        <v>-6.973007111749407</v>
      </c>
      <c r="M129">
        <f>IFERROR(VLOOKUP($B129,'V04'!$A$8:$Q$29,12,1),"")</f>
        <v>-4.5083205306399545</v>
      </c>
      <c r="N129">
        <f>IFERROR(VLOOKUP($B129,'V04'!$A$8:$Q$29,13,1),"")</f>
        <v>-2.0436339495305038</v>
      </c>
      <c r="O129">
        <f>IFERROR(VLOOKUP($B129,'V04'!$A$8:$Q$29,14,1),"")</f>
        <v>0.42105263157894735</v>
      </c>
      <c r="P129">
        <f>IFERROR(VLOOKUP($B129,'V04'!$A$8:$Q$29,15,1),"")</f>
        <v>2.8857392126883985</v>
      </c>
      <c r="Q129">
        <f>IFERROR(VLOOKUP($B129,'V04'!$A$8:$Q$29,16,1),"")</f>
        <v>5.3504257937978501</v>
      </c>
      <c r="R129">
        <f>IFERROR(VLOOKUP($B129,'V04'!$A$8:$Q$29,17,1),"")</f>
        <v>7.8151123749073008</v>
      </c>
      <c r="Z129" s="17"/>
      <c r="AY129" s="17"/>
    </row>
    <row r="130" spans="1:51" x14ac:dyDescent="0.25">
      <c r="A130" s="17"/>
      <c r="B130" s="2">
        <f t="shared" si="5"/>
        <v>45406</v>
      </c>
      <c r="C130">
        <f>IFERROR(VLOOKUP($B130,'V04'!$A$9:$J$1048576,2,1),"")</f>
        <v>44</v>
      </c>
      <c r="D130" s="1">
        <f>IFERROR(VLOOKUP($B130,'V04'!$A$8:$J$29,4,1),"")</f>
        <v>1.7611741366579494</v>
      </c>
      <c r="E130" s="1">
        <f>IFERROR(VLOOKUP($B130,'V04'!$A$8:$J$29,5,1),"")</f>
        <v>20.38464240689477</v>
      </c>
      <c r="F130" s="1">
        <f>IFERROR(VLOOKUP($B130,'V04'!$A$8:$J$29,6,1),"")</f>
        <v>39.008110677131597</v>
      </c>
      <c r="G130" s="1">
        <f>IFERROR(VLOOKUP($B130,'V04'!$A$8:$J$29,7,1),"")</f>
        <v>57.631578947368418</v>
      </c>
      <c r="H130" s="1">
        <f>IFERROR(VLOOKUP($B130,'V04'!$A$8:$J$29,8,1),"")</f>
        <v>76.255047217605238</v>
      </c>
      <c r="I130" s="1">
        <f>IFERROR(VLOOKUP($B130,'V04'!$A$8:$J$29,9,1),"")</f>
        <v>94.878515487842066</v>
      </c>
      <c r="J130" s="1">
        <f>IFERROR(VLOOKUP($B130,'V04'!$A$8:$J$29,10,1),"")</f>
        <v>113.50198375807889</v>
      </c>
      <c r="K130">
        <f>IFERROR(VLOOKUP($B130,'V04'!$A$9:$Q$1048576,3,1),"")</f>
        <v>-1.75</v>
      </c>
      <c r="L130">
        <f>IFERROR(VLOOKUP($B130,'V04'!$A$8:$Q$29,11,1),"")</f>
        <v>-6.973007111749407</v>
      </c>
      <c r="M130">
        <f>IFERROR(VLOOKUP($B130,'V04'!$A$8:$Q$29,12,1),"")</f>
        <v>-4.5083205306399545</v>
      </c>
      <c r="N130">
        <f>IFERROR(VLOOKUP($B130,'V04'!$A$8:$Q$29,13,1),"")</f>
        <v>-2.0436339495305038</v>
      </c>
      <c r="O130">
        <f>IFERROR(VLOOKUP($B130,'V04'!$A$8:$Q$29,14,1),"")</f>
        <v>0.42105263157894735</v>
      </c>
      <c r="P130">
        <f>IFERROR(VLOOKUP($B130,'V04'!$A$8:$Q$29,15,1),"")</f>
        <v>2.8857392126883985</v>
      </c>
      <c r="Q130">
        <f>IFERROR(VLOOKUP($B130,'V04'!$A$8:$Q$29,16,1),"")</f>
        <v>5.3504257937978501</v>
      </c>
      <c r="R130">
        <f>IFERROR(VLOOKUP($B130,'V04'!$A$8:$Q$29,17,1),"")</f>
        <v>7.8151123749073008</v>
      </c>
      <c r="Z130" s="17"/>
      <c r="AY130" s="17"/>
    </row>
    <row r="131" spans="1:51" x14ac:dyDescent="0.25">
      <c r="A131" s="17"/>
      <c r="B131" s="2">
        <f t="shared" si="5"/>
        <v>45436</v>
      </c>
      <c r="C131">
        <f>IFERROR(VLOOKUP($B131,'V04'!$A$9:$J$1048576,2,1),"")</f>
        <v>44</v>
      </c>
      <c r="D131" s="1">
        <f>IFERROR(VLOOKUP($B131,'V04'!$A$8:$J$29,4,1),"")</f>
        <v>1.7611741366579494</v>
      </c>
      <c r="E131" s="1">
        <f>IFERROR(VLOOKUP($B131,'V04'!$A$8:$J$29,5,1),"")</f>
        <v>20.38464240689477</v>
      </c>
      <c r="F131" s="1">
        <f>IFERROR(VLOOKUP($B131,'V04'!$A$8:$J$29,6,1),"")</f>
        <v>39.008110677131597</v>
      </c>
      <c r="G131" s="1">
        <f>IFERROR(VLOOKUP($B131,'V04'!$A$8:$J$29,7,1),"")</f>
        <v>57.631578947368418</v>
      </c>
      <c r="H131" s="1">
        <f>IFERROR(VLOOKUP($B131,'V04'!$A$8:$J$29,8,1),"")</f>
        <v>76.255047217605238</v>
      </c>
      <c r="I131" s="1">
        <f>IFERROR(VLOOKUP($B131,'V04'!$A$8:$J$29,9,1),"")</f>
        <v>94.878515487842066</v>
      </c>
      <c r="J131" s="1">
        <f>IFERROR(VLOOKUP($B131,'V04'!$A$8:$J$29,10,1),"")</f>
        <v>113.50198375807889</v>
      </c>
      <c r="K131">
        <f>IFERROR(VLOOKUP($B131,'V04'!$A$9:$Q$1048576,3,1),"")</f>
        <v>0</v>
      </c>
      <c r="L131">
        <f>IFERROR(VLOOKUP($B131,'V04'!$A$8:$Q$29,11,1),"")</f>
        <v>-6.973007111749407</v>
      </c>
      <c r="M131">
        <f>IFERROR(VLOOKUP($B131,'V04'!$A$8:$Q$29,12,1),"")</f>
        <v>-4.5083205306399545</v>
      </c>
      <c r="N131">
        <f>IFERROR(VLOOKUP($B131,'V04'!$A$8:$Q$29,13,1),"")</f>
        <v>-2.0436339495305038</v>
      </c>
      <c r="O131">
        <f>IFERROR(VLOOKUP($B131,'V04'!$A$8:$Q$29,14,1),"")</f>
        <v>0.42105263157894735</v>
      </c>
      <c r="P131">
        <f>IFERROR(VLOOKUP($B131,'V04'!$A$8:$Q$29,15,1),"")</f>
        <v>2.8857392126883985</v>
      </c>
      <c r="Q131">
        <f>IFERROR(VLOOKUP($B131,'V04'!$A$8:$Q$29,16,1),"")</f>
        <v>5.3504257937978501</v>
      </c>
      <c r="R131">
        <f>IFERROR(VLOOKUP($B131,'V04'!$A$8:$Q$29,17,1),"")</f>
        <v>7.8151123749073008</v>
      </c>
      <c r="Z131" s="17"/>
      <c r="AY131" s="17"/>
    </row>
    <row r="132" spans="1:51" x14ac:dyDescent="0.25">
      <c r="A132" s="17"/>
      <c r="B132" s="2">
        <f t="shared" si="5"/>
        <v>45467</v>
      </c>
      <c r="C132">
        <f>IFERROR(VLOOKUP($B132,'V04'!$A$9:$J$1048576,2,1),"")</f>
        <v>61</v>
      </c>
      <c r="D132" s="1">
        <f>IFERROR(VLOOKUP($B132,'V04'!$A$8:$J$29,4,1),"")</f>
        <v>1.7611741366579494</v>
      </c>
      <c r="E132" s="1">
        <f>IFERROR(VLOOKUP($B132,'V04'!$A$8:$J$29,5,1),"")</f>
        <v>20.38464240689477</v>
      </c>
      <c r="F132" s="1">
        <f>IFERROR(VLOOKUP($B132,'V04'!$A$8:$J$29,6,1),"")</f>
        <v>39.008110677131597</v>
      </c>
      <c r="G132" s="1">
        <f>IFERROR(VLOOKUP($B132,'V04'!$A$8:$J$29,7,1),"")</f>
        <v>57.631578947368418</v>
      </c>
      <c r="H132" s="1">
        <f>IFERROR(VLOOKUP($B132,'V04'!$A$8:$J$29,8,1),"")</f>
        <v>76.255047217605238</v>
      </c>
      <c r="I132" s="1">
        <f>IFERROR(VLOOKUP($B132,'V04'!$A$8:$J$29,9,1),"")</f>
        <v>94.878515487842066</v>
      </c>
      <c r="J132" s="1">
        <f>IFERROR(VLOOKUP($B132,'V04'!$A$8:$J$29,10,1),"")</f>
        <v>113.50198375807889</v>
      </c>
      <c r="K132">
        <f>IFERROR(VLOOKUP($B132,'V04'!$A$9:$Q$1048576,3,1),"")</f>
        <v>4.25</v>
      </c>
      <c r="L132">
        <f>IFERROR(VLOOKUP($B132,'V04'!$A$8:$Q$29,11,1),"")</f>
        <v>-6.973007111749407</v>
      </c>
      <c r="M132">
        <f>IFERROR(VLOOKUP($B132,'V04'!$A$8:$Q$29,12,1),"")</f>
        <v>-4.5083205306399545</v>
      </c>
      <c r="N132">
        <f>IFERROR(VLOOKUP($B132,'V04'!$A$8:$Q$29,13,1),"")</f>
        <v>-2.0436339495305038</v>
      </c>
      <c r="O132">
        <f>IFERROR(VLOOKUP($B132,'V04'!$A$8:$Q$29,14,1),"")</f>
        <v>0.42105263157894735</v>
      </c>
      <c r="P132">
        <f>IFERROR(VLOOKUP($B132,'V04'!$A$8:$Q$29,15,1),"")</f>
        <v>2.8857392126883985</v>
      </c>
      <c r="Q132">
        <f>IFERROR(VLOOKUP($B132,'V04'!$A$8:$Q$29,16,1),"")</f>
        <v>5.3504257937978501</v>
      </c>
      <c r="R132">
        <f>IFERROR(VLOOKUP($B132,'V04'!$A$8:$Q$29,17,1),"")</f>
        <v>7.8151123749073008</v>
      </c>
      <c r="Z132" s="17"/>
      <c r="AY132" s="17"/>
    </row>
    <row r="133" spans="1:51" x14ac:dyDescent="0.25">
      <c r="A133" s="17"/>
      <c r="B133" s="2">
        <f t="shared" si="5"/>
        <v>45497</v>
      </c>
      <c r="C133">
        <f>IFERROR(VLOOKUP($B133,'V04'!$A$9:$J$1048576,2,1),"")</f>
        <v>76</v>
      </c>
      <c r="D133" s="1">
        <f>IFERROR(VLOOKUP($B133,'V04'!$A$8:$J$29,4,1),"")</f>
        <v>1.7611741366579494</v>
      </c>
      <c r="E133" s="1">
        <f>IFERROR(VLOOKUP($B133,'V04'!$A$8:$J$29,5,1),"")</f>
        <v>20.38464240689477</v>
      </c>
      <c r="F133" s="1">
        <f>IFERROR(VLOOKUP($B133,'V04'!$A$8:$J$29,6,1),"")</f>
        <v>39.008110677131597</v>
      </c>
      <c r="G133" s="1">
        <f>IFERROR(VLOOKUP($B133,'V04'!$A$8:$J$29,7,1),"")</f>
        <v>57.631578947368418</v>
      </c>
      <c r="H133" s="1">
        <f>IFERROR(VLOOKUP($B133,'V04'!$A$8:$J$29,8,1),"")</f>
        <v>76.255047217605238</v>
      </c>
      <c r="I133" s="1">
        <f>IFERROR(VLOOKUP($B133,'V04'!$A$8:$J$29,9,1),"")</f>
        <v>94.878515487842066</v>
      </c>
      <c r="J133" s="1">
        <f>IFERROR(VLOOKUP($B133,'V04'!$A$8:$J$29,10,1),"")</f>
        <v>113.50198375807889</v>
      </c>
      <c r="K133">
        <f>IFERROR(VLOOKUP($B133,'V04'!$A$9:$Q$1048576,3,1),"")</f>
        <v>3.75</v>
      </c>
      <c r="L133">
        <f>IFERROR(VLOOKUP($B133,'V04'!$A$8:$Q$29,11,1),"")</f>
        <v>-6.973007111749407</v>
      </c>
      <c r="M133">
        <f>IFERROR(VLOOKUP($B133,'V04'!$A$8:$Q$29,12,1),"")</f>
        <v>-4.5083205306399545</v>
      </c>
      <c r="N133">
        <f>IFERROR(VLOOKUP($B133,'V04'!$A$8:$Q$29,13,1),"")</f>
        <v>-2.0436339495305038</v>
      </c>
      <c r="O133">
        <f>IFERROR(VLOOKUP($B133,'V04'!$A$8:$Q$29,14,1),"")</f>
        <v>0.42105263157894735</v>
      </c>
      <c r="P133">
        <f>IFERROR(VLOOKUP($B133,'V04'!$A$8:$Q$29,15,1),"")</f>
        <v>2.8857392126883985</v>
      </c>
      <c r="Q133">
        <f>IFERROR(VLOOKUP($B133,'V04'!$A$8:$Q$29,16,1),"")</f>
        <v>5.3504257937978501</v>
      </c>
      <c r="R133">
        <f>IFERROR(VLOOKUP($B133,'V04'!$A$8:$Q$29,17,1),"")</f>
        <v>7.8151123749073008</v>
      </c>
      <c r="Z133" s="17"/>
      <c r="AY133" s="17"/>
    </row>
    <row r="134" spans="1:51" x14ac:dyDescent="0.25">
      <c r="A134" s="17"/>
      <c r="B134" s="2">
        <f t="shared" si="5"/>
        <v>45528</v>
      </c>
      <c r="C134">
        <f>IFERROR(VLOOKUP($B134,'V04'!$A$9:$J$1048576,2,1),"")</f>
        <v>92</v>
      </c>
      <c r="D134" s="1">
        <f>IFERROR(VLOOKUP($B134,'V04'!$A$8:$J$29,4,1),"")</f>
        <v>1.7611741366579494</v>
      </c>
      <c r="E134" s="1">
        <f>IFERROR(VLOOKUP($B134,'V04'!$A$8:$J$29,5,1),"")</f>
        <v>20.38464240689477</v>
      </c>
      <c r="F134" s="1">
        <f>IFERROR(VLOOKUP($B134,'V04'!$A$8:$J$29,6,1),"")</f>
        <v>39.008110677131597</v>
      </c>
      <c r="G134" s="1">
        <f>IFERROR(VLOOKUP($B134,'V04'!$A$8:$J$29,7,1),"")</f>
        <v>57.631578947368418</v>
      </c>
      <c r="H134" s="1">
        <f>IFERROR(VLOOKUP($B134,'V04'!$A$8:$J$29,8,1),"")</f>
        <v>76.255047217605238</v>
      </c>
      <c r="I134" s="1">
        <f>IFERROR(VLOOKUP($B134,'V04'!$A$8:$J$29,9,1),"")</f>
        <v>94.878515487842066</v>
      </c>
      <c r="J134" s="1">
        <f>IFERROR(VLOOKUP($B134,'V04'!$A$8:$J$29,10,1),"")</f>
        <v>113.50198375807889</v>
      </c>
      <c r="K134">
        <f>IFERROR(VLOOKUP($B134,'V04'!$A$9:$Q$1048576,3,1),"")</f>
        <v>4</v>
      </c>
      <c r="L134">
        <f>IFERROR(VLOOKUP($B134,'V04'!$A$8:$Q$29,11,1),"")</f>
        <v>-6.973007111749407</v>
      </c>
      <c r="M134">
        <f>IFERROR(VLOOKUP($B134,'V04'!$A$8:$Q$29,12,1),"")</f>
        <v>-4.5083205306399545</v>
      </c>
      <c r="N134">
        <f>IFERROR(VLOOKUP($B134,'V04'!$A$8:$Q$29,13,1),"")</f>
        <v>-2.0436339495305038</v>
      </c>
      <c r="O134">
        <f>IFERROR(VLOOKUP($B134,'V04'!$A$8:$Q$29,14,1),"")</f>
        <v>0.42105263157894735</v>
      </c>
      <c r="P134">
        <f>IFERROR(VLOOKUP($B134,'V04'!$A$8:$Q$29,15,1),"")</f>
        <v>2.8857392126883985</v>
      </c>
      <c r="Q134">
        <f>IFERROR(VLOOKUP($B134,'V04'!$A$8:$Q$29,16,1),"")</f>
        <v>5.3504257937978501</v>
      </c>
      <c r="R134">
        <f>IFERROR(VLOOKUP($B134,'V04'!$A$8:$Q$29,17,1),"")</f>
        <v>7.8151123749073008</v>
      </c>
      <c r="Z134" s="17"/>
      <c r="AY134" s="17"/>
    </row>
    <row r="135" spans="1:51" x14ac:dyDescent="0.25">
      <c r="A135" s="17"/>
      <c r="B135" s="2">
        <f t="shared" si="5"/>
        <v>45559</v>
      </c>
      <c r="C135">
        <f>IFERROR(VLOOKUP($B135,'V04'!$A$9:$J$1048576,2,1),"")</f>
        <v>103</v>
      </c>
      <c r="D135" s="1">
        <f>IFERROR(VLOOKUP($B135,'V04'!$A$8:$J$29,4,1),"")</f>
        <v>1.7611741366579494</v>
      </c>
      <c r="E135" s="1">
        <f>IFERROR(VLOOKUP($B135,'V04'!$A$8:$J$29,5,1),"")</f>
        <v>20.38464240689477</v>
      </c>
      <c r="F135" s="1">
        <f>IFERROR(VLOOKUP($B135,'V04'!$A$8:$J$29,6,1),"")</f>
        <v>39.008110677131597</v>
      </c>
      <c r="G135" s="1">
        <f>IFERROR(VLOOKUP($B135,'V04'!$A$8:$J$29,7,1),"")</f>
        <v>57.631578947368418</v>
      </c>
      <c r="H135" s="1">
        <f>IFERROR(VLOOKUP($B135,'V04'!$A$8:$J$29,8,1),"")</f>
        <v>76.255047217605238</v>
      </c>
      <c r="I135" s="1">
        <f>IFERROR(VLOOKUP($B135,'V04'!$A$8:$J$29,9,1),"")</f>
        <v>94.878515487842066</v>
      </c>
      <c r="J135" s="1">
        <f>IFERROR(VLOOKUP($B135,'V04'!$A$8:$J$29,10,1),"")</f>
        <v>113.50198375807889</v>
      </c>
      <c r="K135">
        <f>IFERROR(VLOOKUP($B135,'V04'!$A$9:$Q$1048576,3,1),"")</f>
        <v>2.75</v>
      </c>
      <c r="L135">
        <f>IFERROR(VLOOKUP($B135,'V04'!$A$8:$Q$29,11,1),"")</f>
        <v>-6.973007111749407</v>
      </c>
      <c r="M135">
        <f>IFERROR(VLOOKUP($B135,'V04'!$A$8:$Q$29,12,1),"")</f>
        <v>-4.5083205306399545</v>
      </c>
      <c r="N135">
        <f>IFERROR(VLOOKUP($B135,'V04'!$A$8:$Q$29,13,1),"")</f>
        <v>-2.0436339495305038</v>
      </c>
      <c r="O135">
        <f>IFERROR(VLOOKUP($B135,'V04'!$A$8:$Q$29,14,1),"")</f>
        <v>0.42105263157894735</v>
      </c>
      <c r="P135">
        <f>IFERROR(VLOOKUP($B135,'V04'!$A$8:$Q$29,15,1),"")</f>
        <v>2.8857392126883985</v>
      </c>
      <c r="Q135">
        <f>IFERROR(VLOOKUP($B135,'V04'!$A$8:$Q$29,16,1),"")</f>
        <v>5.3504257937978501</v>
      </c>
      <c r="R135">
        <f>IFERROR(VLOOKUP($B135,'V04'!$A$8:$Q$29,17,1),"")</f>
        <v>7.8151123749073008</v>
      </c>
      <c r="Z135" s="17"/>
      <c r="AY135" s="17"/>
    </row>
    <row r="136" spans="1:51" x14ac:dyDescent="0.25">
      <c r="A136" s="17"/>
      <c r="B136" s="2">
        <f t="shared" si="5"/>
        <v>45589</v>
      </c>
      <c r="C136">
        <f>IFERROR(VLOOKUP($B136,'V04'!$A$9:$J$1048576,2,1),"")</f>
        <v>97</v>
      </c>
      <c r="D136" s="1">
        <f>IFERROR(VLOOKUP($B136,'V04'!$A$8:$J$29,4,1),"")</f>
        <v>1.7611741366579494</v>
      </c>
      <c r="E136" s="1">
        <f>IFERROR(VLOOKUP($B136,'V04'!$A$8:$J$29,5,1),"")</f>
        <v>20.38464240689477</v>
      </c>
      <c r="F136" s="1">
        <f>IFERROR(VLOOKUP($B136,'V04'!$A$8:$J$29,6,1),"")</f>
        <v>39.008110677131597</v>
      </c>
      <c r="G136" s="1">
        <f>IFERROR(VLOOKUP($B136,'V04'!$A$8:$J$29,7,1),"")</f>
        <v>57.631578947368418</v>
      </c>
      <c r="H136" s="1">
        <f>IFERROR(VLOOKUP($B136,'V04'!$A$8:$J$29,8,1),"")</f>
        <v>76.255047217605238</v>
      </c>
      <c r="I136" s="1">
        <f>IFERROR(VLOOKUP($B136,'V04'!$A$8:$J$29,9,1),"")</f>
        <v>94.878515487842066</v>
      </c>
      <c r="J136" s="1">
        <f>IFERROR(VLOOKUP($B136,'V04'!$A$8:$J$29,10,1),"")</f>
        <v>113.50198375807889</v>
      </c>
      <c r="K136">
        <f>IFERROR(VLOOKUP($B136,'V04'!$A$9:$Q$1048576,3,1),"")</f>
        <v>-1.5</v>
      </c>
      <c r="L136">
        <f>IFERROR(VLOOKUP($B136,'V04'!$A$8:$Q$29,11,1),"")</f>
        <v>-6.973007111749407</v>
      </c>
      <c r="M136">
        <f>IFERROR(VLOOKUP($B136,'V04'!$A$8:$Q$29,12,1),"")</f>
        <v>-4.5083205306399545</v>
      </c>
      <c r="N136">
        <f>IFERROR(VLOOKUP($B136,'V04'!$A$8:$Q$29,13,1),"")</f>
        <v>-2.0436339495305038</v>
      </c>
      <c r="O136">
        <f>IFERROR(VLOOKUP($B136,'V04'!$A$8:$Q$29,14,1),"")</f>
        <v>0.42105263157894735</v>
      </c>
      <c r="P136">
        <f>IFERROR(VLOOKUP($B136,'V04'!$A$8:$Q$29,15,1),"")</f>
        <v>2.8857392126883985</v>
      </c>
      <c r="Q136">
        <f>IFERROR(VLOOKUP($B136,'V04'!$A$8:$Q$29,16,1),"")</f>
        <v>5.3504257937978501</v>
      </c>
      <c r="R136">
        <f>IFERROR(VLOOKUP($B136,'V04'!$A$8:$Q$29,17,1),"")</f>
        <v>7.8151123749073008</v>
      </c>
      <c r="Z136" s="17"/>
      <c r="AY136" s="17"/>
    </row>
    <row r="137" spans="1:51" x14ac:dyDescent="0.25">
      <c r="A137" s="17"/>
      <c r="B137" s="2">
        <f t="shared" si="5"/>
        <v>45620</v>
      </c>
      <c r="C137">
        <f>IFERROR(VLOOKUP($B137,'V04'!$A$9:$J$1048576,2,1),"")</f>
        <v>87</v>
      </c>
      <c r="D137" s="1">
        <f>IFERROR(VLOOKUP($B137,'V04'!$A$8:$J$29,4,1),"")</f>
        <v>1.7611741366579494</v>
      </c>
      <c r="E137" s="1">
        <f>IFERROR(VLOOKUP($B137,'V04'!$A$8:$J$29,5,1),"")</f>
        <v>20.38464240689477</v>
      </c>
      <c r="F137" s="1">
        <f>IFERROR(VLOOKUP($B137,'V04'!$A$8:$J$29,6,1),"")</f>
        <v>39.008110677131597</v>
      </c>
      <c r="G137" s="1">
        <f>IFERROR(VLOOKUP($B137,'V04'!$A$8:$J$29,7,1),"")</f>
        <v>57.631578947368418</v>
      </c>
      <c r="H137" s="1">
        <f>IFERROR(VLOOKUP($B137,'V04'!$A$8:$J$29,8,1),"")</f>
        <v>76.255047217605238</v>
      </c>
      <c r="I137" s="1">
        <f>IFERROR(VLOOKUP($B137,'V04'!$A$8:$J$29,9,1),"")</f>
        <v>94.878515487842066</v>
      </c>
      <c r="J137" s="1">
        <f>IFERROR(VLOOKUP($B137,'V04'!$A$8:$J$29,10,1),"")</f>
        <v>113.50198375807889</v>
      </c>
      <c r="K137">
        <f>IFERROR(VLOOKUP($B137,'V04'!$A$9:$Q$1048576,3,1),"")</f>
        <v>-2.5</v>
      </c>
      <c r="L137">
        <f>IFERROR(VLOOKUP($B137,'V04'!$A$8:$Q$29,11,1),"")</f>
        <v>-6.973007111749407</v>
      </c>
      <c r="M137">
        <f>IFERROR(VLOOKUP($B137,'V04'!$A$8:$Q$29,12,1),"")</f>
        <v>-4.5083205306399545</v>
      </c>
      <c r="N137">
        <f>IFERROR(VLOOKUP($B137,'V04'!$A$8:$Q$29,13,1),"")</f>
        <v>-2.0436339495305038</v>
      </c>
      <c r="O137">
        <f>IFERROR(VLOOKUP($B137,'V04'!$A$8:$Q$29,14,1),"")</f>
        <v>0.42105263157894735</v>
      </c>
      <c r="P137">
        <f>IFERROR(VLOOKUP($B137,'V04'!$A$8:$Q$29,15,1),"")</f>
        <v>2.8857392126883985</v>
      </c>
      <c r="Q137">
        <f>IFERROR(VLOOKUP($B137,'V04'!$A$8:$Q$29,16,1),"")</f>
        <v>5.3504257937978501</v>
      </c>
      <c r="R137">
        <f>IFERROR(VLOOKUP($B137,'V04'!$A$8:$Q$29,17,1),"")</f>
        <v>7.8151123749073008</v>
      </c>
      <c r="Z137" s="17"/>
      <c r="AY137" s="17"/>
    </row>
    <row r="138" spans="1:51" x14ac:dyDescent="0.25">
      <c r="A138" s="17"/>
      <c r="B138" s="2">
        <f t="shared" si="5"/>
        <v>45650</v>
      </c>
      <c r="C138">
        <f>IFERROR(VLOOKUP($B138,'V04'!$A$9:$J$1048576,2,1),"")</f>
        <v>63</v>
      </c>
      <c r="D138" s="1">
        <f>IFERROR(VLOOKUP($B138,'V04'!$A$8:$J$29,4,1),"")</f>
        <v>1.7611741366579494</v>
      </c>
      <c r="E138" s="1">
        <f>IFERROR(VLOOKUP($B138,'V04'!$A$8:$J$29,5,1),"")</f>
        <v>20.38464240689477</v>
      </c>
      <c r="F138" s="1">
        <f>IFERROR(VLOOKUP($B138,'V04'!$A$8:$J$29,6,1),"")</f>
        <v>39.008110677131597</v>
      </c>
      <c r="G138" s="1">
        <f>IFERROR(VLOOKUP($B138,'V04'!$A$8:$J$29,7,1),"")</f>
        <v>57.631578947368418</v>
      </c>
      <c r="H138" s="1">
        <f>IFERROR(VLOOKUP($B138,'V04'!$A$8:$J$29,8,1),"")</f>
        <v>76.255047217605238</v>
      </c>
      <c r="I138" s="1">
        <f>IFERROR(VLOOKUP($B138,'V04'!$A$8:$J$29,9,1),"")</f>
        <v>94.878515487842066</v>
      </c>
      <c r="J138" s="1">
        <f>IFERROR(VLOOKUP($B138,'V04'!$A$8:$J$29,10,1),"")</f>
        <v>113.50198375807889</v>
      </c>
      <c r="K138">
        <f>IFERROR(VLOOKUP($B138,'V04'!$A$9:$Q$1048576,3,1),"")</f>
        <v>-6</v>
      </c>
      <c r="L138">
        <f>IFERROR(VLOOKUP($B138,'V04'!$A$8:$Q$29,11,1),"")</f>
        <v>-6.973007111749407</v>
      </c>
      <c r="M138">
        <f>IFERROR(VLOOKUP($B138,'V04'!$A$8:$Q$29,12,1),"")</f>
        <v>-4.5083205306399545</v>
      </c>
      <c r="N138">
        <f>IFERROR(VLOOKUP($B138,'V04'!$A$8:$Q$29,13,1),"")</f>
        <v>-2.0436339495305038</v>
      </c>
      <c r="O138">
        <f>IFERROR(VLOOKUP($B138,'V04'!$A$8:$Q$29,14,1),"")</f>
        <v>0.42105263157894735</v>
      </c>
      <c r="P138">
        <f>IFERROR(VLOOKUP($B138,'V04'!$A$8:$Q$29,15,1),"")</f>
        <v>2.8857392126883985</v>
      </c>
      <c r="Q138">
        <f>IFERROR(VLOOKUP($B138,'V04'!$A$8:$Q$29,16,1),"")</f>
        <v>5.3504257937978501</v>
      </c>
      <c r="R138">
        <f>IFERROR(VLOOKUP($B138,'V04'!$A$8:$Q$29,17,1),"")</f>
        <v>7.8151123749073008</v>
      </c>
      <c r="Z138" s="17"/>
      <c r="AY138" s="17"/>
    </row>
    <row r="139" spans="1:51" x14ac:dyDescent="0.25">
      <c r="A139" s="17"/>
      <c r="B139" s="2">
        <f t="shared" si="5"/>
        <v>45681</v>
      </c>
      <c r="C139">
        <f>IFERROR(VLOOKUP($B139,'V04'!$A$9:$J$1048576,2,1),"")</f>
        <v>68</v>
      </c>
      <c r="D139" s="1">
        <f>IFERROR(VLOOKUP($B139,'V04'!$A$8:$J$29,4,1),"")</f>
        <v>1.7611741366579494</v>
      </c>
      <c r="E139" s="1">
        <f>IFERROR(VLOOKUP($B139,'V04'!$A$8:$J$29,5,1),"")</f>
        <v>20.38464240689477</v>
      </c>
      <c r="F139" s="1">
        <f>IFERROR(VLOOKUP($B139,'V04'!$A$8:$J$29,6,1),"")</f>
        <v>39.008110677131597</v>
      </c>
      <c r="G139" s="1">
        <f>IFERROR(VLOOKUP($B139,'V04'!$A$8:$J$29,7,1),"")</f>
        <v>57.631578947368418</v>
      </c>
      <c r="H139" s="1">
        <f>IFERROR(VLOOKUP($B139,'V04'!$A$8:$J$29,8,1),"")</f>
        <v>76.255047217605238</v>
      </c>
      <c r="I139" s="1">
        <f>IFERROR(VLOOKUP($B139,'V04'!$A$8:$J$29,9,1),"")</f>
        <v>94.878515487842066</v>
      </c>
      <c r="J139" s="1">
        <f>IFERROR(VLOOKUP($B139,'V04'!$A$8:$J$29,10,1),"")</f>
        <v>113.50198375807889</v>
      </c>
      <c r="K139">
        <f>IFERROR(VLOOKUP($B139,'V04'!$A$9:$Q$1048576,3,1),"")</f>
        <v>1.25</v>
      </c>
      <c r="L139">
        <f>IFERROR(VLOOKUP($B139,'V04'!$A$8:$Q$29,11,1),"")</f>
        <v>-6.973007111749407</v>
      </c>
      <c r="M139">
        <f>IFERROR(VLOOKUP($B139,'V04'!$A$8:$Q$29,12,1),"")</f>
        <v>-4.5083205306399545</v>
      </c>
      <c r="N139">
        <f>IFERROR(VLOOKUP($B139,'V04'!$A$8:$Q$29,13,1),"")</f>
        <v>-2.0436339495305038</v>
      </c>
      <c r="O139">
        <f>IFERROR(VLOOKUP($B139,'V04'!$A$8:$Q$29,14,1),"")</f>
        <v>0.42105263157894735</v>
      </c>
      <c r="P139">
        <f>IFERROR(VLOOKUP($B139,'V04'!$A$8:$Q$29,15,1),"")</f>
        <v>2.8857392126883985</v>
      </c>
      <c r="Q139">
        <f>IFERROR(VLOOKUP($B139,'V04'!$A$8:$Q$29,16,1),"")</f>
        <v>5.3504257937978501</v>
      </c>
      <c r="R139">
        <f>IFERROR(VLOOKUP($B139,'V04'!$A$8:$Q$29,17,1),"")</f>
        <v>7.8151123749073008</v>
      </c>
      <c r="Z139" s="17"/>
      <c r="AY139" s="17"/>
    </row>
    <row r="140" spans="1:51" x14ac:dyDescent="0.25">
      <c r="A140" s="17"/>
      <c r="B140" s="2">
        <f t="shared" si="5"/>
        <v>45712</v>
      </c>
      <c r="C140">
        <f>IFERROR(VLOOKUP($B140,'V04'!$A$9:$J$1048576,2,1),"")</f>
        <v>65</v>
      </c>
      <c r="D140" s="1">
        <f>IFERROR(VLOOKUP($B140,'V04'!$A$8:$J$29,4,1),"")</f>
        <v>1.7611741366579494</v>
      </c>
      <c r="E140" s="1">
        <f>IFERROR(VLOOKUP($B140,'V04'!$A$8:$J$29,5,1),"")</f>
        <v>20.38464240689477</v>
      </c>
      <c r="F140" s="1">
        <f>IFERROR(VLOOKUP($B140,'V04'!$A$8:$J$29,6,1),"")</f>
        <v>39.008110677131597</v>
      </c>
      <c r="G140" s="1">
        <f>IFERROR(VLOOKUP($B140,'V04'!$A$8:$J$29,7,1),"")</f>
        <v>57.631578947368418</v>
      </c>
      <c r="H140" s="1">
        <f>IFERROR(VLOOKUP($B140,'V04'!$A$8:$J$29,8,1),"")</f>
        <v>76.255047217605238</v>
      </c>
      <c r="I140" s="1">
        <f>IFERROR(VLOOKUP($B140,'V04'!$A$8:$J$29,9,1),"")</f>
        <v>94.878515487842066</v>
      </c>
      <c r="J140" s="1">
        <f>IFERROR(VLOOKUP($B140,'V04'!$A$8:$J$29,10,1),"")</f>
        <v>113.50198375807889</v>
      </c>
      <c r="K140">
        <f>IFERROR(VLOOKUP($B140,'V04'!$A$9:$Q$1048576,3,1),"")</f>
        <v>-0.75</v>
      </c>
      <c r="L140">
        <f>IFERROR(VLOOKUP($B140,'V04'!$A$8:$Q$29,11,1),"")</f>
        <v>-6.973007111749407</v>
      </c>
      <c r="M140">
        <f>IFERROR(VLOOKUP($B140,'V04'!$A$8:$Q$29,12,1),"")</f>
        <v>-4.5083205306399545</v>
      </c>
      <c r="N140">
        <f>IFERROR(VLOOKUP($B140,'V04'!$A$8:$Q$29,13,1),"")</f>
        <v>-2.0436339495305038</v>
      </c>
      <c r="O140">
        <f>IFERROR(VLOOKUP($B140,'V04'!$A$8:$Q$29,14,1),"")</f>
        <v>0.42105263157894735</v>
      </c>
      <c r="P140">
        <f>IFERROR(VLOOKUP($B140,'V04'!$A$8:$Q$29,15,1),"")</f>
        <v>2.8857392126883985</v>
      </c>
      <c r="Q140">
        <f>IFERROR(VLOOKUP($B140,'V04'!$A$8:$Q$29,16,1),"")</f>
        <v>5.3504257937978501</v>
      </c>
      <c r="R140">
        <f>IFERROR(VLOOKUP($B140,'V04'!$A$8:$Q$29,17,1),"")</f>
        <v>7.8151123749073008</v>
      </c>
      <c r="Z140" s="17"/>
      <c r="AY140" s="17"/>
    </row>
    <row r="141" spans="1:51" x14ac:dyDescent="0.25">
      <c r="A141" s="17"/>
      <c r="B141" s="2">
        <f t="shared" si="5"/>
        <v>45740</v>
      </c>
      <c r="C141">
        <f>IFERROR(VLOOKUP($B141,'V04'!$A$9:$J$1048576,2,1),"")</f>
        <v>67</v>
      </c>
      <c r="D141" s="1">
        <f>IFERROR(VLOOKUP($B141,'V04'!$A$8:$J$29,4,1),"")</f>
        <v>1.7611741366579494</v>
      </c>
      <c r="E141" s="1">
        <f>IFERROR(VLOOKUP($B141,'V04'!$A$8:$J$29,5,1),"")</f>
        <v>20.38464240689477</v>
      </c>
      <c r="F141" s="1">
        <f>IFERROR(VLOOKUP($B141,'V04'!$A$8:$J$29,6,1),"")</f>
        <v>39.008110677131597</v>
      </c>
      <c r="G141" s="1">
        <f>IFERROR(VLOOKUP($B141,'V04'!$A$8:$J$29,7,1),"")</f>
        <v>57.631578947368418</v>
      </c>
      <c r="H141" s="1">
        <f>IFERROR(VLOOKUP($B141,'V04'!$A$8:$J$29,8,1),"")</f>
        <v>76.255047217605238</v>
      </c>
      <c r="I141" s="1">
        <f>IFERROR(VLOOKUP($B141,'V04'!$A$8:$J$29,9,1),"")</f>
        <v>94.878515487842066</v>
      </c>
      <c r="J141" s="1">
        <f>IFERROR(VLOOKUP($B141,'V04'!$A$8:$J$29,10,1),"")</f>
        <v>113.50198375807889</v>
      </c>
      <c r="K141">
        <f>IFERROR(VLOOKUP($B141,'V04'!$A$9:$Q$1048576,3,1),"")</f>
        <v>0.5</v>
      </c>
      <c r="L141">
        <f>IFERROR(VLOOKUP($B141,'V04'!$A$8:$Q$29,11,1),"")</f>
        <v>-6.973007111749407</v>
      </c>
      <c r="M141">
        <f>IFERROR(VLOOKUP($B141,'V04'!$A$8:$Q$29,12,1),"")</f>
        <v>-4.5083205306399545</v>
      </c>
      <c r="N141">
        <f>IFERROR(VLOOKUP($B141,'V04'!$A$8:$Q$29,13,1),"")</f>
        <v>-2.0436339495305038</v>
      </c>
      <c r="O141">
        <f>IFERROR(VLOOKUP($B141,'V04'!$A$8:$Q$29,14,1),"")</f>
        <v>0.42105263157894735</v>
      </c>
      <c r="P141">
        <f>IFERROR(VLOOKUP($B141,'V04'!$A$8:$Q$29,15,1),"")</f>
        <v>2.8857392126883985</v>
      </c>
      <c r="Q141">
        <f>IFERROR(VLOOKUP($B141,'V04'!$A$8:$Q$29,16,1),"")</f>
        <v>5.3504257937978501</v>
      </c>
      <c r="R141">
        <f>IFERROR(VLOOKUP($B141,'V04'!$A$8:$Q$29,17,1),"")</f>
        <v>7.8151123749073008</v>
      </c>
      <c r="Z141" s="17"/>
      <c r="AY141" s="17"/>
    </row>
    <row r="142" spans="1:51" x14ac:dyDescent="0.25">
      <c r="A142" s="17"/>
      <c r="B142" s="2">
        <f t="shared" si="5"/>
        <v>45771</v>
      </c>
      <c r="C142">
        <f>IFERROR(VLOOKUP($B142,'V04'!$A$9:$J$1048576,2,1),"")</f>
        <v>81</v>
      </c>
      <c r="D142" s="1">
        <f>IFERROR(VLOOKUP($B142,'V04'!$A$8:$J$29,4,1),"")</f>
        <v>1.7611741366579494</v>
      </c>
      <c r="E142" s="1">
        <f>IFERROR(VLOOKUP($B142,'V04'!$A$8:$J$29,5,1),"")</f>
        <v>20.38464240689477</v>
      </c>
      <c r="F142" s="1">
        <f>IFERROR(VLOOKUP($B142,'V04'!$A$8:$J$29,6,1),"")</f>
        <v>39.008110677131597</v>
      </c>
      <c r="G142" s="1">
        <f>IFERROR(VLOOKUP($B142,'V04'!$A$8:$J$29,7,1),"")</f>
        <v>57.631578947368418</v>
      </c>
      <c r="H142" s="1">
        <f>IFERROR(VLOOKUP($B142,'V04'!$A$8:$J$29,8,1),"")</f>
        <v>76.255047217605238</v>
      </c>
      <c r="I142" s="1">
        <f>IFERROR(VLOOKUP($B142,'V04'!$A$8:$J$29,9,1),"")</f>
        <v>94.878515487842066</v>
      </c>
      <c r="J142" s="1">
        <f>IFERROR(VLOOKUP($B142,'V04'!$A$8:$J$29,10,1),"")</f>
        <v>113.50198375807889</v>
      </c>
      <c r="K142">
        <f>IFERROR(VLOOKUP($B142,'V04'!$A$9:$Q$1048576,3,1),"")</f>
        <v>3.5</v>
      </c>
      <c r="L142">
        <f>IFERROR(VLOOKUP($B142,'V04'!$A$8:$Q$29,11,1),"")</f>
        <v>-6.973007111749407</v>
      </c>
      <c r="M142">
        <f>IFERROR(VLOOKUP($B142,'V04'!$A$8:$Q$29,12,1),"")</f>
        <v>-4.5083205306399545</v>
      </c>
      <c r="N142">
        <f>IFERROR(VLOOKUP($B142,'V04'!$A$8:$Q$29,13,1),"")</f>
        <v>-2.0436339495305038</v>
      </c>
      <c r="O142">
        <f>IFERROR(VLOOKUP($B142,'V04'!$A$8:$Q$29,14,1),"")</f>
        <v>0.42105263157894735</v>
      </c>
      <c r="P142">
        <f>IFERROR(VLOOKUP($B142,'V04'!$A$8:$Q$29,15,1),"")</f>
        <v>2.8857392126883985</v>
      </c>
      <c r="Q142">
        <f>IFERROR(VLOOKUP($B142,'V04'!$A$8:$Q$29,16,1),"")</f>
        <v>5.3504257937978501</v>
      </c>
      <c r="R142">
        <f>IFERROR(VLOOKUP($B142,'V04'!$A$8:$Q$29,17,1),"")</f>
        <v>7.8151123749073008</v>
      </c>
      <c r="Z142" s="17"/>
      <c r="AY142" s="17"/>
    </row>
    <row r="143" spans="1:51" x14ac:dyDescent="0.25">
      <c r="A143" s="17"/>
      <c r="B143" s="2">
        <f t="shared" si="5"/>
        <v>45801</v>
      </c>
      <c r="C143">
        <f>IFERROR(VLOOKUP($B143,'V04'!$A$9:$J$1048576,2,1),"")</f>
        <v>61</v>
      </c>
      <c r="D143" s="1">
        <f>IFERROR(VLOOKUP($B143,'V04'!$A$8:$J$29,4,1),"")</f>
        <v>1.7611741366579494</v>
      </c>
      <c r="E143" s="1">
        <f>IFERROR(VLOOKUP($B143,'V04'!$A$8:$J$29,5,1),"")</f>
        <v>20.38464240689477</v>
      </c>
      <c r="F143" s="1">
        <f>IFERROR(VLOOKUP($B143,'V04'!$A$8:$J$29,6,1),"")</f>
        <v>39.008110677131597</v>
      </c>
      <c r="G143" s="1">
        <f>IFERROR(VLOOKUP($B143,'V04'!$A$8:$J$29,7,1),"")</f>
        <v>57.631578947368418</v>
      </c>
      <c r="H143" s="1">
        <f>IFERROR(VLOOKUP($B143,'V04'!$A$8:$J$29,8,1),"")</f>
        <v>76.255047217605238</v>
      </c>
      <c r="I143" s="1">
        <f>IFERROR(VLOOKUP($B143,'V04'!$A$8:$J$29,9,1),"")</f>
        <v>94.878515487842066</v>
      </c>
      <c r="J143" s="1">
        <f>IFERROR(VLOOKUP($B143,'V04'!$A$8:$J$29,10,1),"")</f>
        <v>113.50198375807889</v>
      </c>
      <c r="K143">
        <f>IFERROR(VLOOKUP($B143,'V04'!$A$9:$Q$1048576,3,1),"")</f>
        <v>-5</v>
      </c>
      <c r="L143">
        <f>IFERROR(VLOOKUP($B143,'V04'!$A$8:$Q$29,11,1),"")</f>
        <v>-6.973007111749407</v>
      </c>
      <c r="M143">
        <f>IFERROR(VLOOKUP($B143,'V04'!$A$8:$Q$29,12,1),"")</f>
        <v>-4.5083205306399545</v>
      </c>
      <c r="N143">
        <f>IFERROR(VLOOKUP($B143,'V04'!$A$8:$Q$29,13,1),"")</f>
        <v>-2.0436339495305038</v>
      </c>
      <c r="O143">
        <f>IFERROR(VLOOKUP($B143,'V04'!$A$8:$Q$29,14,1),"")</f>
        <v>0.42105263157894735</v>
      </c>
      <c r="P143">
        <f>IFERROR(VLOOKUP($B143,'V04'!$A$8:$Q$29,15,1),"")</f>
        <v>2.8857392126883985</v>
      </c>
      <c r="Q143">
        <f>IFERROR(VLOOKUP($B143,'V04'!$A$8:$Q$29,16,1),"")</f>
        <v>5.3504257937978501</v>
      </c>
      <c r="R143">
        <f>IFERROR(VLOOKUP($B143,'V04'!$A$8:$Q$29,17,1),"")</f>
        <v>7.8151123749073008</v>
      </c>
      <c r="Z143" s="17"/>
      <c r="AY143" s="17"/>
    </row>
    <row r="144" spans="1:51" x14ac:dyDescent="0.25">
      <c r="A144" s="17"/>
      <c r="B144" s="2">
        <f t="shared" si="5"/>
        <v>45832</v>
      </c>
      <c r="C144">
        <f>IFERROR(VLOOKUP($B144,'V04'!$A$9:$J$1048576,2,1),"")</f>
        <v>51</v>
      </c>
      <c r="D144" s="1">
        <f>IFERROR(VLOOKUP($B144,'V04'!$A$8:$J$29,4,1),"")</f>
        <v>1.7611741366579494</v>
      </c>
      <c r="E144" s="1">
        <f>IFERROR(VLOOKUP($B144,'V04'!$A$8:$J$29,5,1),"")</f>
        <v>20.38464240689477</v>
      </c>
      <c r="F144" s="1">
        <f>IFERROR(VLOOKUP($B144,'V04'!$A$8:$J$29,6,1),"")</f>
        <v>39.008110677131597</v>
      </c>
      <c r="G144" s="1">
        <f>IFERROR(VLOOKUP($B144,'V04'!$A$8:$J$29,7,1),"")</f>
        <v>57.631578947368418</v>
      </c>
      <c r="H144" s="1">
        <f>IFERROR(VLOOKUP($B144,'V04'!$A$8:$J$29,8,1),"")</f>
        <v>76.255047217605238</v>
      </c>
      <c r="I144" s="1">
        <f>IFERROR(VLOOKUP($B144,'V04'!$A$8:$J$29,9,1),"")</f>
        <v>94.878515487842066</v>
      </c>
      <c r="J144" s="1">
        <f>IFERROR(VLOOKUP($B144,'V04'!$A$8:$J$29,10,1),"")</f>
        <v>113.50198375807889</v>
      </c>
      <c r="K144">
        <f>IFERROR(VLOOKUP($B144,'V04'!$A$9:$Q$1048576,3,1),"")</f>
        <v>-2.5</v>
      </c>
      <c r="L144">
        <f>IFERROR(VLOOKUP($B144,'V04'!$A$8:$Q$29,11,1),"")</f>
        <v>-6.973007111749407</v>
      </c>
      <c r="M144">
        <f>IFERROR(VLOOKUP($B144,'V04'!$A$8:$Q$29,12,1),"")</f>
        <v>-4.5083205306399545</v>
      </c>
      <c r="N144">
        <f>IFERROR(VLOOKUP($B144,'V04'!$A$8:$Q$29,13,1),"")</f>
        <v>-2.0436339495305038</v>
      </c>
      <c r="O144">
        <f>IFERROR(VLOOKUP($B144,'V04'!$A$8:$Q$29,14,1),"")</f>
        <v>0.42105263157894735</v>
      </c>
      <c r="P144">
        <f>IFERROR(VLOOKUP($B144,'V04'!$A$8:$Q$29,15,1),"")</f>
        <v>2.8857392126883985</v>
      </c>
      <c r="Q144">
        <f>IFERROR(VLOOKUP($B144,'V04'!$A$8:$Q$29,16,1),"")</f>
        <v>5.3504257937978501</v>
      </c>
      <c r="R144">
        <f>IFERROR(VLOOKUP($B144,'V04'!$A$8:$Q$29,17,1),"")</f>
        <v>7.8151123749073008</v>
      </c>
      <c r="Z144" s="17"/>
      <c r="AY144" s="17"/>
    </row>
    <row r="145" spans="1:51" x14ac:dyDescent="0.25">
      <c r="A145" s="17"/>
      <c r="B145" s="2">
        <f t="shared" si="5"/>
        <v>45862</v>
      </c>
      <c r="C145">
        <f>IFERROR(VLOOKUP($B145,'V04'!$A$9:$J$1048576,2,1),"")</f>
        <v>49</v>
      </c>
      <c r="D145" s="1">
        <f>IFERROR(VLOOKUP($B145,'V04'!$A$8:$J$29,4,1),"")</f>
        <v>1.7611741366579494</v>
      </c>
      <c r="E145" s="1">
        <f>IFERROR(VLOOKUP($B145,'V04'!$A$8:$J$29,5,1),"")</f>
        <v>20.38464240689477</v>
      </c>
      <c r="F145" s="1">
        <f>IFERROR(VLOOKUP($B145,'V04'!$A$8:$J$29,6,1),"")</f>
        <v>39.008110677131597</v>
      </c>
      <c r="G145" s="1">
        <f>IFERROR(VLOOKUP($B145,'V04'!$A$8:$J$29,7,1),"")</f>
        <v>57.631578947368418</v>
      </c>
      <c r="H145" s="1">
        <f>IFERROR(VLOOKUP($B145,'V04'!$A$8:$J$29,8,1),"")</f>
        <v>76.255047217605238</v>
      </c>
      <c r="I145" s="1">
        <f>IFERROR(VLOOKUP($B145,'V04'!$A$8:$J$29,9,1),"")</f>
        <v>94.878515487842066</v>
      </c>
      <c r="J145" s="1">
        <f>IFERROR(VLOOKUP($B145,'V04'!$A$8:$J$29,10,1),"")</f>
        <v>113.50198375807889</v>
      </c>
      <c r="K145">
        <f>IFERROR(VLOOKUP($B145,'V04'!$A$9:$Q$1048576,3,1),"")</f>
        <v>-0.5</v>
      </c>
      <c r="L145">
        <f>IFERROR(VLOOKUP($B145,'V04'!$A$8:$Q$29,11,1),"")</f>
        <v>-6.973007111749407</v>
      </c>
      <c r="M145">
        <f>IFERROR(VLOOKUP($B145,'V04'!$A$8:$Q$29,12,1),"")</f>
        <v>-4.5083205306399545</v>
      </c>
      <c r="N145">
        <f>IFERROR(VLOOKUP($B145,'V04'!$A$8:$Q$29,13,1),"")</f>
        <v>-2.0436339495305038</v>
      </c>
      <c r="O145">
        <f>IFERROR(VLOOKUP($B145,'V04'!$A$8:$Q$29,14,1),"")</f>
        <v>0.42105263157894735</v>
      </c>
      <c r="P145">
        <f>IFERROR(VLOOKUP($B145,'V04'!$A$8:$Q$29,15,1),"")</f>
        <v>2.8857392126883985</v>
      </c>
      <c r="Q145">
        <f>IFERROR(VLOOKUP($B145,'V04'!$A$8:$Q$29,16,1),"")</f>
        <v>5.3504257937978501</v>
      </c>
      <c r="R145">
        <f>IFERROR(VLOOKUP($B145,'V04'!$A$8:$Q$29,17,1),"")</f>
        <v>7.8151123749073008</v>
      </c>
      <c r="Z145" s="17"/>
      <c r="AY145" s="17"/>
    </row>
    <row r="146" spans="1:51" x14ac:dyDescent="0.25">
      <c r="A146" s="17"/>
      <c r="B146" s="2">
        <f t="shared" si="5"/>
        <v>45893</v>
      </c>
      <c r="C146">
        <f>IFERROR(VLOOKUP($B146,'V04'!$A$9:$J$1048576,2,1),"")</f>
        <v>46</v>
      </c>
      <c r="D146" s="1">
        <f>IFERROR(VLOOKUP($B146,'V04'!$A$8:$J$29,4,1),"")</f>
        <v>1.7611741366579494</v>
      </c>
      <c r="E146" s="1">
        <f>IFERROR(VLOOKUP($B146,'V04'!$A$8:$J$29,5,1),"")</f>
        <v>20.38464240689477</v>
      </c>
      <c r="F146" s="1">
        <f>IFERROR(VLOOKUP($B146,'V04'!$A$8:$J$29,6,1),"")</f>
        <v>39.008110677131597</v>
      </c>
      <c r="G146" s="1">
        <f>IFERROR(VLOOKUP($B146,'V04'!$A$8:$J$29,7,1),"")</f>
        <v>57.631578947368418</v>
      </c>
      <c r="H146" s="1">
        <f>IFERROR(VLOOKUP($B146,'V04'!$A$8:$J$29,8,1),"")</f>
        <v>76.255047217605238</v>
      </c>
      <c r="I146" s="1">
        <f>IFERROR(VLOOKUP($B146,'V04'!$A$8:$J$29,9,1),"")</f>
        <v>94.878515487842066</v>
      </c>
      <c r="J146" s="1">
        <f>IFERROR(VLOOKUP($B146,'V04'!$A$8:$J$29,10,1),"")</f>
        <v>113.50198375807889</v>
      </c>
      <c r="K146">
        <f>IFERROR(VLOOKUP($B146,'V04'!$A$9:$Q$1048576,3,1),"")</f>
        <v>-0.75</v>
      </c>
      <c r="L146">
        <f>IFERROR(VLOOKUP($B146,'V04'!$A$8:$Q$29,11,1),"")</f>
        <v>-6.973007111749407</v>
      </c>
      <c r="M146">
        <f>IFERROR(VLOOKUP($B146,'V04'!$A$8:$Q$29,12,1),"")</f>
        <v>-4.5083205306399545</v>
      </c>
      <c r="N146">
        <f>IFERROR(VLOOKUP($B146,'V04'!$A$8:$Q$29,13,1),"")</f>
        <v>-2.0436339495305038</v>
      </c>
      <c r="O146">
        <f>IFERROR(VLOOKUP($B146,'V04'!$A$8:$Q$29,14,1),"")</f>
        <v>0.42105263157894735</v>
      </c>
      <c r="P146">
        <f>IFERROR(VLOOKUP($B146,'V04'!$A$8:$Q$29,15,1),"")</f>
        <v>2.8857392126883985</v>
      </c>
      <c r="Q146">
        <f>IFERROR(VLOOKUP($B146,'V04'!$A$8:$Q$29,16,1),"")</f>
        <v>5.3504257937978501</v>
      </c>
      <c r="R146">
        <f>IFERROR(VLOOKUP($B146,'V04'!$A$8:$Q$29,17,1),"")</f>
        <v>7.8151123749073008</v>
      </c>
      <c r="Z146" s="17"/>
      <c r="AY146" s="17"/>
    </row>
    <row r="147" spans="1:51" x14ac:dyDescent="0.25">
      <c r="A147" s="17"/>
      <c r="B147" s="2">
        <f>EDATE(B148,-1)</f>
        <v>45924</v>
      </c>
      <c r="C147">
        <f>IFERROR(VLOOKUP($B147,'V04'!$A$9:$J$1048576,2,1),"")</f>
        <v>56</v>
      </c>
      <c r="D147" s="1">
        <f>IFERROR(VLOOKUP($B147,'V04'!$A$8:$J$29,4,1),"")</f>
        <v>1.7611741366579494</v>
      </c>
      <c r="E147" s="1">
        <f>IFERROR(VLOOKUP($B147,'V04'!$A$8:$J$29,5,1),"")</f>
        <v>20.38464240689477</v>
      </c>
      <c r="F147" s="1">
        <f>IFERROR(VLOOKUP($B147,'V04'!$A$8:$J$29,6,1),"")</f>
        <v>39.008110677131597</v>
      </c>
      <c r="G147" s="1">
        <f>IFERROR(VLOOKUP($B147,'V04'!$A$8:$J$29,7,1),"")</f>
        <v>57.631578947368418</v>
      </c>
      <c r="H147" s="1">
        <f>IFERROR(VLOOKUP($B147,'V04'!$A$8:$J$29,8,1),"")</f>
        <v>76.255047217605238</v>
      </c>
      <c r="I147" s="1">
        <f>IFERROR(VLOOKUP($B147,'V04'!$A$8:$J$29,9,1),"")</f>
        <v>94.878515487842066</v>
      </c>
      <c r="J147" s="1">
        <f>IFERROR(VLOOKUP($B147,'V04'!$A$8:$J$29,10,1),"")</f>
        <v>113.50198375807889</v>
      </c>
      <c r="K147">
        <f>IFERROR(VLOOKUP($B147,'V04'!$A$9:$Q$1048576,3,1),"")</f>
        <v>2.5</v>
      </c>
      <c r="L147">
        <f>IFERROR(VLOOKUP($B147,'V04'!$A$8:$Q$29,11,1),"")</f>
        <v>-6.973007111749407</v>
      </c>
      <c r="M147">
        <f>IFERROR(VLOOKUP($B147,'V04'!$A$8:$Q$29,12,1),"")</f>
        <v>-4.5083205306399545</v>
      </c>
      <c r="N147">
        <f>IFERROR(VLOOKUP($B147,'V04'!$A$8:$Q$29,13,1),"")</f>
        <v>-2.0436339495305038</v>
      </c>
      <c r="O147">
        <f>IFERROR(VLOOKUP($B147,'V04'!$A$8:$Q$29,14,1),"")</f>
        <v>0.42105263157894735</v>
      </c>
      <c r="P147">
        <f>IFERROR(VLOOKUP($B147,'V04'!$A$8:$Q$29,15,1),"")</f>
        <v>2.8857392126883985</v>
      </c>
      <c r="Q147">
        <f>IFERROR(VLOOKUP($B147,'V04'!$A$8:$Q$29,16,1),"")</f>
        <v>5.3504257937978501</v>
      </c>
      <c r="R147">
        <f>IFERROR(VLOOKUP($B147,'V04'!$A$8:$Q$29,17,1),"")</f>
        <v>7.8151123749073008</v>
      </c>
      <c r="Z147" s="17"/>
      <c r="AY147" s="17"/>
    </row>
    <row r="148" spans="1:51" x14ac:dyDescent="0.25">
      <c r="A148" s="17"/>
      <c r="B148" s="2">
        <f>$E$113</f>
        <v>45954</v>
      </c>
      <c r="C148">
        <f>IFERROR(VLOOKUP($B148,'V04'!$A$9:$J$1048576,2,1),"")</f>
        <v>64</v>
      </c>
      <c r="D148" s="1">
        <f>IFERROR(VLOOKUP($B148,'V04'!$A$8:$J$29,4,1),"")</f>
        <v>1.7611741366579494</v>
      </c>
      <c r="E148" s="1">
        <f>IFERROR(VLOOKUP($B148,'V04'!$A$8:$J$29,5,1),"")</f>
        <v>20.38464240689477</v>
      </c>
      <c r="F148" s="1">
        <f>IFERROR(VLOOKUP($B148,'V04'!$A$8:$J$29,6,1),"")</f>
        <v>39.008110677131597</v>
      </c>
      <c r="G148" s="1">
        <f>IFERROR(VLOOKUP($B148,'V04'!$A$8:$J$29,7,1),"")</f>
        <v>57.631578947368418</v>
      </c>
      <c r="H148" s="1">
        <f>IFERROR(VLOOKUP($B148,'V04'!$A$8:$J$29,8,1),"")</f>
        <v>76.255047217605238</v>
      </c>
      <c r="I148" s="1">
        <f>IFERROR(VLOOKUP($B148,'V04'!$A$8:$J$29,9,1),"")</f>
        <v>94.878515487842066</v>
      </c>
      <c r="J148" s="1">
        <f>IFERROR(VLOOKUP($B148,'V04'!$A$8:$J$29,10,1),"")</f>
        <v>113.50198375807889</v>
      </c>
      <c r="K148">
        <f>IFERROR(VLOOKUP($B148,'V04'!$A$9:$Q$1048576,3,1),"")</f>
        <v>2</v>
      </c>
      <c r="L148">
        <f>IFERROR(VLOOKUP($B148,'V04'!$A$8:$Q$29,11,1),"")</f>
        <v>-6.973007111749407</v>
      </c>
      <c r="M148">
        <f>IFERROR(VLOOKUP($B148,'V04'!$A$8:$Q$29,12,1),"")</f>
        <v>-4.5083205306399545</v>
      </c>
      <c r="N148">
        <f>IFERROR(VLOOKUP($B148,'V04'!$A$8:$Q$29,13,1),"")</f>
        <v>-2.0436339495305038</v>
      </c>
      <c r="O148">
        <f>IFERROR(VLOOKUP($B148,'V04'!$A$8:$Q$29,14,1),"")</f>
        <v>0.42105263157894735</v>
      </c>
      <c r="P148">
        <f>IFERROR(VLOOKUP($B148,'V04'!$A$8:$Q$29,15,1),"")</f>
        <v>2.8857392126883985</v>
      </c>
      <c r="Q148">
        <f>IFERROR(VLOOKUP($B148,'V04'!$A$8:$Q$29,16,1),"")</f>
        <v>5.3504257937978501</v>
      </c>
      <c r="R148">
        <f>IFERROR(VLOOKUP($B148,'V04'!$A$8:$Q$29,17,1),"")</f>
        <v>7.8151123749073008</v>
      </c>
      <c r="Z148" s="17"/>
      <c r="AY148" s="17"/>
    </row>
    <row r="149" spans="1:5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</row>
    <row r="150" spans="1:51" ht="50.1" customHeight="1" x14ac:dyDescent="0.25">
      <c r="A150" s="17"/>
      <c r="B150" s="39" t="s">
        <v>64</v>
      </c>
      <c r="C150" s="39"/>
      <c r="D150" s="39"/>
      <c r="E150" s="40">
        <v>45627</v>
      </c>
      <c r="F150" s="40"/>
      <c r="G150" s="40"/>
      <c r="H150" s="40"/>
      <c r="I150" s="40"/>
      <c r="J150" s="40"/>
      <c r="K150" s="40"/>
      <c r="L150" s="40"/>
      <c r="M150" s="40"/>
      <c r="N150" s="30" t="s">
        <v>74</v>
      </c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2"/>
      <c r="AY150" s="17"/>
    </row>
    <row r="151" spans="1:51" ht="50.1" customHeight="1" x14ac:dyDescent="0.25">
      <c r="A151" s="17"/>
      <c r="B151" s="39" t="s">
        <v>37</v>
      </c>
      <c r="C151" s="39"/>
      <c r="D151" s="39"/>
      <c r="E151" s="43"/>
      <c r="F151" s="43"/>
      <c r="G151" s="43"/>
      <c r="H151" s="39" t="s">
        <v>25</v>
      </c>
      <c r="I151" s="39"/>
      <c r="J151" s="39"/>
      <c r="K151" s="42"/>
      <c r="L151" s="42"/>
      <c r="M151" s="42"/>
      <c r="N151" s="33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5"/>
      <c r="AY151" s="17"/>
    </row>
    <row r="152" spans="1:51" ht="50.1" customHeight="1" x14ac:dyDescent="0.25">
      <c r="A152" s="17"/>
      <c r="B152" s="39" t="s">
        <v>66</v>
      </c>
      <c r="C152" s="39"/>
      <c r="D152" s="39"/>
      <c r="E152" s="43"/>
      <c r="F152" s="43"/>
      <c r="G152" s="43"/>
      <c r="H152" s="39" t="s">
        <v>26</v>
      </c>
      <c r="I152" s="39"/>
      <c r="J152" s="39"/>
      <c r="K152" s="42"/>
      <c r="L152" s="42"/>
      <c r="M152" s="42"/>
      <c r="N152" s="36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8"/>
      <c r="AY152" s="17"/>
    </row>
    <row r="153" spans="1:5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</row>
    <row r="154" spans="1:51" x14ac:dyDescent="0.25">
      <c r="A154" s="17"/>
      <c r="Z154" s="17"/>
      <c r="AY154" s="17"/>
    </row>
    <row r="155" spans="1:51" x14ac:dyDescent="0.25">
      <c r="A155" s="17"/>
      <c r="B155" s="6"/>
      <c r="C155" s="6"/>
      <c r="D155" s="6"/>
      <c r="E155" s="6"/>
      <c r="F155" s="6"/>
      <c r="G155" s="6"/>
      <c r="H155" s="6"/>
      <c r="I155" s="6"/>
      <c r="J155" s="6"/>
      <c r="K155" s="6"/>
      <c r="Z155" s="17"/>
      <c r="AY155" s="17"/>
    </row>
    <row r="156" spans="1:51" x14ac:dyDescent="0.25">
      <c r="A156" s="17"/>
      <c r="B156" s="2"/>
      <c r="D156" s="1"/>
      <c r="E156" s="1"/>
      <c r="F156" s="1"/>
      <c r="G156" s="1"/>
      <c r="H156" s="1"/>
      <c r="I156" s="1"/>
      <c r="J156" s="1"/>
      <c r="Z156" s="17"/>
      <c r="AY156" s="17"/>
    </row>
    <row r="157" spans="1:51" x14ac:dyDescent="0.25">
      <c r="A157" s="17"/>
      <c r="B157" s="2"/>
      <c r="D157" s="1"/>
      <c r="E157" s="1"/>
      <c r="F157" s="1"/>
      <c r="G157" s="1"/>
      <c r="H157" s="1"/>
      <c r="I157" s="1"/>
      <c r="J157" s="1"/>
      <c r="Z157" s="17"/>
      <c r="AY157" s="17"/>
    </row>
    <row r="158" spans="1:51" x14ac:dyDescent="0.25">
      <c r="A158" s="17"/>
      <c r="B158" s="2"/>
      <c r="D158" s="1"/>
      <c r="E158" s="1"/>
      <c r="F158" s="1"/>
      <c r="G158" s="1"/>
      <c r="H158" s="1"/>
      <c r="I158" s="1"/>
      <c r="J158" s="1"/>
      <c r="Z158" s="17"/>
      <c r="AY158" s="17"/>
    </row>
    <row r="159" spans="1:51" x14ac:dyDescent="0.25">
      <c r="A159" s="17"/>
      <c r="B159" s="2"/>
      <c r="D159" s="1"/>
      <c r="E159" s="1"/>
      <c r="F159" s="1"/>
      <c r="G159" s="1"/>
      <c r="H159" s="1"/>
      <c r="I159" s="1"/>
      <c r="J159" s="1"/>
      <c r="Z159" s="17"/>
      <c r="AY159" s="17"/>
    </row>
    <row r="160" spans="1:51" x14ac:dyDescent="0.25">
      <c r="A160" s="17"/>
      <c r="B160" s="2"/>
      <c r="D160" s="1"/>
      <c r="E160" s="1"/>
      <c r="F160" s="1"/>
      <c r="G160" s="1"/>
      <c r="H160" s="1"/>
      <c r="I160" s="1"/>
      <c r="J160" s="1"/>
      <c r="Z160" s="17"/>
      <c r="AY160" s="17"/>
    </row>
    <row r="161" spans="1:51" x14ac:dyDescent="0.25">
      <c r="A161" s="17"/>
      <c r="B161" s="2"/>
      <c r="D161" s="1"/>
      <c r="E161" s="1"/>
      <c r="F161" s="1"/>
      <c r="G161" s="1"/>
      <c r="H161" s="1"/>
      <c r="I161" s="1"/>
      <c r="J161" s="1"/>
      <c r="Z161" s="17"/>
      <c r="AY161" s="17"/>
    </row>
    <row r="162" spans="1:51" x14ac:dyDescent="0.25">
      <c r="A162" s="17"/>
      <c r="B162" s="2"/>
      <c r="D162" s="1"/>
      <c r="E162" s="1"/>
      <c r="F162" s="1"/>
      <c r="G162" s="1"/>
      <c r="H162" s="1"/>
      <c r="I162" s="1"/>
      <c r="J162" s="1"/>
      <c r="Z162" s="17"/>
      <c r="AY162" s="17"/>
    </row>
    <row r="163" spans="1:51" x14ac:dyDescent="0.25">
      <c r="A163" s="17"/>
      <c r="B163" s="2"/>
      <c r="D163" s="1"/>
      <c r="E163" s="1"/>
      <c r="F163" s="1"/>
      <c r="G163" s="1"/>
      <c r="H163" s="1"/>
      <c r="I163" s="1"/>
      <c r="J163" s="1"/>
      <c r="Z163" s="17"/>
      <c r="AY163" s="17"/>
    </row>
    <row r="164" spans="1:51" x14ac:dyDescent="0.25">
      <c r="A164" s="17"/>
      <c r="B164" s="2"/>
      <c r="D164" s="1"/>
      <c r="E164" s="1"/>
      <c r="F164" s="1"/>
      <c r="G164" s="1"/>
      <c r="H164" s="1"/>
      <c r="I164" s="1"/>
      <c r="J164" s="1"/>
      <c r="Z164" s="17"/>
      <c r="AY164" s="17"/>
    </row>
    <row r="165" spans="1:51" x14ac:dyDescent="0.25">
      <c r="A165" s="17"/>
      <c r="B165" s="2"/>
      <c r="D165" s="1"/>
      <c r="E165" s="1"/>
      <c r="F165" s="1"/>
      <c r="G165" s="1"/>
      <c r="H165" s="1"/>
      <c r="I165" s="1"/>
      <c r="J165" s="1"/>
      <c r="Z165" s="17"/>
      <c r="AY165" s="17"/>
    </row>
    <row r="166" spans="1:51" x14ac:dyDescent="0.25">
      <c r="A166" s="17"/>
      <c r="B166" s="2"/>
      <c r="D166" s="1"/>
      <c r="E166" s="1"/>
      <c r="F166" s="1"/>
      <c r="G166" s="1"/>
      <c r="H166" s="1"/>
      <c r="I166" s="1"/>
      <c r="J166" s="1"/>
      <c r="Z166" s="17"/>
      <c r="AY166" s="17"/>
    </row>
    <row r="167" spans="1:51" x14ac:dyDescent="0.25">
      <c r="A167" s="17"/>
      <c r="B167" s="2"/>
      <c r="D167" s="1"/>
      <c r="E167" s="1"/>
      <c r="F167" s="1"/>
      <c r="G167" s="1"/>
      <c r="H167" s="1"/>
      <c r="I167" s="1"/>
      <c r="J167" s="1"/>
      <c r="Z167" s="17"/>
      <c r="AY167" s="17"/>
    </row>
    <row r="168" spans="1:51" x14ac:dyDescent="0.25">
      <c r="A168" s="17"/>
      <c r="B168" s="2"/>
      <c r="D168" s="1"/>
      <c r="E168" s="1"/>
      <c r="F168" s="1"/>
      <c r="G168" s="1"/>
      <c r="H168" s="1"/>
      <c r="I168" s="1"/>
      <c r="J168" s="1"/>
      <c r="Z168" s="17"/>
      <c r="AY168" s="17"/>
    </row>
    <row r="169" spans="1:51" x14ac:dyDescent="0.25">
      <c r="A169" s="17"/>
      <c r="B169" s="2"/>
      <c r="D169" s="1"/>
      <c r="E169" s="1"/>
      <c r="F169" s="1"/>
      <c r="G169" s="1"/>
      <c r="H169" s="1"/>
      <c r="I169" s="1"/>
      <c r="J169" s="1"/>
      <c r="Z169" s="17"/>
      <c r="AY169" s="17"/>
    </row>
    <row r="170" spans="1:51" x14ac:dyDescent="0.25">
      <c r="A170" s="17"/>
      <c r="B170" s="2"/>
      <c r="D170" s="1"/>
      <c r="E170" s="1"/>
      <c r="F170" s="1"/>
      <c r="G170" s="1"/>
      <c r="H170" s="1"/>
      <c r="I170" s="1"/>
      <c r="J170" s="1"/>
      <c r="Z170" s="17"/>
      <c r="AY170" s="17"/>
    </row>
    <row r="171" spans="1:51" x14ac:dyDescent="0.25">
      <c r="A171" s="17"/>
      <c r="B171" s="2"/>
      <c r="D171" s="1"/>
      <c r="E171" s="1"/>
      <c r="F171" s="1"/>
      <c r="G171" s="1"/>
      <c r="H171" s="1"/>
      <c r="I171" s="1"/>
      <c r="J171" s="1"/>
      <c r="Z171" s="17"/>
      <c r="AY171" s="17"/>
    </row>
    <row r="172" spans="1:51" x14ac:dyDescent="0.25">
      <c r="A172" s="17"/>
      <c r="B172" s="2"/>
      <c r="D172" s="1"/>
      <c r="E172" s="1"/>
      <c r="F172" s="1"/>
      <c r="G172" s="1"/>
      <c r="H172" s="1"/>
      <c r="I172" s="1"/>
      <c r="J172" s="1"/>
      <c r="Z172" s="17"/>
      <c r="AY172" s="17"/>
    </row>
    <row r="173" spans="1:51" x14ac:dyDescent="0.25">
      <c r="A173" s="17"/>
      <c r="B173" s="2"/>
      <c r="D173" s="1"/>
      <c r="E173" s="1"/>
      <c r="F173" s="1"/>
      <c r="G173" s="1"/>
      <c r="H173" s="1"/>
      <c r="I173" s="1"/>
      <c r="J173" s="1"/>
      <c r="Z173" s="17"/>
      <c r="AY173" s="17"/>
    </row>
    <row r="174" spans="1:51" x14ac:dyDescent="0.25">
      <c r="A174" s="17"/>
      <c r="B174" s="2"/>
      <c r="D174" s="1"/>
      <c r="E174" s="1"/>
      <c r="F174" s="1"/>
      <c r="G174" s="1"/>
      <c r="H174" s="1"/>
      <c r="I174" s="1"/>
      <c r="J174" s="1"/>
      <c r="Z174" s="17"/>
      <c r="AY174" s="17"/>
    </row>
    <row r="175" spans="1:51" x14ac:dyDescent="0.25">
      <c r="A175" s="17"/>
      <c r="B175" s="2"/>
      <c r="D175" s="1"/>
      <c r="E175" s="1"/>
      <c r="F175" s="1"/>
      <c r="G175" s="1"/>
      <c r="H175" s="1"/>
      <c r="I175" s="1"/>
      <c r="J175" s="1"/>
      <c r="Z175" s="17"/>
      <c r="AY175" s="17"/>
    </row>
    <row r="176" spans="1:51" x14ac:dyDescent="0.25">
      <c r="A176" s="17"/>
      <c r="B176" s="2"/>
      <c r="D176" s="1"/>
      <c r="E176" s="1"/>
      <c r="F176" s="1"/>
      <c r="G176" s="1"/>
      <c r="H176" s="1"/>
      <c r="I176" s="1"/>
      <c r="J176" s="1"/>
      <c r="Z176" s="17"/>
      <c r="AY176" s="17"/>
    </row>
    <row r="177" spans="1:51" x14ac:dyDescent="0.25">
      <c r="A177" s="17"/>
      <c r="B177" s="2"/>
      <c r="D177" s="1"/>
      <c r="E177" s="1"/>
      <c r="F177" s="1"/>
      <c r="G177" s="1"/>
      <c r="H177" s="1"/>
      <c r="I177" s="1"/>
      <c r="J177" s="1"/>
      <c r="Z177" s="17"/>
      <c r="AY177" s="17"/>
    </row>
    <row r="178" spans="1:51" x14ac:dyDescent="0.25">
      <c r="A178" s="17"/>
      <c r="B178" s="2"/>
      <c r="D178" s="1"/>
      <c r="E178" s="1"/>
      <c r="F178" s="1"/>
      <c r="G178" s="1"/>
      <c r="H178" s="1"/>
      <c r="I178" s="1"/>
      <c r="J178" s="1"/>
      <c r="Z178" s="17"/>
      <c r="AY178" s="17"/>
    </row>
    <row r="179" spans="1:51" x14ac:dyDescent="0.25">
      <c r="A179" s="17"/>
      <c r="B179" s="2"/>
      <c r="D179" s="1"/>
      <c r="E179" s="1"/>
      <c r="F179" s="1"/>
      <c r="G179" s="1"/>
      <c r="H179" s="1"/>
      <c r="I179" s="1"/>
      <c r="J179" s="1"/>
      <c r="Z179" s="17"/>
      <c r="AY179" s="17"/>
    </row>
    <row r="180" spans="1:51" x14ac:dyDescent="0.25">
      <c r="A180" s="17"/>
      <c r="B180" s="2"/>
      <c r="D180" s="1"/>
      <c r="E180" s="1"/>
      <c r="F180" s="1"/>
      <c r="G180" s="1"/>
      <c r="H180" s="1"/>
      <c r="I180" s="1"/>
      <c r="J180" s="1"/>
      <c r="Z180" s="17"/>
      <c r="AY180" s="17"/>
    </row>
    <row r="181" spans="1:51" x14ac:dyDescent="0.25">
      <c r="A181" s="17"/>
      <c r="B181" s="2"/>
      <c r="D181" s="1"/>
      <c r="E181" s="1"/>
      <c r="F181" s="1"/>
      <c r="G181" s="1"/>
      <c r="H181" s="1"/>
      <c r="I181" s="1"/>
      <c r="J181" s="1"/>
      <c r="Z181" s="17"/>
      <c r="AY181" s="17"/>
    </row>
    <row r="182" spans="1:51" x14ac:dyDescent="0.25">
      <c r="A182" s="17"/>
      <c r="B182" s="2"/>
      <c r="D182" s="1"/>
      <c r="E182" s="1"/>
      <c r="F182" s="1"/>
      <c r="G182" s="1"/>
      <c r="H182" s="1"/>
      <c r="I182" s="1"/>
      <c r="J182" s="1"/>
      <c r="Z182" s="17"/>
      <c r="AY182" s="17"/>
    </row>
    <row r="183" spans="1:51" x14ac:dyDescent="0.25">
      <c r="A183" s="17"/>
      <c r="B183" s="2"/>
      <c r="D183" s="1"/>
      <c r="E183" s="1"/>
      <c r="F183" s="1"/>
      <c r="G183" s="1"/>
      <c r="H183" s="1"/>
      <c r="I183" s="1"/>
      <c r="J183" s="1"/>
      <c r="Z183" s="17"/>
      <c r="AY183" s="17"/>
    </row>
    <row r="184" spans="1:51" x14ac:dyDescent="0.25">
      <c r="A184" s="17"/>
      <c r="B184" s="2"/>
      <c r="D184" s="1"/>
      <c r="E184" s="1"/>
      <c r="F184" s="1"/>
      <c r="G184" s="1"/>
      <c r="H184" s="1"/>
      <c r="I184" s="1"/>
      <c r="J184" s="1"/>
      <c r="Z184" s="17"/>
      <c r="AY184" s="17"/>
    </row>
    <row r="185" spans="1:51" x14ac:dyDescent="0.25">
      <c r="A185" s="17"/>
      <c r="B185" s="2"/>
      <c r="D185" s="1"/>
      <c r="E185" s="1"/>
      <c r="F185" s="1"/>
      <c r="G185" s="1"/>
      <c r="H185" s="1"/>
      <c r="I185" s="1"/>
      <c r="J185" s="1"/>
      <c r="Z185" s="17"/>
      <c r="AY185" s="17"/>
    </row>
    <row r="186" spans="1:5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</row>
    <row r="187" spans="1:51" ht="50.1" customHeight="1" x14ac:dyDescent="0.25">
      <c r="A187" s="17"/>
      <c r="B187" s="39" t="s">
        <v>64</v>
      </c>
      <c r="C187" s="39"/>
      <c r="D187" s="39"/>
      <c r="E187" s="40">
        <v>45627</v>
      </c>
      <c r="F187" s="40"/>
      <c r="G187" s="40"/>
      <c r="H187" s="40"/>
      <c r="I187" s="40"/>
      <c r="J187" s="40"/>
      <c r="K187" s="40"/>
      <c r="L187" s="40"/>
      <c r="M187" s="40"/>
      <c r="N187" s="30" t="s">
        <v>75</v>
      </c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2"/>
      <c r="AY187" s="17"/>
    </row>
    <row r="188" spans="1:51" ht="50.1" customHeight="1" x14ac:dyDescent="0.25">
      <c r="A188" s="17"/>
      <c r="B188" s="39" t="s">
        <v>37</v>
      </c>
      <c r="C188" s="39"/>
      <c r="D188" s="39"/>
      <c r="E188" s="43"/>
      <c r="F188" s="43"/>
      <c r="G188" s="43"/>
      <c r="H188" s="39" t="s">
        <v>25</v>
      </c>
      <c r="I188" s="39"/>
      <c r="J188" s="39"/>
      <c r="K188" s="42"/>
      <c r="L188" s="42"/>
      <c r="M188" s="42"/>
      <c r="N188" s="33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5"/>
      <c r="AY188" s="17"/>
    </row>
    <row r="189" spans="1:51" ht="50.1" customHeight="1" x14ac:dyDescent="0.25">
      <c r="A189" s="17"/>
      <c r="B189" s="39" t="s">
        <v>66</v>
      </c>
      <c r="C189" s="39"/>
      <c r="D189" s="39"/>
      <c r="E189" s="43"/>
      <c r="F189" s="43"/>
      <c r="G189" s="43"/>
      <c r="H189" s="39" t="s">
        <v>26</v>
      </c>
      <c r="I189" s="39"/>
      <c r="J189" s="39"/>
      <c r="K189" s="42"/>
      <c r="L189" s="42"/>
      <c r="M189" s="42"/>
      <c r="N189" s="36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8"/>
      <c r="AY189" s="17"/>
    </row>
    <row r="190" spans="1:5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</row>
    <row r="191" spans="1:51" x14ac:dyDescent="0.25">
      <c r="A191" s="17"/>
      <c r="Z191" s="17"/>
      <c r="AY191" s="17"/>
    </row>
    <row r="192" spans="1:51" x14ac:dyDescent="0.25">
      <c r="A192" s="17"/>
      <c r="B192" s="6"/>
      <c r="C192" s="6"/>
      <c r="D192" s="6"/>
      <c r="E192" s="6"/>
      <c r="F192" s="6"/>
      <c r="G192" s="6"/>
      <c r="H192" s="6"/>
      <c r="I192" s="6"/>
      <c r="J192" s="6"/>
      <c r="K192" s="6"/>
      <c r="Z192" s="17"/>
      <c r="AY192" s="17"/>
    </row>
    <row r="193" spans="1:51" x14ac:dyDescent="0.25">
      <c r="A193" s="17"/>
      <c r="B193" s="2"/>
      <c r="D193" s="1"/>
      <c r="E193" s="1"/>
      <c r="F193" s="1"/>
      <c r="G193" s="1"/>
      <c r="H193" s="1"/>
      <c r="I193" s="1"/>
      <c r="J193" s="1"/>
      <c r="Z193" s="17"/>
      <c r="AY193" s="17"/>
    </row>
    <row r="194" spans="1:51" x14ac:dyDescent="0.25">
      <c r="A194" s="17"/>
      <c r="B194" s="2"/>
      <c r="D194" s="1"/>
      <c r="E194" s="1"/>
      <c r="F194" s="1"/>
      <c r="G194" s="1"/>
      <c r="H194" s="1"/>
      <c r="I194" s="1"/>
      <c r="J194" s="1"/>
      <c r="Z194" s="17"/>
      <c r="AY194" s="17"/>
    </row>
    <row r="195" spans="1:51" x14ac:dyDescent="0.25">
      <c r="A195" s="17"/>
      <c r="B195" s="2"/>
      <c r="D195" s="1"/>
      <c r="E195" s="1"/>
      <c r="F195" s="1"/>
      <c r="G195" s="1"/>
      <c r="H195" s="1"/>
      <c r="I195" s="1"/>
      <c r="J195" s="1"/>
      <c r="Z195" s="17"/>
      <c r="AY195" s="17"/>
    </row>
    <row r="196" spans="1:51" x14ac:dyDescent="0.25">
      <c r="A196" s="17"/>
      <c r="B196" s="2"/>
      <c r="D196" s="1"/>
      <c r="E196" s="1"/>
      <c r="F196" s="1"/>
      <c r="G196" s="1"/>
      <c r="H196" s="1"/>
      <c r="I196" s="1"/>
      <c r="J196" s="1"/>
      <c r="Z196" s="17"/>
      <c r="AY196" s="17"/>
    </row>
    <row r="197" spans="1:51" x14ac:dyDescent="0.25">
      <c r="A197" s="17"/>
      <c r="B197" s="2"/>
      <c r="D197" s="1"/>
      <c r="E197" s="1"/>
      <c r="F197" s="1"/>
      <c r="G197" s="1"/>
      <c r="H197" s="1"/>
      <c r="I197" s="1"/>
      <c r="J197" s="1"/>
      <c r="Z197" s="17"/>
      <c r="AY197" s="17"/>
    </row>
    <row r="198" spans="1:51" x14ac:dyDescent="0.25">
      <c r="A198" s="17"/>
      <c r="B198" s="2"/>
      <c r="D198" s="1"/>
      <c r="E198" s="1"/>
      <c r="F198" s="1"/>
      <c r="G198" s="1"/>
      <c r="H198" s="1"/>
      <c r="I198" s="1"/>
      <c r="J198" s="1"/>
      <c r="Z198" s="17"/>
      <c r="AY198" s="17"/>
    </row>
    <row r="199" spans="1:51" x14ac:dyDescent="0.25">
      <c r="A199" s="17"/>
      <c r="B199" s="2"/>
      <c r="D199" s="1"/>
      <c r="E199" s="1"/>
      <c r="F199" s="1"/>
      <c r="G199" s="1"/>
      <c r="H199" s="1"/>
      <c r="I199" s="1"/>
      <c r="J199" s="1"/>
      <c r="Z199" s="17"/>
      <c r="AY199" s="17"/>
    </row>
    <row r="200" spans="1:51" x14ac:dyDescent="0.25">
      <c r="A200" s="17"/>
      <c r="B200" s="2"/>
      <c r="D200" s="1"/>
      <c r="E200" s="1"/>
      <c r="F200" s="1"/>
      <c r="G200" s="1"/>
      <c r="H200" s="1"/>
      <c r="I200" s="1"/>
      <c r="J200" s="1"/>
      <c r="Z200" s="17"/>
      <c r="AY200" s="17"/>
    </row>
    <row r="201" spans="1:51" x14ac:dyDescent="0.25">
      <c r="A201" s="17"/>
      <c r="B201" s="2"/>
      <c r="D201" s="1"/>
      <c r="E201" s="1"/>
      <c r="F201" s="1"/>
      <c r="G201" s="1"/>
      <c r="H201" s="1"/>
      <c r="I201" s="1"/>
      <c r="J201" s="1"/>
      <c r="Z201" s="17"/>
      <c r="AY201" s="17"/>
    </row>
    <row r="202" spans="1:51" x14ac:dyDescent="0.25">
      <c r="A202" s="17"/>
      <c r="B202" s="2"/>
      <c r="D202" s="1"/>
      <c r="E202" s="1"/>
      <c r="F202" s="1"/>
      <c r="G202" s="1"/>
      <c r="H202" s="1"/>
      <c r="I202" s="1"/>
      <c r="J202" s="1"/>
      <c r="Z202" s="17"/>
      <c r="AY202" s="17"/>
    </row>
    <row r="203" spans="1:51" x14ac:dyDescent="0.25">
      <c r="A203" s="17"/>
      <c r="B203" s="2"/>
      <c r="D203" s="1"/>
      <c r="E203" s="1"/>
      <c r="F203" s="1"/>
      <c r="G203" s="1"/>
      <c r="H203" s="1"/>
      <c r="I203" s="1"/>
      <c r="J203" s="1"/>
      <c r="Z203" s="17"/>
      <c r="AY203" s="17"/>
    </row>
    <row r="204" spans="1:51" x14ac:dyDescent="0.25">
      <c r="A204" s="17"/>
      <c r="B204" s="2"/>
      <c r="D204" s="1"/>
      <c r="E204" s="1"/>
      <c r="F204" s="1"/>
      <c r="G204" s="1"/>
      <c r="H204" s="1"/>
      <c r="I204" s="1"/>
      <c r="J204" s="1"/>
      <c r="Z204" s="17"/>
      <c r="AY204" s="17"/>
    </row>
    <row r="205" spans="1:51" x14ac:dyDescent="0.25">
      <c r="A205" s="17"/>
      <c r="B205" s="2"/>
      <c r="D205" s="1"/>
      <c r="E205" s="1"/>
      <c r="F205" s="1"/>
      <c r="G205" s="1"/>
      <c r="H205" s="1"/>
      <c r="I205" s="1"/>
      <c r="J205" s="1"/>
      <c r="Z205" s="17"/>
      <c r="AY205" s="17"/>
    </row>
    <row r="206" spans="1:51" x14ac:dyDescent="0.25">
      <c r="A206" s="17"/>
      <c r="B206" s="2"/>
      <c r="D206" s="1"/>
      <c r="E206" s="1"/>
      <c r="F206" s="1"/>
      <c r="G206" s="1"/>
      <c r="H206" s="1"/>
      <c r="I206" s="1"/>
      <c r="J206" s="1"/>
      <c r="Z206" s="17"/>
      <c r="AY206" s="17"/>
    </row>
    <row r="207" spans="1:51" x14ac:dyDescent="0.25">
      <c r="A207" s="17"/>
      <c r="B207" s="2"/>
      <c r="D207" s="1"/>
      <c r="E207" s="1"/>
      <c r="F207" s="1"/>
      <c r="G207" s="1"/>
      <c r="H207" s="1"/>
      <c r="I207" s="1"/>
      <c r="J207" s="1"/>
      <c r="Z207" s="17"/>
      <c r="AY207" s="17"/>
    </row>
    <row r="208" spans="1:51" x14ac:dyDescent="0.25">
      <c r="A208" s="17"/>
      <c r="B208" s="2"/>
      <c r="D208" s="1"/>
      <c r="E208" s="1"/>
      <c r="F208" s="1"/>
      <c r="G208" s="1"/>
      <c r="H208" s="1"/>
      <c r="I208" s="1"/>
      <c r="J208" s="1"/>
      <c r="Z208" s="17"/>
      <c r="AY208" s="17"/>
    </row>
    <row r="209" spans="1:51" x14ac:dyDescent="0.25">
      <c r="A209" s="17"/>
      <c r="B209" s="2"/>
      <c r="D209" s="1"/>
      <c r="E209" s="1"/>
      <c r="F209" s="1"/>
      <c r="G209" s="1"/>
      <c r="H209" s="1"/>
      <c r="I209" s="1"/>
      <c r="J209" s="1"/>
      <c r="Z209" s="17"/>
      <c r="AY209" s="17"/>
    </row>
    <row r="210" spans="1:51" x14ac:dyDescent="0.25">
      <c r="A210" s="17"/>
      <c r="B210" s="2"/>
      <c r="D210" s="1"/>
      <c r="E210" s="1"/>
      <c r="F210" s="1"/>
      <c r="G210" s="1"/>
      <c r="H210" s="1"/>
      <c r="I210" s="1"/>
      <c r="J210" s="1"/>
      <c r="Z210" s="17"/>
      <c r="AY210" s="17"/>
    </row>
    <row r="211" spans="1:51" x14ac:dyDescent="0.25">
      <c r="A211" s="17"/>
      <c r="B211" s="2"/>
      <c r="D211" s="1"/>
      <c r="E211" s="1"/>
      <c r="F211" s="1"/>
      <c r="G211" s="1"/>
      <c r="H211" s="1"/>
      <c r="I211" s="1"/>
      <c r="J211" s="1"/>
      <c r="Z211" s="17"/>
      <c r="AY211" s="17"/>
    </row>
    <row r="212" spans="1:51" x14ac:dyDescent="0.25">
      <c r="A212" s="17"/>
      <c r="B212" s="2"/>
      <c r="D212" s="1"/>
      <c r="E212" s="1"/>
      <c r="F212" s="1"/>
      <c r="G212" s="1"/>
      <c r="H212" s="1"/>
      <c r="I212" s="1"/>
      <c r="J212" s="1"/>
      <c r="Z212" s="17"/>
      <c r="AY212" s="17"/>
    </row>
    <row r="213" spans="1:51" x14ac:dyDescent="0.25">
      <c r="A213" s="17"/>
      <c r="B213" s="2"/>
      <c r="D213" s="1"/>
      <c r="E213" s="1"/>
      <c r="F213" s="1"/>
      <c r="G213" s="1"/>
      <c r="H213" s="1"/>
      <c r="I213" s="1"/>
      <c r="J213" s="1"/>
      <c r="Z213" s="17"/>
      <c r="AY213" s="17"/>
    </row>
    <row r="214" spans="1:51" x14ac:dyDescent="0.25">
      <c r="A214" s="17"/>
      <c r="B214" s="2"/>
      <c r="D214" s="1"/>
      <c r="E214" s="1"/>
      <c r="F214" s="1"/>
      <c r="G214" s="1"/>
      <c r="H214" s="1"/>
      <c r="I214" s="1"/>
      <c r="J214" s="1"/>
      <c r="Z214" s="17"/>
      <c r="AY214" s="17"/>
    </row>
    <row r="215" spans="1:51" x14ac:dyDescent="0.25">
      <c r="A215" s="17"/>
      <c r="B215" s="2"/>
      <c r="D215" s="1"/>
      <c r="E215" s="1"/>
      <c r="F215" s="1"/>
      <c r="G215" s="1"/>
      <c r="H215" s="1"/>
      <c r="I215" s="1"/>
      <c r="J215" s="1"/>
      <c r="Z215" s="17"/>
      <c r="AY215" s="17"/>
    </row>
    <row r="216" spans="1:51" x14ac:dyDescent="0.25">
      <c r="A216" s="17"/>
      <c r="B216" s="2"/>
      <c r="D216" s="1"/>
      <c r="E216" s="1"/>
      <c r="F216" s="1"/>
      <c r="G216" s="1"/>
      <c r="H216" s="1"/>
      <c r="I216" s="1"/>
      <c r="J216" s="1"/>
      <c r="Z216" s="17"/>
      <c r="AY216" s="17"/>
    </row>
    <row r="217" spans="1:51" x14ac:dyDescent="0.25">
      <c r="A217" s="17"/>
      <c r="B217" s="2"/>
      <c r="D217" s="1"/>
      <c r="E217" s="1"/>
      <c r="F217" s="1"/>
      <c r="G217" s="1"/>
      <c r="H217" s="1"/>
      <c r="I217" s="1"/>
      <c r="J217" s="1"/>
      <c r="Z217" s="17"/>
      <c r="AY217" s="17"/>
    </row>
    <row r="218" spans="1:51" x14ac:dyDescent="0.25">
      <c r="A218" s="17"/>
      <c r="B218" s="2"/>
      <c r="D218" s="1"/>
      <c r="E218" s="1"/>
      <c r="F218" s="1"/>
      <c r="G218" s="1"/>
      <c r="H218" s="1"/>
      <c r="I218" s="1"/>
      <c r="J218" s="1"/>
      <c r="Z218" s="17"/>
      <c r="AY218" s="17"/>
    </row>
    <row r="219" spans="1:51" x14ac:dyDescent="0.25">
      <c r="A219" s="17"/>
      <c r="B219" s="2"/>
      <c r="D219" s="1"/>
      <c r="E219" s="1"/>
      <c r="F219" s="1"/>
      <c r="G219" s="1"/>
      <c r="H219" s="1"/>
      <c r="I219" s="1"/>
      <c r="J219" s="1"/>
      <c r="Z219" s="17"/>
      <c r="AY219" s="17"/>
    </row>
    <row r="220" spans="1:51" x14ac:dyDescent="0.25">
      <c r="A220" s="17"/>
      <c r="B220" s="2"/>
      <c r="D220" s="1"/>
      <c r="E220" s="1"/>
      <c r="F220" s="1"/>
      <c r="G220" s="1"/>
      <c r="H220" s="1"/>
      <c r="I220" s="1"/>
      <c r="J220" s="1"/>
      <c r="Z220" s="17"/>
      <c r="AY220" s="17"/>
    </row>
    <row r="221" spans="1:51" x14ac:dyDescent="0.25">
      <c r="A221" s="17"/>
      <c r="B221" s="2"/>
      <c r="D221" s="1"/>
      <c r="E221" s="1"/>
      <c r="F221" s="1"/>
      <c r="G221" s="1"/>
      <c r="H221" s="1"/>
      <c r="I221" s="1"/>
      <c r="J221" s="1"/>
      <c r="Z221" s="17"/>
      <c r="AY221" s="17"/>
    </row>
    <row r="222" spans="1:51" x14ac:dyDescent="0.25">
      <c r="A222" s="17"/>
      <c r="B222" s="2"/>
      <c r="D222" s="1"/>
      <c r="E222" s="1"/>
      <c r="F222" s="1"/>
      <c r="G222" s="1"/>
      <c r="H222" s="1"/>
      <c r="I222" s="1"/>
      <c r="J222" s="1"/>
      <c r="Z222" s="17"/>
      <c r="AY222" s="17"/>
    </row>
    <row r="223" spans="1:5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</row>
    <row r="224" spans="1:51" ht="50.1" customHeight="1" x14ac:dyDescent="0.25">
      <c r="A224" s="17"/>
      <c r="B224" s="39" t="s">
        <v>64</v>
      </c>
      <c r="C224" s="39"/>
      <c r="D224" s="39"/>
      <c r="E224" s="40">
        <v>45627</v>
      </c>
      <c r="F224" s="40"/>
      <c r="G224" s="40"/>
      <c r="H224" s="40"/>
      <c r="I224" s="40"/>
      <c r="J224" s="40"/>
      <c r="K224" s="40"/>
      <c r="L224" s="40"/>
      <c r="M224" s="40"/>
      <c r="N224" s="44" t="s">
        <v>76</v>
      </c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6"/>
      <c r="AY224" s="17"/>
    </row>
    <row r="225" spans="1:51" ht="50.1" customHeight="1" x14ac:dyDescent="0.25">
      <c r="A225" s="17"/>
      <c r="B225" s="39" t="s">
        <v>37</v>
      </c>
      <c r="C225" s="39"/>
      <c r="D225" s="39"/>
      <c r="E225" s="43"/>
      <c r="F225" s="43"/>
      <c r="G225" s="43"/>
      <c r="H225" s="39" t="s">
        <v>25</v>
      </c>
      <c r="I225" s="39"/>
      <c r="J225" s="39"/>
      <c r="K225" s="42"/>
      <c r="L225" s="42"/>
      <c r="M225" s="42"/>
      <c r="N225" s="47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9"/>
      <c r="AY225" s="17"/>
    </row>
    <row r="226" spans="1:51" ht="50.1" customHeight="1" x14ac:dyDescent="0.25">
      <c r="A226" s="17"/>
      <c r="B226" s="39" t="s">
        <v>66</v>
      </c>
      <c r="C226" s="39"/>
      <c r="D226" s="39"/>
      <c r="E226" s="43"/>
      <c r="F226" s="43"/>
      <c r="G226" s="43"/>
      <c r="H226" s="39" t="s">
        <v>26</v>
      </c>
      <c r="I226" s="39"/>
      <c r="J226" s="39"/>
      <c r="K226" s="42"/>
      <c r="L226" s="42"/>
      <c r="M226" s="42"/>
      <c r="N226" s="50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2"/>
      <c r="AY226" s="17"/>
    </row>
    <row r="227" spans="1:5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</row>
    <row r="228" spans="1:51" x14ac:dyDescent="0.25">
      <c r="A228" s="17"/>
      <c r="B228" t="s">
        <v>67</v>
      </c>
      <c r="K228" t="s">
        <v>68</v>
      </c>
      <c r="Z228" s="17"/>
      <c r="AY228" s="17"/>
    </row>
    <row r="229" spans="1:51" x14ac:dyDescent="0.25">
      <c r="A229" s="17"/>
      <c r="B229" s="6" t="s">
        <v>69</v>
      </c>
      <c r="C229" s="6" t="s">
        <v>70</v>
      </c>
      <c r="D229" s="6" t="s">
        <v>34</v>
      </c>
      <c r="E229" s="6" t="s">
        <v>35</v>
      </c>
      <c r="F229" s="6" t="s">
        <v>36</v>
      </c>
      <c r="G229" s="6" t="s">
        <v>37</v>
      </c>
      <c r="H229" s="6" t="s">
        <v>38</v>
      </c>
      <c r="I229" s="6" t="s">
        <v>39</v>
      </c>
      <c r="J229" s="6" t="s">
        <v>40</v>
      </c>
      <c r="K229" s="6" t="s">
        <v>70</v>
      </c>
      <c r="L229" t="s">
        <v>34</v>
      </c>
      <c r="M229" t="s">
        <v>35</v>
      </c>
      <c r="N229" t="s">
        <v>36</v>
      </c>
      <c r="O229" t="s">
        <v>37</v>
      </c>
      <c r="P229" t="s">
        <v>38</v>
      </c>
      <c r="Q229" t="s">
        <v>39</v>
      </c>
      <c r="R229" t="s">
        <v>40</v>
      </c>
      <c r="Z229" s="17"/>
      <c r="AY229" s="17"/>
    </row>
    <row r="230" spans="1:51" x14ac:dyDescent="0.25">
      <c r="A230" s="17"/>
      <c r="B230" s="2">
        <f t="shared" ref="B230:B257" si="6">EDATE(B231,-1)</f>
        <v>45047</v>
      </c>
      <c r="C230" t="str">
        <f>IFERROR(VLOOKUP($B230,'V07'!$A$9:$J$1048576,2,1),"")</f>
        <v/>
      </c>
      <c r="D230" s="1" t="str">
        <f>IFERROR(VLOOKUP($B230,'V07'!$A$8:$J$29,4,1),"")</f>
        <v/>
      </c>
      <c r="E230" s="1" t="str">
        <f>IFERROR(VLOOKUP($B230,'V07'!$A$8:$J$29,5,1),"")</f>
        <v/>
      </c>
      <c r="F230" s="1" t="str">
        <f>IFERROR(VLOOKUP($B230,'V07'!$A$8:$J$29,6,1),"")</f>
        <v/>
      </c>
      <c r="G230" s="1" t="str">
        <f>IFERROR(VLOOKUP($B230,'V07'!$A$8:$J$29,7,1),"")</f>
        <v/>
      </c>
      <c r="H230" s="1" t="str">
        <f>IFERROR(VLOOKUP($B230,'V07'!$A$8:$J$29,8,1),"")</f>
        <v/>
      </c>
      <c r="I230" s="1" t="str">
        <f>IFERROR(VLOOKUP($B230,'V07'!$A$8:$J$29,9,1),"")</f>
        <v/>
      </c>
      <c r="J230" s="1" t="str">
        <f>IFERROR(VLOOKUP($B230,'V07'!$A$8:$J$29,10,1),"")</f>
        <v/>
      </c>
      <c r="K230" t="str">
        <f>IFERROR(VLOOKUP($B230,'V07'!$A$9:$Q$1048576,3,1),"")</f>
        <v/>
      </c>
      <c r="L230" t="str">
        <f>IFERROR(VLOOKUP($B230,'V07'!$A$8:$Q$29,11,1),"")</f>
        <v/>
      </c>
      <c r="M230" t="str">
        <f>IFERROR(VLOOKUP($B230,'V07'!$A$8:$Q$29,12,1),"")</f>
        <v/>
      </c>
      <c r="N230" t="str">
        <f>IFERROR(VLOOKUP($B230,'V07'!$A$8:$Q$29,13,1),"")</f>
        <v/>
      </c>
      <c r="O230" t="str">
        <f>IFERROR(VLOOKUP($B230,'V07'!$A$8:$Q$29,14,1),"")</f>
        <v/>
      </c>
      <c r="P230" t="str">
        <f>IFERROR(VLOOKUP($B230,'V07'!$A$8:$Q$29,15,1),"")</f>
        <v/>
      </c>
      <c r="Q230" t="str">
        <f>IFERROR(VLOOKUP($B230,'V07'!$A$8:$Q$29,16,1),"")</f>
        <v/>
      </c>
      <c r="R230" t="str">
        <f>IFERROR(VLOOKUP($B230,'V07'!$A$8:$Q$29,17,1),"")</f>
        <v/>
      </c>
      <c r="Z230" s="17"/>
      <c r="AY230" s="17"/>
    </row>
    <row r="231" spans="1:51" x14ac:dyDescent="0.25">
      <c r="A231" s="17"/>
      <c r="B231" s="2">
        <f t="shared" si="6"/>
        <v>45078</v>
      </c>
      <c r="C231" t="str">
        <f>IFERROR(VLOOKUP($B231,'V07'!$A$9:$J$1048576,2,1),"")</f>
        <v/>
      </c>
      <c r="D231" s="1" t="str">
        <f>IFERROR(VLOOKUP($B231,'V07'!$A$8:$J$29,4,1),"")</f>
        <v/>
      </c>
      <c r="E231" s="1" t="str">
        <f>IFERROR(VLOOKUP($B231,'V07'!$A$8:$J$29,5,1),"")</f>
        <v/>
      </c>
      <c r="F231" s="1" t="str">
        <f>IFERROR(VLOOKUP($B231,'V07'!$A$8:$J$29,6,1),"")</f>
        <v/>
      </c>
      <c r="G231" s="1" t="str">
        <f>IFERROR(VLOOKUP($B231,'V07'!$A$8:$J$29,7,1),"")</f>
        <v/>
      </c>
      <c r="H231" s="1" t="str">
        <f>IFERROR(VLOOKUP($B231,'V07'!$A$8:$J$29,8,1),"")</f>
        <v/>
      </c>
      <c r="I231" s="1" t="str">
        <f>IFERROR(VLOOKUP($B231,'V07'!$A$8:$J$29,9,1),"")</f>
        <v/>
      </c>
      <c r="J231" s="1" t="str">
        <f>IFERROR(VLOOKUP($B231,'V07'!$A$8:$J$29,10,1),"")</f>
        <v/>
      </c>
      <c r="K231" t="str">
        <f>IFERROR(VLOOKUP($B231,'V07'!$A$9:$Q$1048576,3,1),"")</f>
        <v/>
      </c>
      <c r="L231" t="str">
        <f>IFERROR(VLOOKUP($B231,'V07'!$A$8:$Q$29,11,1),"")</f>
        <v/>
      </c>
      <c r="M231" t="str">
        <f>IFERROR(VLOOKUP($B231,'V07'!$A$8:$Q$29,12,1),"")</f>
        <v/>
      </c>
      <c r="N231" t="str">
        <f>IFERROR(VLOOKUP($B231,'V07'!$A$8:$Q$29,13,1),"")</f>
        <v/>
      </c>
      <c r="O231" t="str">
        <f>IFERROR(VLOOKUP($B231,'V07'!$A$8:$Q$29,14,1),"")</f>
        <v/>
      </c>
      <c r="P231" t="str">
        <f>IFERROR(VLOOKUP($B231,'V07'!$A$8:$Q$29,15,1),"")</f>
        <v/>
      </c>
      <c r="Q231" t="str">
        <f>IFERROR(VLOOKUP($B231,'V07'!$A$8:$Q$29,16,1),"")</f>
        <v/>
      </c>
      <c r="R231" t="str">
        <f>IFERROR(VLOOKUP($B231,'V07'!$A$8:$Q$29,17,1),"")</f>
        <v/>
      </c>
      <c r="Z231" s="17"/>
      <c r="AY231" s="17"/>
    </row>
    <row r="232" spans="1:51" x14ac:dyDescent="0.25">
      <c r="A232" s="17"/>
      <c r="B232" s="2">
        <f t="shared" si="6"/>
        <v>45108</v>
      </c>
      <c r="C232" t="str">
        <f>IFERROR(VLOOKUP($B232,'V07'!$A$9:$J$1048576,2,1),"")</f>
        <v/>
      </c>
      <c r="D232" s="1" t="str">
        <f>IFERROR(VLOOKUP($B232,'V07'!$A$8:$J$29,4,1),"")</f>
        <v/>
      </c>
      <c r="E232" s="1" t="str">
        <f>IFERROR(VLOOKUP($B232,'V07'!$A$8:$J$29,5,1),"")</f>
        <v/>
      </c>
      <c r="F232" s="1" t="str">
        <f>IFERROR(VLOOKUP($B232,'V07'!$A$8:$J$29,6,1),"")</f>
        <v/>
      </c>
      <c r="G232" s="1" t="str">
        <f>IFERROR(VLOOKUP($B232,'V07'!$A$8:$J$29,7,1),"")</f>
        <v/>
      </c>
      <c r="H232" s="1" t="str">
        <f>IFERROR(VLOOKUP($B232,'V07'!$A$8:$J$29,8,1),"")</f>
        <v/>
      </c>
      <c r="I232" s="1" t="str">
        <f>IFERROR(VLOOKUP($B232,'V07'!$A$8:$J$29,9,1),"")</f>
        <v/>
      </c>
      <c r="J232" s="1" t="str">
        <f>IFERROR(VLOOKUP($B232,'V07'!$A$8:$J$29,10,1),"")</f>
        <v/>
      </c>
      <c r="K232" t="str">
        <f>IFERROR(VLOOKUP($B232,'V07'!$A$9:$Q$1048576,3,1),"")</f>
        <v/>
      </c>
      <c r="L232" t="str">
        <f>IFERROR(VLOOKUP($B232,'V07'!$A$8:$Q$29,11,1),"")</f>
        <v/>
      </c>
      <c r="M232" t="str">
        <f>IFERROR(VLOOKUP($B232,'V07'!$A$8:$Q$29,12,1),"")</f>
        <v/>
      </c>
      <c r="N232" t="str">
        <f>IFERROR(VLOOKUP($B232,'V07'!$A$8:$Q$29,13,1),"")</f>
        <v/>
      </c>
      <c r="O232" t="str">
        <f>IFERROR(VLOOKUP($B232,'V07'!$A$8:$Q$29,14,1),"")</f>
        <v/>
      </c>
      <c r="P232" t="str">
        <f>IFERROR(VLOOKUP($B232,'V07'!$A$8:$Q$29,15,1),"")</f>
        <v/>
      </c>
      <c r="Q232" t="str">
        <f>IFERROR(VLOOKUP($B232,'V07'!$A$8:$Q$29,16,1),"")</f>
        <v/>
      </c>
      <c r="R232" t="str">
        <f>IFERROR(VLOOKUP($B232,'V07'!$A$8:$Q$29,17,1),"")</f>
        <v/>
      </c>
      <c r="Z232" s="17"/>
      <c r="AY232" s="17"/>
    </row>
    <row r="233" spans="1:51" x14ac:dyDescent="0.25">
      <c r="A233" s="17"/>
      <c r="B233" s="2">
        <f t="shared" si="6"/>
        <v>45139</v>
      </c>
      <c r="C233" t="str">
        <f>IFERROR(VLOOKUP($B233,'V07'!$A$9:$J$1048576,2,1),"")</f>
        <v/>
      </c>
      <c r="D233" s="1" t="str">
        <f>IFERROR(VLOOKUP($B233,'V07'!$A$8:$J$29,4,1),"")</f>
        <v/>
      </c>
      <c r="E233" s="1" t="str">
        <f>IFERROR(VLOOKUP($B233,'V07'!$A$8:$J$29,5,1),"")</f>
        <v/>
      </c>
      <c r="F233" s="1" t="str">
        <f>IFERROR(VLOOKUP($B233,'V07'!$A$8:$J$29,6,1),"")</f>
        <v/>
      </c>
      <c r="G233" s="1" t="str">
        <f>IFERROR(VLOOKUP($B233,'V07'!$A$8:$J$29,7,1),"")</f>
        <v/>
      </c>
      <c r="H233" s="1" t="str">
        <f>IFERROR(VLOOKUP($B233,'V07'!$A$8:$J$29,8,1),"")</f>
        <v/>
      </c>
      <c r="I233" s="1" t="str">
        <f>IFERROR(VLOOKUP($B233,'V07'!$A$8:$J$29,9,1),"")</f>
        <v/>
      </c>
      <c r="J233" s="1" t="str">
        <f>IFERROR(VLOOKUP($B233,'V07'!$A$8:$J$29,10,1),"")</f>
        <v/>
      </c>
      <c r="K233" t="str">
        <f>IFERROR(VLOOKUP($B233,'V07'!$A$9:$Q$1048576,3,1),"")</f>
        <v/>
      </c>
      <c r="L233" t="str">
        <f>IFERROR(VLOOKUP($B233,'V07'!$A$8:$Q$29,11,1),"")</f>
        <v/>
      </c>
      <c r="M233" t="str">
        <f>IFERROR(VLOOKUP($B233,'V07'!$A$8:$Q$29,12,1),"")</f>
        <v/>
      </c>
      <c r="N233" t="str">
        <f>IFERROR(VLOOKUP($B233,'V07'!$A$8:$Q$29,13,1),"")</f>
        <v/>
      </c>
      <c r="O233" t="str">
        <f>IFERROR(VLOOKUP($B233,'V07'!$A$8:$Q$29,14,1),"")</f>
        <v/>
      </c>
      <c r="P233" t="str">
        <f>IFERROR(VLOOKUP($B233,'V07'!$A$8:$Q$29,15,1),"")</f>
        <v/>
      </c>
      <c r="Q233" t="str">
        <f>IFERROR(VLOOKUP($B233,'V07'!$A$8:$Q$29,16,1),"")</f>
        <v/>
      </c>
      <c r="R233" t="str">
        <f>IFERROR(VLOOKUP($B233,'V07'!$A$8:$Q$29,17,1),"")</f>
        <v/>
      </c>
      <c r="Z233" s="17"/>
      <c r="AY233" s="17"/>
    </row>
    <row r="234" spans="1:51" x14ac:dyDescent="0.25">
      <c r="A234" s="17"/>
      <c r="B234" s="2">
        <f t="shared" si="6"/>
        <v>45170</v>
      </c>
      <c r="C234" t="str">
        <f>IFERROR(VLOOKUP($B234,'V07'!$A$9:$J$1048576,2,1),"")</f>
        <v/>
      </c>
      <c r="D234" s="1" t="str">
        <f>IFERROR(VLOOKUP($B234,'V07'!$A$8:$J$29,4,1),"")</f>
        <v/>
      </c>
      <c r="E234" s="1" t="str">
        <f>IFERROR(VLOOKUP($B234,'V07'!$A$8:$J$29,5,1),"")</f>
        <v/>
      </c>
      <c r="F234" s="1" t="str">
        <f>IFERROR(VLOOKUP($B234,'V07'!$A$8:$J$29,6,1),"")</f>
        <v/>
      </c>
      <c r="G234" s="1" t="str">
        <f>IFERROR(VLOOKUP($B234,'V07'!$A$8:$J$29,7,1),"")</f>
        <v/>
      </c>
      <c r="H234" s="1" t="str">
        <f>IFERROR(VLOOKUP($B234,'V07'!$A$8:$J$29,8,1),"")</f>
        <v/>
      </c>
      <c r="I234" s="1" t="str">
        <f>IFERROR(VLOOKUP($B234,'V07'!$A$8:$J$29,9,1),"")</f>
        <v/>
      </c>
      <c r="J234" s="1" t="str">
        <f>IFERROR(VLOOKUP($B234,'V07'!$A$8:$J$29,10,1),"")</f>
        <v/>
      </c>
      <c r="K234" t="str">
        <f>IFERROR(VLOOKUP($B234,'V07'!$A$9:$Q$1048576,3,1),"")</f>
        <v/>
      </c>
      <c r="L234" t="str">
        <f>IFERROR(VLOOKUP($B234,'V07'!$A$8:$Q$29,11,1),"")</f>
        <v/>
      </c>
      <c r="M234" t="str">
        <f>IFERROR(VLOOKUP($B234,'V07'!$A$8:$Q$29,12,1),"")</f>
        <v/>
      </c>
      <c r="N234" t="str">
        <f>IFERROR(VLOOKUP($B234,'V07'!$A$8:$Q$29,13,1),"")</f>
        <v/>
      </c>
      <c r="O234" t="str">
        <f>IFERROR(VLOOKUP($B234,'V07'!$A$8:$Q$29,14,1),"")</f>
        <v/>
      </c>
      <c r="P234" t="str">
        <f>IFERROR(VLOOKUP($B234,'V07'!$A$8:$Q$29,15,1),"")</f>
        <v/>
      </c>
      <c r="Q234" t="str">
        <f>IFERROR(VLOOKUP($B234,'V07'!$A$8:$Q$29,16,1),"")</f>
        <v/>
      </c>
      <c r="R234" t="str">
        <f>IFERROR(VLOOKUP($B234,'V07'!$A$8:$Q$29,17,1),"")</f>
        <v/>
      </c>
      <c r="Z234" s="17"/>
      <c r="AY234" s="17"/>
    </row>
    <row r="235" spans="1:51" x14ac:dyDescent="0.25">
      <c r="A235" s="17"/>
      <c r="B235" s="2">
        <f t="shared" si="6"/>
        <v>45200</v>
      </c>
      <c r="C235" t="str">
        <f>IFERROR(VLOOKUP($B235,'V07'!$A$9:$J$1048576,2,1),"")</f>
        <v/>
      </c>
      <c r="D235" s="1" t="str">
        <f>IFERROR(VLOOKUP($B235,'V07'!$A$8:$J$29,4,1),"")</f>
        <v/>
      </c>
      <c r="E235" s="1" t="str">
        <f>IFERROR(VLOOKUP($B235,'V07'!$A$8:$J$29,5,1),"")</f>
        <v/>
      </c>
      <c r="F235" s="1" t="str">
        <f>IFERROR(VLOOKUP($B235,'V07'!$A$8:$J$29,6,1),"")</f>
        <v/>
      </c>
      <c r="G235" s="1" t="str">
        <f>IFERROR(VLOOKUP($B235,'V07'!$A$8:$J$29,7,1),"")</f>
        <v/>
      </c>
      <c r="H235" s="1" t="str">
        <f>IFERROR(VLOOKUP($B235,'V07'!$A$8:$J$29,8,1),"")</f>
        <v/>
      </c>
      <c r="I235" s="1" t="str">
        <f>IFERROR(VLOOKUP($B235,'V07'!$A$8:$J$29,9,1),"")</f>
        <v/>
      </c>
      <c r="J235" s="1" t="str">
        <f>IFERROR(VLOOKUP($B235,'V07'!$A$8:$J$29,10,1),"")</f>
        <v/>
      </c>
      <c r="K235" t="str">
        <f>IFERROR(VLOOKUP($B235,'V07'!$A$9:$Q$1048576,3,1),"")</f>
        <v/>
      </c>
      <c r="L235" t="str">
        <f>IFERROR(VLOOKUP($B235,'V07'!$A$8:$Q$29,11,1),"")</f>
        <v/>
      </c>
      <c r="M235" t="str">
        <f>IFERROR(VLOOKUP($B235,'V07'!$A$8:$Q$29,12,1),"")</f>
        <v/>
      </c>
      <c r="N235" t="str">
        <f>IFERROR(VLOOKUP($B235,'V07'!$A$8:$Q$29,13,1),"")</f>
        <v/>
      </c>
      <c r="O235" t="str">
        <f>IFERROR(VLOOKUP($B235,'V07'!$A$8:$Q$29,14,1),"")</f>
        <v/>
      </c>
      <c r="P235" t="str">
        <f>IFERROR(VLOOKUP($B235,'V07'!$A$8:$Q$29,15,1),"")</f>
        <v/>
      </c>
      <c r="Q235" t="str">
        <f>IFERROR(VLOOKUP($B235,'V07'!$A$8:$Q$29,16,1),"")</f>
        <v/>
      </c>
      <c r="R235" t="str">
        <f>IFERROR(VLOOKUP($B235,'V07'!$A$8:$Q$29,17,1),"")</f>
        <v/>
      </c>
      <c r="Z235" s="17"/>
      <c r="AY235" s="17"/>
    </row>
    <row r="236" spans="1:51" x14ac:dyDescent="0.25">
      <c r="A236" s="17"/>
      <c r="B236" s="2">
        <f t="shared" si="6"/>
        <v>45231</v>
      </c>
      <c r="C236" t="str">
        <f>IFERROR(VLOOKUP($B236,'V07'!$A$9:$J$1048576,2,1),"")</f>
        <v/>
      </c>
      <c r="D236" s="1" t="str">
        <f>IFERROR(VLOOKUP($B236,'V07'!$A$8:$J$29,4,1),"")</f>
        <v/>
      </c>
      <c r="E236" s="1" t="str">
        <f>IFERROR(VLOOKUP($B236,'V07'!$A$8:$J$29,5,1),"")</f>
        <v/>
      </c>
      <c r="F236" s="1" t="str">
        <f>IFERROR(VLOOKUP($B236,'V07'!$A$8:$J$29,6,1),"")</f>
        <v/>
      </c>
      <c r="G236" s="1" t="str">
        <f>IFERROR(VLOOKUP($B236,'V07'!$A$8:$J$29,7,1),"")</f>
        <v/>
      </c>
      <c r="H236" s="1" t="str">
        <f>IFERROR(VLOOKUP($B236,'V07'!$A$8:$J$29,8,1),"")</f>
        <v/>
      </c>
      <c r="I236" s="1" t="str">
        <f>IFERROR(VLOOKUP($B236,'V07'!$A$8:$J$29,9,1),"")</f>
        <v/>
      </c>
      <c r="J236" s="1" t="str">
        <f>IFERROR(VLOOKUP($B236,'V07'!$A$8:$J$29,10,1),"")</f>
        <v/>
      </c>
      <c r="K236" t="str">
        <f>IFERROR(VLOOKUP($B236,'V07'!$A$9:$Q$1048576,3,1),"")</f>
        <v/>
      </c>
      <c r="L236" t="str">
        <f>IFERROR(VLOOKUP($B236,'V07'!$A$8:$Q$29,11,1),"")</f>
        <v/>
      </c>
      <c r="M236" t="str">
        <f>IFERROR(VLOOKUP($B236,'V07'!$A$8:$Q$29,12,1),"")</f>
        <v/>
      </c>
      <c r="N236" t="str">
        <f>IFERROR(VLOOKUP($B236,'V07'!$A$8:$Q$29,13,1),"")</f>
        <v/>
      </c>
      <c r="O236" t="str">
        <f>IFERROR(VLOOKUP($B236,'V07'!$A$8:$Q$29,14,1),"")</f>
        <v/>
      </c>
      <c r="P236" t="str">
        <f>IFERROR(VLOOKUP($B236,'V07'!$A$8:$Q$29,15,1),"")</f>
        <v/>
      </c>
      <c r="Q236" t="str">
        <f>IFERROR(VLOOKUP($B236,'V07'!$A$8:$Q$29,16,1),"")</f>
        <v/>
      </c>
      <c r="R236" t="str">
        <f>IFERROR(VLOOKUP($B236,'V07'!$A$8:$Q$29,17,1),"")</f>
        <v/>
      </c>
      <c r="Z236" s="17"/>
      <c r="AY236" s="17"/>
    </row>
    <row r="237" spans="1:51" x14ac:dyDescent="0.25">
      <c r="A237" s="17"/>
      <c r="B237" s="2">
        <f t="shared" si="6"/>
        <v>45261</v>
      </c>
      <c r="C237" t="str">
        <f>IFERROR(VLOOKUP($B237,'V07'!$A$9:$J$1048576,2,1),"")</f>
        <v/>
      </c>
      <c r="D237" s="1" t="str">
        <f>IFERROR(VLOOKUP($B237,'V07'!$A$8:$J$29,4,1),"")</f>
        <v/>
      </c>
      <c r="E237" s="1" t="str">
        <f>IFERROR(VLOOKUP($B237,'V07'!$A$8:$J$29,5,1),"")</f>
        <v/>
      </c>
      <c r="F237" s="1" t="str">
        <f>IFERROR(VLOOKUP($B237,'V07'!$A$8:$J$29,6,1),"")</f>
        <v/>
      </c>
      <c r="G237" s="1" t="str">
        <f>IFERROR(VLOOKUP($B237,'V07'!$A$8:$J$29,7,1),"")</f>
        <v/>
      </c>
      <c r="H237" s="1" t="str">
        <f>IFERROR(VLOOKUP($B237,'V07'!$A$8:$J$29,8,1),"")</f>
        <v/>
      </c>
      <c r="I237" s="1" t="str">
        <f>IFERROR(VLOOKUP($B237,'V07'!$A$8:$J$29,9,1),"")</f>
        <v/>
      </c>
      <c r="J237" s="1" t="str">
        <f>IFERROR(VLOOKUP($B237,'V07'!$A$8:$J$29,10,1),"")</f>
        <v/>
      </c>
      <c r="K237" t="str">
        <f>IFERROR(VLOOKUP($B237,'V07'!$A$9:$Q$1048576,3,1),"")</f>
        <v/>
      </c>
      <c r="L237" t="str">
        <f>IFERROR(VLOOKUP($B237,'V07'!$A$8:$Q$29,11,1),"")</f>
        <v/>
      </c>
      <c r="M237" t="str">
        <f>IFERROR(VLOOKUP($B237,'V07'!$A$8:$Q$29,12,1),"")</f>
        <v/>
      </c>
      <c r="N237" t="str">
        <f>IFERROR(VLOOKUP($B237,'V07'!$A$8:$Q$29,13,1),"")</f>
        <v/>
      </c>
      <c r="O237" t="str">
        <f>IFERROR(VLOOKUP($B237,'V07'!$A$8:$Q$29,14,1),"")</f>
        <v/>
      </c>
      <c r="P237" t="str">
        <f>IFERROR(VLOOKUP($B237,'V07'!$A$8:$Q$29,15,1),"")</f>
        <v/>
      </c>
      <c r="Q237" t="str">
        <f>IFERROR(VLOOKUP($B237,'V07'!$A$8:$Q$29,16,1),"")</f>
        <v/>
      </c>
      <c r="R237" t="str">
        <f>IFERROR(VLOOKUP($B237,'V07'!$A$8:$Q$29,17,1),"")</f>
        <v/>
      </c>
      <c r="Z237" s="17"/>
      <c r="AY237" s="17"/>
    </row>
    <row r="238" spans="1:51" x14ac:dyDescent="0.25">
      <c r="A238" s="17"/>
      <c r="B238" s="2">
        <f t="shared" si="6"/>
        <v>45292</v>
      </c>
      <c r="C238" t="str">
        <f>IFERROR(VLOOKUP($B238,'V07'!$A$9:$J$1048576,2,1),"")</f>
        <v/>
      </c>
      <c r="D238" s="1" t="str">
        <f>IFERROR(VLOOKUP($B238,'V07'!$A$8:$J$29,4,1),"")</f>
        <v/>
      </c>
      <c r="E238" s="1" t="str">
        <f>IFERROR(VLOOKUP($B238,'V07'!$A$8:$J$29,5,1),"")</f>
        <v/>
      </c>
      <c r="F238" s="1" t="str">
        <f>IFERROR(VLOOKUP($B238,'V07'!$A$8:$J$29,6,1),"")</f>
        <v/>
      </c>
      <c r="G238" s="1" t="str">
        <f>IFERROR(VLOOKUP($B238,'V07'!$A$8:$J$29,7,1),"")</f>
        <v/>
      </c>
      <c r="H238" s="1" t="str">
        <f>IFERROR(VLOOKUP($B238,'V07'!$A$8:$J$29,8,1),"")</f>
        <v/>
      </c>
      <c r="I238" s="1" t="str">
        <f>IFERROR(VLOOKUP($B238,'V07'!$A$8:$J$29,9,1),"")</f>
        <v/>
      </c>
      <c r="J238" s="1" t="str">
        <f>IFERROR(VLOOKUP($B238,'V07'!$A$8:$J$29,10,1),"")</f>
        <v/>
      </c>
      <c r="K238" t="str">
        <f>IFERROR(VLOOKUP($B238,'V07'!$A$9:$Q$1048576,3,1),"")</f>
        <v/>
      </c>
      <c r="L238" t="str">
        <f>IFERROR(VLOOKUP($B238,'V07'!$A$8:$Q$29,11,1),"")</f>
        <v/>
      </c>
      <c r="M238" t="str">
        <f>IFERROR(VLOOKUP($B238,'V07'!$A$8:$Q$29,12,1),"")</f>
        <v/>
      </c>
      <c r="N238" t="str">
        <f>IFERROR(VLOOKUP($B238,'V07'!$A$8:$Q$29,13,1),"")</f>
        <v/>
      </c>
      <c r="O238" t="str">
        <f>IFERROR(VLOOKUP($B238,'V07'!$A$8:$Q$29,14,1),"")</f>
        <v/>
      </c>
      <c r="P238" t="str">
        <f>IFERROR(VLOOKUP($B238,'V07'!$A$8:$Q$29,15,1),"")</f>
        <v/>
      </c>
      <c r="Q238" t="str">
        <f>IFERROR(VLOOKUP($B238,'V07'!$A$8:$Q$29,16,1),"")</f>
        <v/>
      </c>
      <c r="R238" t="str">
        <f>IFERROR(VLOOKUP($B238,'V07'!$A$8:$Q$29,17,1),"")</f>
        <v/>
      </c>
      <c r="Z238" s="17"/>
      <c r="AY238" s="17"/>
    </row>
    <row r="239" spans="1:51" x14ac:dyDescent="0.25">
      <c r="A239" s="17"/>
      <c r="B239" s="2">
        <f t="shared" si="6"/>
        <v>45323</v>
      </c>
      <c r="C239" t="str">
        <f>IFERROR(VLOOKUP($B239,'V07'!$A$9:$J$1048576,2,1),"")</f>
        <v/>
      </c>
      <c r="D239" s="1" t="str">
        <f>IFERROR(VLOOKUP($B239,'V07'!$A$8:$J$29,4,1),"")</f>
        <v/>
      </c>
      <c r="E239" s="1" t="str">
        <f>IFERROR(VLOOKUP($B239,'V07'!$A$8:$J$29,5,1),"")</f>
        <v/>
      </c>
      <c r="F239" s="1" t="str">
        <f>IFERROR(VLOOKUP($B239,'V07'!$A$8:$J$29,6,1),"")</f>
        <v/>
      </c>
      <c r="G239" s="1" t="str">
        <f>IFERROR(VLOOKUP($B239,'V07'!$A$8:$J$29,7,1),"")</f>
        <v/>
      </c>
      <c r="H239" s="1" t="str">
        <f>IFERROR(VLOOKUP($B239,'V07'!$A$8:$J$29,8,1),"")</f>
        <v/>
      </c>
      <c r="I239" s="1" t="str">
        <f>IFERROR(VLOOKUP($B239,'V07'!$A$8:$J$29,9,1),"")</f>
        <v/>
      </c>
      <c r="J239" s="1" t="str">
        <f>IFERROR(VLOOKUP($B239,'V07'!$A$8:$J$29,10,1),"")</f>
        <v/>
      </c>
      <c r="K239" t="str">
        <f>IFERROR(VLOOKUP($B239,'V07'!$A$9:$Q$1048576,3,1),"")</f>
        <v/>
      </c>
      <c r="L239" t="str">
        <f>IFERROR(VLOOKUP($B239,'V07'!$A$8:$Q$29,11,1),"")</f>
        <v/>
      </c>
      <c r="M239" t="str">
        <f>IFERROR(VLOOKUP($B239,'V07'!$A$8:$Q$29,12,1),"")</f>
        <v/>
      </c>
      <c r="N239" t="str">
        <f>IFERROR(VLOOKUP($B239,'V07'!$A$8:$Q$29,13,1),"")</f>
        <v/>
      </c>
      <c r="O239" t="str">
        <f>IFERROR(VLOOKUP($B239,'V07'!$A$8:$Q$29,14,1),"")</f>
        <v/>
      </c>
      <c r="P239" t="str">
        <f>IFERROR(VLOOKUP($B239,'V07'!$A$8:$Q$29,15,1),"")</f>
        <v/>
      </c>
      <c r="Q239" t="str">
        <f>IFERROR(VLOOKUP($B239,'V07'!$A$8:$Q$29,16,1),"")</f>
        <v/>
      </c>
      <c r="R239" t="str">
        <f>IFERROR(VLOOKUP($B239,'V07'!$A$8:$Q$29,17,1),"")</f>
        <v/>
      </c>
      <c r="Z239" s="17"/>
      <c r="AY239" s="17"/>
    </row>
    <row r="240" spans="1:51" x14ac:dyDescent="0.25">
      <c r="A240" s="17"/>
      <c r="B240" s="2">
        <f t="shared" si="6"/>
        <v>45352</v>
      </c>
      <c r="C240" t="str">
        <f>IFERROR(VLOOKUP($B240,'V07'!$A$9:$J$1048576,2,1),"")</f>
        <v/>
      </c>
      <c r="D240" s="1" t="str">
        <f>IFERROR(VLOOKUP($B240,'V07'!$A$8:$J$29,4,1),"")</f>
        <v/>
      </c>
      <c r="E240" s="1" t="str">
        <f>IFERROR(VLOOKUP($B240,'V07'!$A$8:$J$29,5,1),"")</f>
        <v/>
      </c>
      <c r="F240" s="1" t="str">
        <f>IFERROR(VLOOKUP($B240,'V07'!$A$8:$J$29,6,1),"")</f>
        <v/>
      </c>
      <c r="G240" s="1" t="str">
        <f>IFERROR(VLOOKUP($B240,'V07'!$A$8:$J$29,7,1),"")</f>
        <v/>
      </c>
      <c r="H240" s="1" t="str">
        <f>IFERROR(VLOOKUP($B240,'V07'!$A$8:$J$29,8,1),"")</f>
        <v/>
      </c>
      <c r="I240" s="1" t="str">
        <f>IFERROR(VLOOKUP($B240,'V07'!$A$8:$J$29,9,1),"")</f>
        <v/>
      </c>
      <c r="J240" s="1" t="str">
        <f>IFERROR(VLOOKUP($B240,'V07'!$A$8:$J$29,10,1),"")</f>
        <v/>
      </c>
      <c r="K240" t="str">
        <f>IFERROR(VLOOKUP($B240,'V07'!$A$9:$Q$1048576,3,1),"")</f>
        <v/>
      </c>
      <c r="L240" t="str">
        <f>IFERROR(VLOOKUP($B240,'V07'!$A$8:$Q$29,11,1),"")</f>
        <v/>
      </c>
      <c r="M240" t="str">
        <f>IFERROR(VLOOKUP($B240,'V07'!$A$8:$Q$29,12,1),"")</f>
        <v/>
      </c>
      <c r="N240" t="str">
        <f>IFERROR(VLOOKUP($B240,'V07'!$A$8:$Q$29,13,1),"")</f>
        <v/>
      </c>
      <c r="O240" t="str">
        <f>IFERROR(VLOOKUP($B240,'V07'!$A$8:$Q$29,14,1),"")</f>
        <v/>
      </c>
      <c r="P240" t="str">
        <f>IFERROR(VLOOKUP($B240,'V07'!$A$8:$Q$29,15,1),"")</f>
        <v/>
      </c>
      <c r="Q240" t="str">
        <f>IFERROR(VLOOKUP($B240,'V07'!$A$8:$Q$29,16,1),"")</f>
        <v/>
      </c>
      <c r="R240" t="str">
        <f>IFERROR(VLOOKUP($B240,'V07'!$A$8:$Q$29,17,1),"")</f>
        <v/>
      </c>
      <c r="Z240" s="17"/>
      <c r="AY240" s="17"/>
    </row>
    <row r="241" spans="1:51" x14ac:dyDescent="0.25">
      <c r="A241" s="17"/>
      <c r="B241" s="2">
        <f t="shared" si="6"/>
        <v>45383</v>
      </c>
      <c r="C241" t="str">
        <f>IFERROR(VLOOKUP($B241,'V07'!$A$9:$J$1048576,2,1),"")</f>
        <v/>
      </c>
      <c r="D241" s="1" t="str">
        <f>IFERROR(VLOOKUP($B241,'V07'!$A$8:$J$29,4,1),"")</f>
        <v/>
      </c>
      <c r="E241" s="1" t="str">
        <f>IFERROR(VLOOKUP($B241,'V07'!$A$8:$J$29,5,1),"")</f>
        <v/>
      </c>
      <c r="F241" s="1" t="str">
        <f>IFERROR(VLOOKUP($B241,'V07'!$A$8:$J$29,6,1),"")</f>
        <v/>
      </c>
      <c r="G241" s="1" t="str">
        <f>IFERROR(VLOOKUP($B241,'V07'!$A$8:$J$29,7,1),"")</f>
        <v/>
      </c>
      <c r="H241" s="1" t="str">
        <f>IFERROR(VLOOKUP($B241,'V07'!$A$8:$J$29,8,1),"")</f>
        <v/>
      </c>
      <c r="I241" s="1" t="str">
        <f>IFERROR(VLOOKUP($B241,'V07'!$A$8:$J$29,9,1),"")</f>
        <v/>
      </c>
      <c r="J241" s="1" t="str">
        <f>IFERROR(VLOOKUP($B241,'V07'!$A$8:$J$29,10,1),"")</f>
        <v/>
      </c>
      <c r="K241" t="str">
        <f>IFERROR(VLOOKUP($B241,'V07'!$A$9:$Q$1048576,3,1),"")</f>
        <v/>
      </c>
      <c r="L241" t="str">
        <f>IFERROR(VLOOKUP($B241,'V07'!$A$8:$Q$29,11,1),"")</f>
        <v/>
      </c>
      <c r="M241" t="str">
        <f>IFERROR(VLOOKUP($B241,'V07'!$A$8:$Q$29,12,1),"")</f>
        <v/>
      </c>
      <c r="N241" t="str">
        <f>IFERROR(VLOOKUP($B241,'V07'!$A$8:$Q$29,13,1),"")</f>
        <v/>
      </c>
      <c r="O241" t="str">
        <f>IFERROR(VLOOKUP($B241,'V07'!$A$8:$Q$29,14,1),"")</f>
        <v/>
      </c>
      <c r="P241" t="str">
        <f>IFERROR(VLOOKUP($B241,'V07'!$A$8:$Q$29,15,1),"")</f>
        <v/>
      </c>
      <c r="Q241" t="str">
        <f>IFERROR(VLOOKUP($B241,'V07'!$A$8:$Q$29,16,1),"")</f>
        <v/>
      </c>
      <c r="R241" t="str">
        <f>IFERROR(VLOOKUP($B241,'V07'!$A$8:$Q$29,17,1),"")</f>
        <v/>
      </c>
      <c r="Z241" s="17"/>
      <c r="AY241" s="17"/>
    </row>
    <row r="242" spans="1:51" x14ac:dyDescent="0.25">
      <c r="A242" s="17"/>
      <c r="B242" s="2">
        <f t="shared" si="6"/>
        <v>45413</v>
      </c>
      <c r="C242" t="str">
        <f>IFERROR(VLOOKUP($B242,'V07'!$A$9:$J$1048576,2,1),"")</f>
        <v/>
      </c>
      <c r="D242" s="1" t="str">
        <f>IFERROR(VLOOKUP($B242,'V07'!$A$8:$J$29,4,1),"")</f>
        <v/>
      </c>
      <c r="E242" s="1" t="str">
        <f>IFERROR(VLOOKUP($B242,'V07'!$A$8:$J$29,5,1),"")</f>
        <v/>
      </c>
      <c r="F242" s="1" t="str">
        <f>IFERROR(VLOOKUP($B242,'V07'!$A$8:$J$29,6,1),"")</f>
        <v/>
      </c>
      <c r="G242" s="1" t="str">
        <f>IFERROR(VLOOKUP($B242,'V07'!$A$8:$J$29,7,1),"")</f>
        <v/>
      </c>
      <c r="H242" s="1" t="str">
        <f>IFERROR(VLOOKUP($B242,'V07'!$A$8:$J$29,8,1),"")</f>
        <v/>
      </c>
      <c r="I242" s="1" t="str">
        <f>IFERROR(VLOOKUP($B242,'V07'!$A$8:$J$29,9,1),"")</f>
        <v/>
      </c>
      <c r="J242" s="1" t="str">
        <f>IFERROR(VLOOKUP($B242,'V07'!$A$8:$J$29,10,1),"")</f>
        <v/>
      </c>
      <c r="K242" t="str">
        <f>IFERROR(VLOOKUP($B242,'V07'!$A$9:$Q$1048576,3,1),"")</f>
        <v/>
      </c>
      <c r="L242" t="str">
        <f>IFERROR(VLOOKUP($B242,'V07'!$A$8:$Q$29,11,1),"")</f>
        <v/>
      </c>
      <c r="M242" t="str">
        <f>IFERROR(VLOOKUP($B242,'V07'!$A$8:$Q$29,12,1),"")</f>
        <v/>
      </c>
      <c r="N242" t="str">
        <f>IFERROR(VLOOKUP($B242,'V07'!$A$8:$Q$29,13,1),"")</f>
        <v/>
      </c>
      <c r="O242" t="str">
        <f>IFERROR(VLOOKUP($B242,'V07'!$A$8:$Q$29,14,1),"")</f>
        <v/>
      </c>
      <c r="P242" t="str">
        <f>IFERROR(VLOOKUP($B242,'V07'!$A$8:$Q$29,15,1),"")</f>
        <v/>
      </c>
      <c r="Q242" t="str">
        <f>IFERROR(VLOOKUP($B242,'V07'!$A$8:$Q$29,16,1),"")</f>
        <v/>
      </c>
      <c r="R242" t="str">
        <f>IFERROR(VLOOKUP($B242,'V07'!$A$8:$Q$29,17,1),"")</f>
        <v/>
      </c>
      <c r="Z242" s="17"/>
      <c r="AY242" s="17"/>
    </row>
    <row r="243" spans="1:51" x14ac:dyDescent="0.25">
      <c r="A243" s="17"/>
      <c r="B243" s="2">
        <f t="shared" si="6"/>
        <v>45444</v>
      </c>
      <c r="C243" t="str">
        <f>IFERROR(VLOOKUP($B243,'V07'!$A$9:$J$1048576,2,1),"")</f>
        <v/>
      </c>
      <c r="D243" s="1" t="str">
        <f>IFERROR(VLOOKUP($B243,'V07'!$A$8:$J$29,4,1),"")</f>
        <v/>
      </c>
      <c r="E243" s="1" t="str">
        <f>IFERROR(VLOOKUP($B243,'V07'!$A$8:$J$29,5,1),"")</f>
        <v/>
      </c>
      <c r="F243" s="1" t="str">
        <f>IFERROR(VLOOKUP($B243,'V07'!$A$8:$J$29,6,1),"")</f>
        <v/>
      </c>
      <c r="G243" s="1" t="str">
        <f>IFERROR(VLOOKUP($B243,'V07'!$A$8:$J$29,7,1),"")</f>
        <v/>
      </c>
      <c r="H243" s="1" t="str">
        <f>IFERROR(VLOOKUP($B243,'V07'!$A$8:$J$29,8,1),"")</f>
        <v/>
      </c>
      <c r="I243" s="1" t="str">
        <f>IFERROR(VLOOKUP($B243,'V07'!$A$8:$J$29,9,1),"")</f>
        <v/>
      </c>
      <c r="J243" s="1" t="str">
        <f>IFERROR(VLOOKUP($B243,'V07'!$A$8:$J$29,10,1),"")</f>
        <v/>
      </c>
      <c r="K243" t="str">
        <f>IFERROR(VLOOKUP($B243,'V07'!$A$9:$Q$1048576,3,1),"")</f>
        <v/>
      </c>
      <c r="L243" t="str">
        <f>IFERROR(VLOOKUP($B243,'V07'!$A$8:$Q$29,11,1),"")</f>
        <v/>
      </c>
      <c r="M243" t="str">
        <f>IFERROR(VLOOKUP($B243,'V07'!$A$8:$Q$29,12,1),"")</f>
        <v/>
      </c>
      <c r="N243" t="str">
        <f>IFERROR(VLOOKUP($B243,'V07'!$A$8:$Q$29,13,1),"")</f>
        <v/>
      </c>
      <c r="O243" t="str">
        <f>IFERROR(VLOOKUP($B243,'V07'!$A$8:$Q$29,14,1),"")</f>
        <v/>
      </c>
      <c r="P243" t="str">
        <f>IFERROR(VLOOKUP($B243,'V07'!$A$8:$Q$29,15,1),"")</f>
        <v/>
      </c>
      <c r="Q243" t="str">
        <f>IFERROR(VLOOKUP($B243,'V07'!$A$8:$Q$29,16,1),"")</f>
        <v/>
      </c>
      <c r="R243" t="str">
        <f>IFERROR(VLOOKUP($B243,'V07'!$A$8:$Q$29,17,1),"")</f>
        <v/>
      </c>
      <c r="Z243" s="17"/>
      <c r="AY243" s="17"/>
    </row>
    <row r="244" spans="1:51" x14ac:dyDescent="0.25">
      <c r="A244" s="17"/>
      <c r="B244" s="2">
        <f t="shared" si="6"/>
        <v>45474</v>
      </c>
      <c r="C244" t="str">
        <f>IFERROR(VLOOKUP($B244,'V07'!$A$9:$J$1048576,2,1),"")</f>
        <v/>
      </c>
      <c r="D244" s="1" t="str">
        <f>IFERROR(VLOOKUP($B244,'V07'!$A$8:$J$29,4,1),"")</f>
        <v/>
      </c>
      <c r="E244" s="1" t="str">
        <f>IFERROR(VLOOKUP($B244,'V07'!$A$8:$J$29,5,1),"")</f>
        <v/>
      </c>
      <c r="F244" s="1" t="str">
        <f>IFERROR(VLOOKUP($B244,'V07'!$A$8:$J$29,6,1),"")</f>
        <v/>
      </c>
      <c r="G244" s="1" t="str">
        <f>IFERROR(VLOOKUP($B244,'V07'!$A$8:$J$29,7,1),"")</f>
        <v/>
      </c>
      <c r="H244" s="1" t="str">
        <f>IFERROR(VLOOKUP($B244,'V07'!$A$8:$J$29,8,1),"")</f>
        <v/>
      </c>
      <c r="I244" s="1" t="str">
        <f>IFERROR(VLOOKUP($B244,'V07'!$A$8:$J$29,9,1),"")</f>
        <v/>
      </c>
      <c r="J244" s="1" t="str">
        <f>IFERROR(VLOOKUP($B244,'V07'!$A$8:$J$29,10,1),"")</f>
        <v/>
      </c>
      <c r="K244" t="str">
        <f>IFERROR(VLOOKUP($B244,'V07'!$A$9:$Q$1048576,3,1),"")</f>
        <v/>
      </c>
      <c r="L244" t="str">
        <f>IFERROR(VLOOKUP($B244,'V07'!$A$8:$Q$29,11,1),"")</f>
        <v/>
      </c>
      <c r="M244" t="str">
        <f>IFERROR(VLOOKUP($B244,'V07'!$A$8:$Q$29,12,1),"")</f>
        <v/>
      </c>
      <c r="N244" t="str">
        <f>IFERROR(VLOOKUP($B244,'V07'!$A$8:$Q$29,13,1),"")</f>
        <v/>
      </c>
      <c r="O244" t="str">
        <f>IFERROR(VLOOKUP($B244,'V07'!$A$8:$Q$29,14,1),"")</f>
        <v/>
      </c>
      <c r="P244" t="str">
        <f>IFERROR(VLOOKUP($B244,'V07'!$A$8:$Q$29,15,1),"")</f>
        <v/>
      </c>
      <c r="Q244" t="str">
        <f>IFERROR(VLOOKUP($B244,'V07'!$A$8:$Q$29,16,1),"")</f>
        <v/>
      </c>
      <c r="R244" t="str">
        <f>IFERROR(VLOOKUP($B244,'V07'!$A$8:$Q$29,17,1),"")</f>
        <v/>
      </c>
      <c r="Z244" s="17"/>
      <c r="AY244" s="17"/>
    </row>
    <row r="245" spans="1:51" x14ac:dyDescent="0.25">
      <c r="A245" s="17"/>
      <c r="B245" s="2">
        <f t="shared" si="6"/>
        <v>45505</v>
      </c>
      <c r="C245" t="str">
        <f>IFERROR(VLOOKUP($B245,'V07'!$A$9:$J$1048576,2,1),"")</f>
        <v/>
      </c>
      <c r="D245" s="1" t="str">
        <f>IFERROR(VLOOKUP($B245,'V07'!$A$8:$J$29,4,1),"")</f>
        <v/>
      </c>
      <c r="E245" s="1" t="str">
        <f>IFERROR(VLOOKUP($B245,'V07'!$A$8:$J$29,5,1),"")</f>
        <v/>
      </c>
      <c r="F245" s="1" t="str">
        <f>IFERROR(VLOOKUP($B245,'V07'!$A$8:$J$29,6,1),"")</f>
        <v/>
      </c>
      <c r="G245" s="1" t="str">
        <f>IFERROR(VLOOKUP($B245,'V07'!$A$8:$J$29,7,1),"")</f>
        <v/>
      </c>
      <c r="H245" s="1" t="str">
        <f>IFERROR(VLOOKUP($B245,'V07'!$A$8:$J$29,8,1),"")</f>
        <v/>
      </c>
      <c r="I245" s="1" t="str">
        <f>IFERROR(VLOOKUP($B245,'V07'!$A$8:$J$29,9,1),"")</f>
        <v/>
      </c>
      <c r="J245" s="1" t="str">
        <f>IFERROR(VLOOKUP($B245,'V07'!$A$8:$J$29,10,1),"")</f>
        <v/>
      </c>
      <c r="K245" t="str">
        <f>IFERROR(VLOOKUP($B245,'V07'!$A$9:$Q$1048576,3,1),"")</f>
        <v/>
      </c>
      <c r="L245" t="str">
        <f>IFERROR(VLOOKUP($B245,'V07'!$A$8:$Q$29,11,1),"")</f>
        <v/>
      </c>
      <c r="M245" t="str">
        <f>IFERROR(VLOOKUP($B245,'V07'!$A$8:$Q$29,12,1),"")</f>
        <v/>
      </c>
      <c r="N245" t="str">
        <f>IFERROR(VLOOKUP($B245,'V07'!$A$8:$Q$29,13,1),"")</f>
        <v/>
      </c>
      <c r="O245" t="str">
        <f>IFERROR(VLOOKUP($B245,'V07'!$A$8:$Q$29,14,1),"")</f>
        <v/>
      </c>
      <c r="P245" t="str">
        <f>IFERROR(VLOOKUP($B245,'V07'!$A$8:$Q$29,15,1),"")</f>
        <v/>
      </c>
      <c r="Q245" t="str">
        <f>IFERROR(VLOOKUP($B245,'V07'!$A$8:$Q$29,16,1),"")</f>
        <v/>
      </c>
      <c r="R245" t="str">
        <f>IFERROR(VLOOKUP($B245,'V07'!$A$8:$Q$29,17,1),"")</f>
        <v/>
      </c>
      <c r="Z245" s="17"/>
      <c r="AY245" s="17"/>
    </row>
    <row r="246" spans="1:51" x14ac:dyDescent="0.25">
      <c r="A246" s="17"/>
      <c r="B246" s="2">
        <f t="shared" si="6"/>
        <v>45536</v>
      </c>
      <c r="C246" t="str">
        <f>IFERROR(VLOOKUP($B246,'V07'!$A$9:$J$1048576,2,1),"")</f>
        <v/>
      </c>
      <c r="D246" s="1" t="str">
        <f>IFERROR(VLOOKUP($B246,'V07'!$A$8:$J$29,4,1),"")</f>
        <v/>
      </c>
      <c r="E246" s="1" t="str">
        <f>IFERROR(VLOOKUP($B246,'V07'!$A$8:$J$29,5,1),"")</f>
        <v/>
      </c>
      <c r="F246" s="1" t="str">
        <f>IFERROR(VLOOKUP($B246,'V07'!$A$8:$J$29,6,1),"")</f>
        <v/>
      </c>
      <c r="G246" s="1" t="str">
        <f>IFERROR(VLOOKUP($B246,'V07'!$A$8:$J$29,7,1),"")</f>
        <v/>
      </c>
      <c r="H246" s="1" t="str">
        <f>IFERROR(VLOOKUP($B246,'V07'!$A$8:$J$29,8,1),"")</f>
        <v/>
      </c>
      <c r="I246" s="1" t="str">
        <f>IFERROR(VLOOKUP($B246,'V07'!$A$8:$J$29,9,1),"")</f>
        <v/>
      </c>
      <c r="J246" s="1" t="str">
        <f>IFERROR(VLOOKUP($B246,'V07'!$A$8:$J$29,10,1),"")</f>
        <v/>
      </c>
      <c r="K246" t="str">
        <f>IFERROR(VLOOKUP($B246,'V07'!$A$9:$Q$1048576,3,1),"")</f>
        <v/>
      </c>
      <c r="L246" t="str">
        <f>IFERROR(VLOOKUP($B246,'V07'!$A$8:$Q$29,11,1),"")</f>
        <v/>
      </c>
      <c r="M246" t="str">
        <f>IFERROR(VLOOKUP($B246,'V07'!$A$8:$Q$29,12,1),"")</f>
        <v/>
      </c>
      <c r="N246" t="str">
        <f>IFERROR(VLOOKUP($B246,'V07'!$A$8:$Q$29,13,1),"")</f>
        <v/>
      </c>
      <c r="O246" t="str">
        <f>IFERROR(VLOOKUP($B246,'V07'!$A$8:$Q$29,14,1),"")</f>
        <v/>
      </c>
      <c r="P246" t="str">
        <f>IFERROR(VLOOKUP($B246,'V07'!$A$8:$Q$29,15,1),"")</f>
        <v/>
      </c>
      <c r="Q246" t="str">
        <f>IFERROR(VLOOKUP($B246,'V07'!$A$8:$Q$29,16,1),"")</f>
        <v/>
      </c>
      <c r="R246" t="str">
        <f>IFERROR(VLOOKUP($B246,'V07'!$A$8:$Q$29,17,1),"")</f>
        <v/>
      </c>
      <c r="Z246" s="17"/>
      <c r="AY246" s="17"/>
    </row>
    <row r="247" spans="1:51" x14ac:dyDescent="0.25">
      <c r="A247" s="17"/>
      <c r="B247" s="2">
        <f t="shared" si="6"/>
        <v>45566</v>
      </c>
      <c r="C247" t="str">
        <f>IFERROR(VLOOKUP($B247,'V07'!$A$9:$J$1048576,2,1),"")</f>
        <v/>
      </c>
      <c r="D247" s="1" t="str">
        <f>IFERROR(VLOOKUP($B247,'V07'!$A$8:$J$29,4,1),"")</f>
        <v/>
      </c>
      <c r="E247" s="1" t="str">
        <f>IFERROR(VLOOKUP($B247,'V07'!$A$8:$J$29,5,1),"")</f>
        <v/>
      </c>
      <c r="F247" s="1" t="str">
        <f>IFERROR(VLOOKUP($B247,'V07'!$A$8:$J$29,6,1),"")</f>
        <v/>
      </c>
      <c r="G247" s="1" t="str">
        <f>IFERROR(VLOOKUP($B247,'V07'!$A$8:$J$29,7,1),"")</f>
        <v/>
      </c>
      <c r="H247" s="1" t="str">
        <f>IFERROR(VLOOKUP($B247,'V07'!$A$8:$J$29,8,1),"")</f>
        <v/>
      </c>
      <c r="I247" s="1" t="str">
        <f>IFERROR(VLOOKUP($B247,'V07'!$A$8:$J$29,9,1),"")</f>
        <v/>
      </c>
      <c r="J247" s="1" t="str">
        <f>IFERROR(VLOOKUP($B247,'V07'!$A$8:$J$29,10,1),"")</f>
        <v/>
      </c>
      <c r="K247" t="str">
        <f>IFERROR(VLOOKUP($B247,'V07'!$A$9:$Q$1048576,3,1),"")</f>
        <v/>
      </c>
      <c r="L247" t="str">
        <f>IFERROR(VLOOKUP($B247,'V07'!$A$8:$Q$29,11,1),"")</f>
        <v/>
      </c>
      <c r="M247" t="str">
        <f>IFERROR(VLOOKUP($B247,'V07'!$A$8:$Q$29,12,1),"")</f>
        <v/>
      </c>
      <c r="N247" t="str">
        <f>IFERROR(VLOOKUP($B247,'V07'!$A$8:$Q$29,13,1),"")</f>
        <v/>
      </c>
      <c r="O247" t="str">
        <f>IFERROR(VLOOKUP($B247,'V07'!$A$8:$Q$29,14,1),"")</f>
        <v/>
      </c>
      <c r="P247" t="str">
        <f>IFERROR(VLOOKUP($B247,'V07'!$A$8:$Q$29,15,1),"")</f>
        <v/>
      </c>
      <c r="Q247" t="str">
        <f>IFERROR(VLOOKUP($B247,'V07'!$A$8:$Q$29,16,1),"")</f>
        <v/>
      </c>
      <c r="R247" t="str">
        <f>IFERROR(VLOOKUP($B247,'V07'!$A$8:$Q$29,17,1),"")</f>
        <v/>
      </c>
      <c r="Z247" s="17"/>
      <c r="AY247" s="17"/>
    </row>
    <row r="248" spans="1:51" x14ac:dyDescent="0.25">
      <c r="A248" s="17"/>
      <c r="B248" s="2">
        <f t="shared" si="6"/>
        <v>45597</v>
      </c>
      <c r="C248" t="str">
        <f>IFERROR(VLOOKUP($B248,'V07'!$A$9:$J$1048576,2,1),"")</f>
        <v/>
      </c>
      <c r="D248" s="1" t="str">
        <f>IFERROR(VLOOKUP($B248,'V07'!$A$8:$J$29,4,1),"")</f>
        <v/>
      </c>
      <c r="E248" s="1" t="str">
        <f>IFERROR(VLOOKUP($B248,'V07'!$A$8:$J$29,5,1),"")</f>
        <v/>
      </c>
      <c r="F248" s="1" t="str">
        <f>IFERROR(VLOOKUP($B248,'V07'!$A$8:$J$29,6,1),"")</f>
        <v/>
      </c>
      <c r="G248" s="1" t="str">
        <f>IFERROR(VLOOKUP($B248,'V07'!$A$8:$J$29,7,1),"")</f>
        <v/>
      </c>
      <c r="H248" s="1" t="str">
        <f>IFERROR(VLOOKUP($B248,'V07'!$A$8:$J$29,8,1),"")</f>
        <v/>
      </c>
      <c r="I248" s="1" t="str">
        <f>IFERROR(VLOOKUP($B248,'V07'!$A$8:$J$29,9,1),"")</f>
        <v/>
      </c>
      <c r="J248" s="1" t="str">
        <f>IFERROR(VLOOKUP($B248,'V07'!$A$8:$J$29,10,1),"")</f>
        <v/>
      </c>
      <c r="K248" t="str">
        <f>IFERROR(VLOOKUP($B248,'V07'!$A$9:$Q$1048576,3,1),"")</f>
        <v/>
      </c>
      <c r="L248" t="str">
        <f>IFERROR(VLOOKUP($B248,'V07'!$A$8:$Q$29,11,1),"")</f>
        <v/>
      </c>
      <c r="M248" t="str">
        <f>IFERROR(VLOOKUP($B248,'V07'!$A$8:$Q$29,12,1),"")</f>
        <v/>
      </c>
      <c r="N248" t="str">
        <f>IFERROR(VLOOKUP($B248,'V07'!$A$8:$Q$29,13,1),"")</f>
        <v/>
      </c>
      <c r="O248" t="str">
        <f>IFERROR(VLOOKUP($B248,'V07'!$A$8:$Q$29,14,1),"")</f>
        <v/>
      </c>
      <c r="P248" t="str">
        <f>IFERROR(VLOOKUP($B248,'V07'!$A$8:$Q$29,15,1),"")</f>
        <v/>
      </c>
      <c r="Q248" t="str">
        <f>IFERROR(VLOOKUP($B248,'V07'!$A$8:$Q$29,16,1),"")</f>
        <v/>
      </c>
      <c r="R248" t="str">
        <f>IFERROR(VLOOKUP($B248,'V07'!$A$8:$Q$29,17,1),"")</f>
        <v/>
      </c>
      <c r="Z248" s="17"/>
      <c r="AY248" s="17"/>
    </row>
    <row r="249" spans="1:51" x14ac:dyDescent="0.25">
      <c r="A249" s="17"/>
      <c r="B249" s="2">
        <f t="shared" si="6"/>
        <v>45627</v>
      </c>
      <c r="C249" t="str">
        <f>IFERROR(VLOOKUP($B249,'V07'!$A$9:$J$1048576,2,1),"")</f>
        <v/>
      </c>
      <c r="D249" s="1" t="str">
        <f>IFERROR(VLOOKUP($B249,'V07'!$A$8:$J$29,4,1),"")</f>
        <v/>
      </c>
      <c r="E249" s="1" t="str">
        <f>IFERROR(VLOOKUP($B249,'V07'!$A$8:$J$29,5,1),"")</f>
        <v/>
      </c>
      <c r="F249" s="1" t="str">
        <f>IFERROR(VLOOKUP($B249,'V07'!$A$8:$J$29,6,1),"")</f>
        <v/>
      </c>
      <c r="G249" s="1" t="str">
        <f>IFERROR(VLOOKUP($B249,'V07'!$A$8:$J$29,7,1),"")</f>
        <v/>
      </c>
      <c r="H249" s="1" t="str">
        <f>IFERROR(VLOOKUP($B249,'V07'!$A$8:$J$29,8,1),"")</f>
        <v/>
      </c>
      <c r="I249" s="1" t="str">
        <f>IFERROR(VLOOKUP($B249,'V07'!$A$8:$J$29,9,1),"")</f>
        <v/>
      </c>
      <c r="J249" s="1" t="str">
        <f>IFERROR(VLOOKUP($B249,'V07'!$A$8:$J$29,10,1),"")</f>
        <v/>
      </c>
      <c r="K249" t="str">
        <f>IFERROR(VLOOKUP($B249,'V07'!$A$9:$Q$1048576,3,1),"")</f>
        <v/>
      </c>
      <c r="L249" t="str">
        <f>IFERROR(VLOOKUP($B249,'V07'!$A$8:$Q$29,11,1),"")</f>
        <v/>
      </c>
      <c r="M249" t="str">
        <f>IFERROR(VLOOKUP($B249,'V07'!$A$8:$Q$29,12,1),"")</f>
        <v/>
      </c>
      <c r="N249" t="str">
        <f>IFERROR(VLOOKUP($B249,'V07'!$A$8:$Q$29,13,1),"")</f>
        <v/>
      </c>
      <c r="O249" t="str">
        <f>IFERROR(VLOOKUP($B249,'V07'!$A$8:$Q$29,14,1),"")</f>
        <v/>
      </c>
      <c r="P249" t="str">
        <f>IFERROR(VLOOKUP($B249,'V07'!$A$8:$Q$29,15,1),"")</f>
        <v/>
      </c>
      <c r="Q249" t="str">
        <f>IFERROR(VLOOKUP($B249,'V07'!$A$8:$Q$29,16,1),"")</f>
        <v/>
      </c>
      <c r="R249" t="str">
        <f>IFERROR(VLOOKUP($B249,'V07'!$A$8:$Q$29,17,1),"")</f>
        <v/>
      </c>
      <c r="Z249" s="17"/>
      <c r="AY249" s="17"/>
    </row>
    <row r="250" spans="1:51" x14ac:dyDescent="0.25">
      <c r="A250" s="17"/>
      <c r="B250" s="2">
        <f t="shared" si="6"/>
        <v>45658</v>
      </c>
      <c r="C250" t="str">
        <f>IFERROR(VLOOKUP($B250,'V07'!$A$9:$J$1048576,2,1),"")</f>
        <v/>
      </c>
      <c r="D250" s="1" t="str">
        <f>IFERROR(VLOOKUP($B250,'V07'!$A$8:$J$29,4,1),"")</f>
        <v/>
      </c>
      <c r="E250" s="1" t="str">
        <f>IFERROR(VLOOKUP($B250,'V07'!$A$8:$J$29,5,1),"")</f>
        <v/>
      </c>
      <c r="F250" s="1" t="str">
        <f>IFERROR(VLOOKUP($B250,'V07'!$A$8:$J$29,6,1),"")</f>
        <v/>
      </c>
      <c r="G250" s="1" t="str">
        <f>IFERROR(VLOOKUP($B250,'V07'!$A$8:$J$29,7,1),"")</f>
        <v/>
      </c>
      <c r="H250" s="1" t="str">
        <f>IFERROR(VLOOKUP($B250,'V07'!$A$8:$J$29,8,1),"")</f>
        <v/>
      </c>
      <c r="I250" s="1" t="str">
        <f>IFERROR(VLOOKUP($B250,'V07'!$A$8:$J$29,9,1),"")</f>
        <v/>
      </c>
      <c r="J250" s="1" t="str">
        <f>IFERROR(VLOOKUP($B250,'V07'!$A$8:$J$29,10,1),"")</f>
        <v/>
      </c>
      <c r="K250" t="str">
        <f>IFERROR(VLOOKUP($B250,'V07'!$A$9:$Q$1048576,3,1),"")</f>
        <v/>
      </c>
      <c r="L250" t="str">
        <f>IFERROR(VLOOKUP($B250,'V07'!$A$8:$Q$29,11,1),"")</f>
        <v/>
      </c>
      <c r="M250" t="str">
        <f>IFERROR(VLOOKUP($B250,'V07'!$A$8:$Q$29,12,1),"")</f>
        <v/>
      </c>
      <c r="N250" t="str">
        <f>IFERROR(VLOOKUP($B250,'V07'!$A$8:$Q$29,13,1),"")</f>
        <v/>
      </c>
      <c r="O250" t="str">
        <f>IFERROR(VLOOKUP($B250,'V07'!$A$8:$Q$29,14,1),"")</f>
        <v/>
      </c>
      <c r="P250" t="str">
        <f>IFERROR(VLOOKUP($B250,'V07'!$A$8:$Q$29,15,1),"")</f>
        <v/>
      </c>
      <c r="Q250" t="str">
        <f>IFERROR(VLOOKUP($B250,'V07'!$A$8:$Q$29,16,1),"")</f>
        <v/>
      </c>
      <c r="R250" t="str">
        <f>IFERROR(VLOOKUP($B250,'V07'!$A$8:$Q$29,17,1),"")</f>
        <v/>
      </c>
      <c r="Z250" s="17"/>
      <c r="AY250" s="17"/>
    </row>
    <row r="251" spans="1:51" x14ac:dyDescent="0.25">
      <c r="A251" s="17"/>
      <c r="B251" s="2">
        <f t="shared" si="6"/>
        <v>45689</v>
      </c>
      <c r="C251" t="str">
        <f>IFERROR(VLOOKUP($B251,'V07'!$A$9:$J$1048576,2,1),"")</f>
        <v/>
      </c>
      <c r="D251" s="1" t="str">
        <f>IFERROR(VLOOKUP($B251,'V07'!$A$8:$J$29,4,1),"")</f>
        <v/>
      </c>
      <c r="E251" s="1" t="str">
        <f>IFERROR(VLOOKUP($B251,'V07'!$A$8:$J$29,5,1),"")</f>
        <v/>
      </c>
      <c r="F251" s="1" t="str">
        <f>IFERROR(VLOOKUP($B251,'V07'!$A$8:$J$29,6,1),"")</f>
        <v/>
      </c>
      <c r="G251" s="1" t="str">
        <f>IFERROR(VLOOKUP($B251,'V07'!$A$8:$J$29,7,1),"")</f>
        <v/>
      </c>
      <c r="H251" s="1" t="str">
        <f>IFERROR(VLOOKUP($B251,'V07'!$A$8:$J$29,8,1),"")</f>
        <v/>
      </c>
      <c r="I251" s="1" t="str">
        <f>IFERROR(VLOOKUP($B251,'V07'!$A$8:$J$29,9,1),"")</f>
        <v/>
      </c>
      <c r="J251" s="1" t="str">
        <f>IFERROR(VLOOKUP($B251,'V07'!$A$8:$J$29,10,1),"")</f>
        <v/>
      </c>
      <c r="K251" t="str">
        <f>IFERROR(VLOOKUP($B251,'V07'!$A$9:$Q$1048576,3,1),"")</f>
        <v/>
      </c>
      <c r="L251" t="str">
        <f>IFERROR(VLOOKUP($B251,'V07'!$A$8:$Q$29,11,1),"")</f>
        <v/>
      </c>
      <c r="M251" t="str">
        <f>IFERROR(VLOOKUP($B251,'V07'!$A$8:$Q$29,12,1),"")</f>
        <v/>
      </c>
      <c r="N251" t="str">
        <f>IFERROR(VLOOKUP($B251,'V07'!$A$8:$Q$29,13,1),"")</f>
        <v/>
      </c>
      <c r="O251" t="str">
        <f>IFERROR(VLOOKUP($B251,'V07'!$A$8:$Q$29,14,1),"")</f>
        <v/>
      </c>
      <c r="P251" t="str">
        <f>IFERROR(VLOOKUP($B251,'V07'!$A$8:$Q$29,15,1),"")</f>
        <v/>
      </c>
      <c r="Q251" t="str">
        <f>IFERROR(VLOOKUP($B251,'V07'!$A$8:$Q$29,16,1),"")</f>
        <v/>
      </c>
      <c r="R251" t="str">
        <f>IFERROR(VLOOKUP($B251,'V07'!$A$8:$Q$29,17,1),"")</f>
        <v/>
      </c>
      <c r="Z251" s="17"/>
      <c r="AY251" s="17"/>
    </row>
    <row r="252" spans="1:51" x14ac:dyDescent="0.25">
      <c r="A252" s="17"/>
      <c r="B252" s="2">
        <f t="shared" si="6"/>
        <v>45717</v>
      </c>
      <c r="C252" t="str">
        <f>IFERROR(VLOOKUP($B252,'V07'!$A$9:$J$1048576,2,1),"")</f>
        <v/>
      </c>
      <c r="D252" s="1" t="str">
        <f>IFERROR(VLOOKUP($B252,'V07'!$A$8:$J$29,4,1),"")</f>
        <v/>
      </c>
      <c r="E252" s="1" t="str">
        <f>IFERROR(VLOOKUP($B252,'V07'!$A$8:$J$29,5,1),"")</f>
        <v/>
      </c>
      <c r="F252" s="1" t="str">
        <f>IFERROR(VLOOKUP($B252,'V07'!$A$8:$J$29,6,1),"")</f>
        <v/>
      </c>
      <c r="G252" s="1" t="str">
        <f>IFERROR(VLOOKUP($B252,'V07'!$A$8:$J$29,7,1),"")</f>
        <v/>
      </c>
      <c r="H252" s="1" t="str">
        <f>IFERROR(VLOOKUP($B252,'V07'!$A$8:$J$29,8,1),"")</f>
        <v/>
      </c>
      <c r="I252" s="1" t="str">
        <f>IFERROR(VLOOKUP($B252,'V07'!$A$8:$J$29,9,1),"")</f>
        <v/>
      </c>
      <c r="J252" s="1" t="str">
        <f>IFERROR(VLOOKUP($B252,'V07'!$A$8:$J$29,10,1),"")</f>
        <v/>
      </c>
      <c r="K252" t="str">
        <f>IFERROR(VLOOKUP($B252,'V07'!$A$9:$Q$1048576,3,1),"")</f>
        <v/>
      </c>
      <c r="L252" t="str">
        <f>IFERROR(VLOOKUP($B252,'V07'!$A$8:$Q$29,11,1),"")</f>
        <v/>
      </c>
      <c r="M252" t="str">
        <f>IFERROR(VLOOKUP($B252,'V07'!$A$8:$Q$29,12,1),"")</f>
        <v/>
      </c>
      <c r="N252" t="str">
        <f>IFERROR(VLOOKUP($B252,'V07'!$A$8:$Q$29,13,1),"")</f>
        <v/>
      </c>
      <c r="O252" t="str">
        <f>IFERROR(VLOOKUP($B252,'V07'!$A$8:$Q$29,14,1),"")</f>
        <v/>
      </c>
      <c r="P252" t="str">
        <f>IFERROR(VLOOKUP($B252,'V07'!$A$8:$Q$29,15,1),"")</f>
        <v/>
      </c>
      <c r="Q252" t="str">
        <f>IFERROR(VLOOKUP($B252,'V07'!$A$8:$Q$29,16,1),"")</f>
        <v/>
      </c>
      <c r="R252" t="str">
        <f>IFERROR(VLOOKUP($B252,'V07'!$A$8:$Q$29,17,1),"")</f>
        <v/>
      </c>
      <c r="Z252" s="17"/>
      <c r="AY252" s="17"/>
    </row>
    <row r="253" spans="1:51" x14ac:dyDescent="0.25">
      <c r="A253" s="17"/>
      <c r="B253" s="2">
        <f t="shared" si="6"/>
        <v>45748</v>
      </c>
      <c r="C253" t="str">
        <f>IFERROR(VLOOKUP($B253,'V07'!$A$9:$J$1048576,2,1),"")</f>
        <v/>
      </c>
      <c r="D253" s="1" t="str">
        <f>IFERROR(VLOOKUP($B253,'V07'!$A$8:$J$29,4,1),"")</f>
        <v/>
      </c>
      <c r="E253" s="1" t="str">
        <f>IFERROR(VLOOKUP($B253,'V07'!$A$8:$J$29,5,1),"")</f>
        <v/>
      </c>
      <c r="F253" s="1" t="str">
        <f>IFERROR(VLOOKUP($B253,'V07'!$A$8:$J$29,6,1),"")</f>
        <v/>
      </c>
      <c r="G253" s="1" t="str">
        <f>IFERROR(VLOOKUP($B253,'V07'!$A$8:$J$29,7,1),"")</f>
        <v/>
      </c>
      <c r="H253" s="1" t="str">
        <f>IFERROR(VLOOKUP($B253,'V07'!$A$8:$J$29,8,1),"")</f>
        <v/>
      </c>
      <c r="I253" s="1" t="str">
        <f>IFERROR(VLOOKUP($B253,'V07'!$A$8:$J$29,9,1),"")</f>
        <v/>
      </c>
      <c r="J253" s="1" t="str">
        <f>IFERROR(VLOOKUP($B253,'V07'!$A$8:$J$29,10,1),"")</f>
        <v/>
      </c>
      <c r="K253" t="str">
        <f>IFERROR(VLOOKUP($B253,'V07'!$A$9:$Q$1048576,3,1),"")</f>
        <v/>
      </c>
      <c r="L253" t="str">
        <f>IFERROR(VLOOKUP($B253,'V07'!$A$8:$Q$29,11,1),"")</f>
        <v/>
      </c>
      <c r="M253" t="str">
        <f>IFERROR(VLOOKUP($B253,'V07'!$A$8:$Q$29,12,1),"")</f>
        <v/>
      </c>
      <c r="N253" t="str">
        <f>IFERROR(VLOOKUP($B253,'V07'!$A$8:$Q$29,13,1),"")</f>
        <v/>
      </c>
      <c r="O253" t="str">
        <f>IFERROR(VLOOKUP($B253,'V07'!$A$8:$Q$29,14,1),"")</f>
        <v/>
      </c>
      <c r="P253" t="str">
        <f>IFERROR(VLOOKUP($B253,'V07'!$A$8:$Q$29,15,1),"")</f>
        <v/>
      </c>
      <c r="Q253" t="str">
        <f>IFERROR(VLOOKUP($B253,'V07'!$A$8:$Q$29,16,1),"")</f>
        <v/>
      </c>
      <c r="R253" t="str">
        <f>IFERROR(VLOOKUP($B253,'V07'!$A$8:$Q$29,17,1),"")</f>
        <v/>
      </c>
      <c r="Z253" s="17"/>
      <c r="AY253" s="17"/>
    </row>
    <row r="254" spans="1:51" x14ac:dyDescent="0.25">
      <c r="A254" s="17"/>
      <c r="B254" s="2">
        <f t="shared" si="6"/>
        <v>45778</v>
      </c>
      <c r="C254" t="str">
        <f>IFERROR(VLOOKUP($B254,'V07'!$A$9:$J$1048576,2,1),"")</f>
        <v/>
      </c>
      <c r="D254" s="1" t="str">
        <f>IFERROR(VLOOKUP($B254,'V07'!$A$8:$J$29,4,1),"")</f>
        <v/>
      </c>
      <c r="E254" s="1" t="str">
        <f>IFERROR(VLOOKUP($B254,'V07'!$A$8:$J$29,5,1),"")</f>
        <v/>
      </c>
      <c r="F254" s="1" t="str">
        <f>IFERROR(VLOOKUP($B254,'V07'!$A$8:$J$29,6,1),"")</f>
        <v/>
      </c>
      <c r="G254" s="1" t="str">
        <f>IFERROR(VLOOKUP($B254,'V07'!$A$8:$J$29,7,1),"")</f>
        <v/>
      </c>
      <c r="H254" s="1" t="str">
        <f>IFERROR(VLOOKUP($B254,'V07'!$A$8:$J$29,8,1),"")</f>
        <v/>
      </c>
      <c r="I254" s="1" t="str">
        <f>IFERROR(VLOOKUP($B254,'V07'!$A$8:$J$29,9,1),"")</f>
        <v/>
      </c>
      <c r="J254" s="1" t="str">
        <f>IFERROR(VLOOKUP($B254,'V07'!$A$8:$J$29,10,1),"")</f>
        <v/>
      </c>
      <c r="K254" t="str">
        <f>IFERROR(VLOOKUP($B254,'V07'!$A$9:$Q$1048576,3,1),"")</f>
        <v/>
      </c>
      <c r="L254" t="str">
        <f>IFERROR(VLOOKUP($B254,'V07'!$A$8:$Q$29,11,1),"")</f>
        <v/>
      </c>
      <c r="M254" t="str">
        <f>IFERROR(VLOOKUP($B254,'V07'!$A$8:$Q$29,12,1),"")</f>
        <v/>
      </c>
      <c r="N254" t="str">
        <f>IFERROR(VLOOKUP($B254,'V07'!$A$8:$Q$29,13,1),"")</f>
        <v/>
      </c>
      <c r="O254" t="str">
        <f>IFERROR(VLOOKUP($B254,'V07'!$A$8:$Q$29,14,1),"")</f>
        <v/>
      </c>
      <c r="P254" t="str">
        <f>IFERROR(VLOOKUP($B254,'V07'!$A$8:$Q$29,15,1),"")</f>
        <v/>
      </c>
      <c r="Q254" t="str">
        <f>IFERROR(VLOOKUP($B254,'V07'!$A$8:$Q$29,16,1),"")</f>
        <v/>
      </c>
      <c r="R254" t="str">
        <f>IFERROR(VLOOKUP($B254,'V07'!$A$8:$Q$29,17,1),"")</f>
        <v/>
      </c>
      <c r="Z254" s="17"/>
      <c r="AY254" s="17"/>
    </row>
    <row r="255" spans="1:51" x14ac:dyDescent="0.25">
      <c r="A255" s="17"/>
      <c r="B255" s="2">
        <f t="shared" si="6"/>
        <v>45809</v>
      </c>
      <c r="C255" t="str">
        <f>IFERROR(VLOOKUP($B255,'V07'!$A$9:$J$1048576,2,1),"")</f>
        <v/>
      </c>
      <c r="D255" s="1" t="str">
        <f>IFERROR(VLOOKUP($B255,'V07'!$A$8:$J$29,4,1),"")</f>
        <v/>
      </c>
      <c r="E255" s="1" t="str">
        <f>IFERROR(VLOOKUP($B255,'V07'!$A$8:$J$29,5,1),"")</f>
        <v/>
      </c>
      <c r="F255" s="1" t="str">
        <f>IFERROR(VLOOKUP($B255,'V07'!$A$8:$J$29,6,1),"")</f>
        <v/>
      </c>
      <c r="G255" s="1" t="str">
        <f>IFERROR(VLOOKUP($B255,'V07'!$A$8:$J$29,7,1),"")</f>
        <v/>
      </c>
      <c r="H255" s="1" t="str">
        <f>IFERROR(VLOOKUP($B255,'V07'!$A$8:$J$29,8,1),"")</f>
        <v/>
      </c>
      <c r="I255" s="1" t="str">
        <f>IFERROR(VLOOKUP($B255,'V07'!$A$8:$J$29,9,1),"")</f>
        <v/>
      </c>
      <c r="J255" s="1" t="str">
        <f>IFERROR(VLOOKUP($B255,'V07'!$A$8:$J$29,10,1),"")</f>
        <v/>
      </c>
      <c r="K255" t="str">
        <f>IFERROR(VLOOKUP($B255,'V07'!$A$9:$Q$1048576,3,1),"")</f>
        <v/>
      </c>
      <c r="L255" t="str">
        <f>IFERROR(VLOOKUP($B255,'V07'!$A$8:$Q$29,11,1),"")</f>
        <v/>
      </c>
      <c r="M255" t="str">
        <f>IFERROR(VLOOKUP($B255,'V07'!$A$8:$Q$29,12,1),"")</f>
        <v/>
      </c>
      <c r="N255" t="str">
        <f>IFERROR(VLOOKUP($B255,'V07'!$A$8:$Q$29,13,1),"")</f>
        <v/>
      </c>
      <c r="O255" t="str">
        <f>IFERROR(VLOOKUP($B255,'V07'!$A$8:$Q$29,14,1),"")</f>
        <v/>
      </c>
      <c r="P255" t="str">
        <f>IFERROR(VLOOKUP($B255,'V07'!$A$8:$Q$29,15,1),"")</f>
        <v/>
      </c>
      <c r="Q255" t="str">
        <f>IFERROR(VLOOKUP($B255,'V07'!$A$8:$Q$29,16,1),"")</f>
        <v/>
      </c>
      <c r="R255" t="str">
        <f>IFERROR(VLOOKUP($B255,'V07'!$A$8:$Q$29,17,1),"")</f>
        <v/>
      </c>
      <c r="Z255" s="17"/>
      <c r="AY255" s="17"/>
    </row>
    <row r="256" spans="1:51" x14ac:dyDescent="0.25">
      <c r="A256" s="17"/>
      <c r="B256" s="2">
        <f t="shared" si="6"/>
        <v>45839</v>
      </c>
      <c r="C256" t="str">
        <f>IFERROR(VLOOKUP($B256,'V07'!$A$9:$J$1048576,2,1),"")</f>
        <v/>
      </c>
      <c r="D256" s="1" t="str">
        <f>IFERROR(VLOOKUP($B256,'V07'!$A$8:$J$29,4,1),"")</f>
        <v/>
      </c>
      <c r="E256" s="1" t="str">
        <f>IFERROR(VLOOKUP($B256,'V07'!$A$8:$J$29,5,1),"")</f>
        <v/>
      </c>
      <c r="F256" s="1" t="str">
        <f>IFERROR(VLOOKUP($B256,'V07'!$A$8:$J$29,6,1),"")</f>
        <v/>
      </c>
      <c r="G256" s="1" t="str">
        <f>IFERROR(VLOOKUP($B256,'V07'!$A$8:$J$29,7,1),"")</f>
        <v/>
      </c>
      <c r="H256" s="1" t="str">
        <f>IFERROR(VLOOKUP($B256,'V07'!$A$8:$J$29,8,1),"")</f>
        <v/>
      </c>
      <c r="I256" s="1" t="str">
        <f>IFERROR(VLOOKUP($B256,'V07'!$A$8:$J$29,9,1),"")</f>
        <v/>
      </c>
      <c r="J256" s="1" t="str">
        <f>IFERROR(VLOOKUP($B256,'V07'!$A$8:$J$29,10,1),"")</f>
        <v/>
      </c>
      <c r="K256" t="str">
        <f>IFERROR(VLOOKUP($B256,'V07'!$A$9:$Q$1048576,3,1),"")</f>
        <v/>
      </c>
      <c r="L256" t="str">
        <f>IFERROR(VLOOKUP($B256,'V07'!$A$8:$Q$29,11,1),"")</f>
        <v/>
      </c>
      <c r="M256" t="str">
        <f>IFERROR(VLOOKUP($B256,'V07'!$A$8:$Q$29,12,1),"")</f>
        <v/>
      </c>
      <c r="N256" t="str">
        <f>IFERROR(VLOOKUP($B256,'V07'!$A$8:$Q$29,13,1),"")</f>
        <v/>
      </c>
      <c r="O256" t="str">
        <f>IFERROR(VLOOKUP($B256,'V07'!$A$8:$Q$29,14,1),"")</f>
        <v/>
      </c>
      <c r="P256" t="str">
        <f>IFERROR(VLOOKUP($B256,'V07'!$A$8:$Q$29,15,1),"")</f>
        <v/>
      </c>
      <c r="Q256" t="str">
        <f>IFERROR(VLOOKUP($B256,'V07'!$A$8:$Q$29,16,1),"")</f>
        <v/>
      </c>
      <c r="R256" t="str">
        <f>IFERROR(VLOOKUP($B256,'V07'!$A$8:$Q$29,17,1),"")</f>
        <v/>
      </c>
      <c r="Z256" s="17"/>
      <c r="AY256" s="17"/>
    </row>
    <row r="257" spans="1:51" x14ac:dyDescent="0.25">
      <c r="A257" s="17"/>
      <c r="B257" s="2">
        <f t="shared" si="6"/>
        <v>45870</v>
      </c>
      <c r="C257" t="str">
        <f>IFERROR(VLOOKUP($B257,'V07'!$A$9:$J$1048576,2,1),"")</f>
        <v/>
      </c>
      <c r="D257" s="1" t="str">
        <f>IFERROR(VLOOKUP($B257,'V07'!$A$8:$J$29,4,1),"")</f>
        <v/>
      </c>
      <c r="E257" s="1" t="str">
        <f>IFERROR(VLOOKUP($B257,'V07'!$A$8:$J$29,5,1),"")</f>
        <v/>
      </c>
      <c r="F257" s="1" t="str">
        <f>IFERROR(VLOOKUP($B257,'V07'!$A$8:$J$29,6,1),"")</f>
        <v/>
      </c>
      <c r="G257" s="1" t="str">
        <f>IFERROR(VLOOKUP($B257,'V07'!$A$8:$J$29,7,1),"")</f>
        <v/>
      </c>
      <c r="H257" s="1" t="str">
        <f>IFERROR(VLOOKUP($B257,'V07'!$A$8:$J$29,8,1),"")</f>
        <v/>
      </c>
      <c r="I257" s="1" t="str">
        <f>IFERROR(VLOOKUP($B257,'V07'!$A$8:$J$29,9,1),"")</f>
        <v/>
      </c>
      <c r="J257" s="1" t="str">
        <f>IFERROR(VLOOKUP($B257,'V07'!$A$8:$J$29,10,1),"")</f>
        <v/>
      </c>
      <c r="K257" t="str">
        <f>IFERROR(VLOOKUP($B257,'V07'!$A$9:$Q$1048576,3,1),"")</f>
        <v/>
      </c>
      <c r="L257" t="str">
        <f>IFERROR(VLOOKUP($B257,'V07'!$A$8:$Q$29,11,1),"")</f>
        <v/>
      </c>
      <c r="M257" t="str">
        <f>IFERROR(VLOOKUP($B257,'V07'!$A$8:$Q$29,12,1),"")</f>
        <v/>
      </c>
      <c r="N257" t="str">
        <f>IFERROR(VLOOKUP($B257,'V07'!$A$8:$Q$29,13,1),"")</f>
        <v/>
      </c>
      <c r="O257" t="str">
        <f>IFERROR(VLOOKUP($B257,'V07'!$A$8:$Q$29,14,1),"")</f>
        <v/>
      </c>
      <c r="P257" t="str">
        <f>IFERROR(VLOOKUP($B257,'V07'!$A$8:$Q$29,15,1),"")</f>
        <v/>
      </c>
      <c r="Q257" t="str">
        <f>IFERROR(VLOOKUP($B257,'V07'!$A$8:$Q$29,16,1),"")</f>
        <v/>
      </c>
      <c r="R257" t="str">
        <f>IFERROR(VLOOKUP($B257,'V07'!$A$8:$Q$29,17,1),"")</f>
        <v/>
      </c>
      <c r="Z257" s="17"/>
      <c r="AY257" s="17"/>
    </row>
    <row r="258" spans="1:51" x14ac:dyDescent="0.25">
      <c r="A258" s="17"/>
      <c r="B258" s="2">
        <f>EDATE(B259,-1)</f>
        <v>45901</v>
      </c>
      <c r="C258" t="str">
        <f>IFERROR(VLOOKUP($B258,'V07'!$A$9:$J$1048576,2,1),"")</f>
        <v/>
      </c>
      <c r="D258" s="1" t="str">
        <f>IFERROR(VLOOKUP($B258,'V07'!$A$8:$J$29,4,1),"")</f>
        <v/>
      </c>
      <c r="E258" s="1" t="str">
        <f>IFERROR(VLOOKUP($B258,'V07'!$A$8:$J$29,5,1),"")</f>
        <v/>
      </c>
      <c r="F258" s="1" t="str">
        <f>IFERROR(VLOOKUP($B258,'V07'!$A$8:$J$29,6,1),"")</f>
        <v/>
      </c>
      <c r="G258" s="1" t="str">
        <f>IFERROR(VLOOKUP($B258,'V07'!$A$8:$J$29,7,1),"")</f>
        <v/>
      </c>
      <c r="H258" s="1" t="str">
        <f>IFERROR(VLOOKUP($B258,'V07'!$A$8:$J$29,8,1),"")</f>
        <v/>
      </c>
      <c r="I258" s="1" t="str">
        <f>IFERROR(VLOOKUP($B258,'V07'!$A$8:$J$29,9,1),"")</f>
        <v/>
      </c>
      <c r="J258" s="1" t="str">
        <f>IFERROR(VLOOKUP($B258,'V07'!$A$8:$J$29,10,1),"")</f>
        <v/>
      </c>
      <c r="K258" t="str">
        <f>IFERROR(VLOOKUP($B258,'V07'!$A$9:$Q$1048576,3,1),"")</f>
        <v/>
      </c>
      <c r="L258" t="str">
        <f>IFERROR(VLOOKUP($B258,'V07'!$A$8:$Q$29,11,1),"")</f>
        <v/>
      </c>
      <c r="M258" t="str">
        <f>IFERROR(VLOOKUP($B258,'V07'!$A$8:$Q$29,12,1),"")</f>
        <v/>
      </c>
      <c r="N258" t="str">
        <f>IFERROR(VLOOKUP($B258,'V07'!$A$8:$Q$29,13,1),"")</f>
        <v/>
      </c>
      <c r="O258" t="str">
        <f>IFERROR(VLOOKUP($B258,'V07'!$A$8:$Q$29,14,1),"")</f>
        <v/>
      </c>
      <c r="P258" t="str">
        <f>IFERROR(VLOOKUP($B258,'V07'!$A$8:$Q$29,15,1),"")</f>
        <v/>
      </c>
      <c r="Q258" t="str">
        <f>IFERROR(VLOOKUP($B258,'V07'!$A$8:$Q$29,16,1),"")</f>
        <v/>
      </c>
      <c r="R258" t="str">
        <f>IFERROR(VLOOKUP($B258,'V07'!$A$8:$Q$29,17,1),"")</f>
        <v/>
      </c>
      <c r="Z258" s="17"/>
      <c r="AY258" s="17"/>
    </row>
    <row r="259" spans="1:51" x14ac:dyDescent="0.25">
      <c r="A259" s="17"/>
      <c r="B259" s="2">
        <f>$E$2</f>
        <v>45931</v>
      </c>
      <c r="C259" t="str">
        <f>IFERROR(VLOOKUP($B259,'V07'!$A$9:$J$1048576,2,1),"")</f>
        <v/>
      </c>
      <c r="D259" s="1" t="str">
        <f>IFERROR(VLOOKUP($B259,'V07'!$A$8:$J$29,4,1),"")</f>
        <v/>
      </c>
      <c r="E259" s="1" t="str">
        <f>IFERROR(VLOOKUP($B259,'V07'!$A$8:$J$29,5,1),"")</f>
        <v/>
      </c>
      <c r="F259" s="1" t="str">
        <f>IFERROR(VLOOKUP($B259,'V07'!$A$8:$J$29,6,1),"")</f>
        <v/>
      </c>
      <c r="G259" s="1" t="str">
        <f>IFERROR(VLOOKUP($B259,'V07'!$A$8:$J$29,7,1),"")</f>
        <v/>
      </c>
      <c r="H259" s="1" t="str">
        <f>IFERROR(VLOOKUP($B259,'V07'!$A$8:$J$29,8,1),"")</f>
        <v/>
      </c>
      <c r="I259" s="1" t="str">
        <f>IFERROR(VLOOKUP($B259,'V07'!$A$8:$J$29,9,1),"")</f>
        <v/>
      </c>
      <c r="J259" s="1" t="str">
        <f>IFERROR(VLOOKUP($B259,'V07'!$A$8:$J$29,10,1),"")</f>
        <v/>
      </c>
      <c r="K259" t="str">
        <f>IFERROR(VLOOKUP($B259,'V07'!$A$9:$Q$1048576,3,1),"")</f>
        <v/>
      </c>
      <c r="L259" t="str">
        <f>IFERROR(VLOOKUP($B259,'V07'!$A$8:$Q$29,11,1),"")</f>
        <v/>
      </c>
      <c r="M259" t="str">
        <f>IFERROR(VLOOKUP($B259,'V07'!$A$8:$Q$29,12,1),"")</f>
        <v/>
      </c>
      <c r="N259" t="str">
        <f>IFERROR(VLOOKUP($B259,'V07'!$A$8:$Q$29,13,1),"")</f>
        <v/>
      </c>
      <c r="O259" t="str">
        <f>IFERROR(VLOOKUP($B259,'V07'!$A$8:$Q$29,14,1),"")</f>
        <v/>
      </c>
      <c r="P259" t="str">
        <f>IFERROR(VLOOKUP($B259,'V07'!$A$8:$Q$29,15,1),"")</f>
        <v/>
      </c>
      <c r="Q259" t="str">
        <f>IFERROR(VLOOKUP($B259,'V07'!$A$8:$Q$29,16,1),"")</f>
        <v/>
      </c>
      <c r="R259" t="str">
        <f>IFERROR(VLOOKUP($B259,'V07'!$A$8:$Q$29,17,1),"")</f>
        <v/>
      </c>
      <c r="Z259" s="17"/>
      <c r="AY259" s="17"/>
    </row>
    <row r="260" spans="1:5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</row>
    <row r="261" spans="1:51" ht="50.1" customHeight="1" x14ac:dyDescent="0.25">
      <c r="A261" s="17"/>
      <c r="B261" s="39" t="s">
        <v>64</v>
      </c>
      <c r="C261" s="39"/>
      <c r="D261" s="39"/>
      <c r="E261" s="40">
        <v>45627</v>
      </c>
      <c r="F261" s="40"/>
      <c r="G261" s="40"/>
      <c r="H261" s="40"/>
      <c r="I261" s="40"/>
      <c r="J261" s="40"/>
      <c r="K261" s="40"/>
      <c r="L261" s="40"/>
      <c r="M261" s="40"/>
      <c r="N261" s="44" t="s">
        <v>77</v>
      </c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6"/>
      <c r="AY261" s="17"/>
    </row>
    <row r="262" spans="1:51" ht="50.1" customHeight="1" x14ac:dyDescent="0.25">
      <c r="A262" s="17"/>
      <c r="B262" s="39" t="s">
        <v>37</v>
      </c>
      <c r="C262" s="39"/>
      <c r="D262" s="39"/>
      <c r="E262" s="43"/>
      <c r="F262" s="43"/>
      <c r="G262" s="43"/>
      <c r="H262" s="39" t="s">
        <v>25</v>
      </c>
      <c r="I262" s="39"/>
      <c r="J262" s="39"/>
      <c r="K262" s="42"/>
      <c r="L262" s="42"/>
      <c r="M262" s="42"/>
      <c r="N262" s="47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9"/>
      <c r="AY262" s="17"/>
    </row>
    <row r="263" spans="1:51" ht="50.1" customHeight="1" x14ac:dyDescent="0.25">
      <c r="A263" s="17"/>
      <c r="B263" s="39" t="s">
        <v>66</v>
      </c>
      <c r="C263" s="39"/>
      <c r="D263" s="39"/>
      <c r="E263" s="43"/>
      <c r="F263" s="43"/>
      <c r="G263" s="43"/>
      <c r="H263" s="39" t="s">
        <v>26</v>
      </c>
      <c r="I263" s="39"/>
      <c r="J263" s="39"/>
      <c r="K263" s="42"/>
      <c r="L263" s="42"/>
      <c r="M263" s="42"/>
      <c r="N263" s="50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2"/>
      <c r="AY263" s="17"/>
    </row>
    <row r="264" spans="1:5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</row>
    <row r="265" spans="1:51" x14ac:dyDescent="0.25">
      <c r="A265" s="17"/>
      <c r="Z265" s="17"/>
      <c r="AY265" s="17"/>
    </row>
    <row r="266" spans="1:51" x14ac:dyDescent="0.25">
      <c r="A266" s="17"/>
      <c r="B266" s="6"/>
      <c r="C266" s="6"/>
      <c r="D266" s="6"/>
      <c r="E266" s="6"/>
      <c r="F266" s="6"/>
      <c r="G266" s="6"/>
      <c r="H266" s="6"/>
      <c r="I266" s="6"/>
      <c r="J266" s="6"/>
      <c r="K266" s="6"/>
      <c r="Z266" s="17"/>
      <c r="AY266" s="17"/>
    </row>
    <row r="267" spans="1:51" x14ac:dyDescent="0.25">
      <c r="A267" s="17"/>
      <c r="B267" s="2"/>
      <c r="D267" s="1"/>
      <c r="E267" s="1"/>
      <c r="F267" s="1"/>
      <c r="G267" s="1"/>
      <c r="H267" s="1"/>
      <c r="I267" s="1"/>
      <c r="J267" s="1"/>
      <c r="Z267" s="17"/>
      <c r="AY267" s="17"/>
    </row>
    <row r="268" spans="1:51" x14ac:dyDescent="0.25">
      <c r="A268" s="17"/>
      <c r="B268" s="2"/>
      <c r="D268" s="1"/>
      <c r="E268" s="1"/>
      <c r="F268" s="1"/>
      <c r="G268" s="1"/>
      <c r="H268" s="1"/>
      <c r="I268" s="1"/>
      <c r="J268" s="1"/>
      <c r="Z268" s="17"/>
      <c r="AY268" s="17"/>
    </row>
    <row r="269" spans="1:51" x14ac:dyDescent="0.25">
      <c r="A269" s="17"/>
      <c r="B269" s="2"/>
      <c r="D269" s="1"/>
      <c r="E269" s="1"/>
      <c r="F269" s="1"/>
      <c r="G269" s="1"/>
      <c r="H269" s="1"/>
      <c r="I269" s="1"/>
      <c r="J269" s="1"/>
      <c r="Z269" s="17"/>
      <c r="AY269" s="17"/>
    </row>
    <row r="270" spans="1:51" x14ac:dyDescent="0.25">
      <c r="A270" s="17"/>
      <c r="B270" s="2"/>
      <c r="D270" s="1"/>
      <c r="E270" s="1"/>
      <c r="F270" s="1"/>
      <c r="G270" s="1"/>
      <c r="H270" s="1"/>
      <c r="I270" s="1"/>
      <c r="J270" s="1"/>
      <c r="Z270" s="17"/>
      <c r="AY270" s="17"/>
    </row>
    <row r="271" spans="1:51" x14ac:dyDescent="0.25">
      <c r="A271" s="17"/>
      <c r="B271" s="2"/>
      <c r="D271" s="1"/>
      <c r="E271" s="1"/>
      <c r="F271" s="1"/>
      <c r="G271" s="1"/>
      <c r="H271" s="1"/>
      <c r="I271" s="1"/>
      <c r="J271" s="1"/>
      <c r="Z271" s="17"/>
      <c r="AY271" s="17"/>
    </row>
    <row r="272" spans="1:51" x14ac:dyDescent="0.25">
      <c r="A272" s="17"/>
      <c r="B272" s="2"/>
      <c r="D272" s="1"/>
      <c r="E272" s="1"/>
      <c r="F272" s="1"/>
      <c r="G272" s="1"/>
      <c r="H272" s="1"/>
      <c r="I272" s="1"/>
      <c r="J272" s="1"/>
      <c r="Z272" s="17"/>
      <c r="AY272" s="17"/>
    </row>
    <row r="273" spans="1:51" x14ac:dyDescent="0.25">
      <c r="A273" s="17"/>
      <c r="B273" s="2"/>
      <c r="D273" s="1"/>
      <c r="E273" s="1"/>
      <c r="F273" s="1"/>
      <c r="G273" s="1"/>
      <c r="H273" s="1"/>
      <c r="I273" s="1"/>
      <c r="J273" s="1"/>
      <c r="Z273" s="17"/>
      <c r="AY273" s="17"/>
    </row>
    <row r="274" spans="1:51" x14ac:dyDescent="0.25">
      <c r="A274" s="17"/>
      <c r="B274" s="2"/>
      <c r="D274" s="1"/>
      <c r="E274" s="1"/>
      <c r="F274" s="1"/>
      <c r="G274" s="1"/>
      <c r="H274" s="1"/>
      <c r="I274" s="1"/>
      <c r="J274" s="1"/>
      <c r="Z274" s="17"/>
      <c r="AY274" s="17"/>
    </row>
    <row r="275" spans="1:51" x14ac:dyDescent="0.25">
      <c r="A275" s="17"/>
      <c r="B275" s="2"/>
      <c r="D275" s="1"/>
      <c r="E275" s="1"/>
      <c r="F275" s="1"/>
      <c r="G275" s="1"/>
      <c r="H275" s="1"/>
      <c r="I275" s="1"/>
      <c r="J275" s="1"/>
      <c r="Z275" s="17"/>
      <c r="AY275" s="17"/>
    </row>
    <row r="276" spans="1:51" x14ac:dyDescent="0.25">
      <c r="A276" s="17"/>
      <c r="B276" s="2"/>
      <c r="D276" s="1"/>
      <c r="E276" s="1"/>
      <c r="F276" s="1"/>
      <c r="G276" s="1"/>
      <c r="H276" s="1"/>
      <c r="I276" s="1"/>
      <c r="J276" s="1"/>
      <c r="Z276" s="17"/>
      <c r="AY276" s="17"/>
    </row>
    <row r="277" spans="1:51" x14ac:dyDescent="0.25">
      <c r="A277" s="17"/>
      <c r="B277" s="2"/>
      <c r="D277" s="1"/>
      <c r="E277" s="1"/>
      <c r="F277" s="1"/>
      <c r="G277" s="1"/>
      <c r="H277" s="1"/>
      <c r="I277" s="1"/>
      <c r="J277" s="1"/>
      <c r="Z277" s="17"/>
      <c r="AY277" s="17"/>
    </row>
    <row r="278" spans="1:51" x14ac:dyDescent="0.25">
      <c r="A278" s="17"/>
      <c r="B278" s="2"/>
      <c r="D278" s="1"/>
      <c r="E278" s="1"/>
      <c r="F278" s="1"/>
      <c r="G278" s="1"/>
      <c r="H278" s="1"/>
      <c r="I278" s="1"/>
      <c r="J278" s="1"/>
      <c r="Z278" s="17"/>
      <c r="AY278" s="17"/>
    </row>
    <row r="279" spans="1:51" x14ac:dyDescent="0.25">
      <c r="A279" s="17"/>
      <c r="B279" s="2"/>
      <c r="D279" s="1"/>
      <c r="E279" s="1"/>
      <c r="F279" s="1"/>
      <c r="G279" s="1"/>
      <c r="H279" s="1"/>
      <c r="I279" s="1"/>
      <c r="J279" s="1"/>
      <c r="Z279" s="17"/>
      <c r="AY279" s="17"/>
    </row>
    <row r="280" spans="1:51" x14ac:dyDescent="0.25">
      <c r="A280" s="17"/>
      <c r="B280" s="2"/>
      <c r="D280" s="1"/>
      <c r="E280" s="1"/>
      <c r="F280" s="1"/>
      <c r="G280" s="1"/>
      <c r="H280" s="1"/>
      <c r="I280" s="1"/>
      <c r="J280" s="1"/>
      <c r="Z280" s="17"/>
      <c r="AY280" s="17"/>
    </row>
    <row r="281" spans="1:51" x14ac:dyDescent="0.25">
      <c r="A281" s="17"/>
      <c r="B281" s="2"/>
      <c r="D281" s="1"/>
      <c r="E281" s="1"/>
      <c r="F281" s="1"/>
      <c r="G281" s="1"/>
      <c r="H281" s="1"/>
      <c r="I281" s="1"/>
      <c r="J281" s="1"/>
      <c r="Z281" s="17"/>
      <c r="AY281" s="17"/>
    </row>
    <row r="282" spans="1:51" x14ac:dyDescent="0.25">
      <c r="A282" s="17"/>
      <c r="B282" s="2"/>
      <c r="D282" s="1"/>
      <c r="E282" s="1"/>
      <c r="F282" s="1"/>
      <c r="G282" s="1"/>
      <c r="H282" s="1"/>
      <c r="I282" s="1"/>
      <c r="J282" s="1"/>
      <c r="Z282" s="17"/>
      <c r="AY282" s="17"/>
    </row>
    <row r="283" spans="1:51" x14ac:dyDescent="0.25">
      <c r="A283" s="17"/>
      <c r="B283" s="2"/>
      <c r="D283" s="1"/>
      <c r="E283" s="1"/>
      <c r="F283" s="1"/>
      <c r="G283" s="1"/>
      <c r="H283" s="1"/>
      <c r="I283" s="1"/>
      <c r="J283" s="1"/>
      <c r="Z283" s="17"/>
      <c r="AY283" s="17"/>
    </row>
    <row r="284" spans="1:51" x14ac:dyDescent="0.25">
      <c r="A284" s="17"/>
      <c r="B284" s="2"/>
      <c r="D284" s="1"/>
      <c r="E284" s="1"/>
      <c r="F284" s="1"/>
      <c r="G284" s="1"/>
      <c r="H284" s="1"/>
      <c r="I284" s="1"/>
      <c r="J284" s="1"/>
      <c r="Z284" s="17"/>
      <c r="AY284" s="17"/>
    </row>
    <row r="285" spans="1:51" x14ac:dyDescent="0.25">
      <c r="A285" s="17"/>
      <c r="B285" s="2"/>
      <c r="D285" s="1"/>
      <c r="E285" s="1"/>
      <c r="F285" s="1"/>
      <c r="G285" s="1"/>
      <c r="H285" s="1"/>
      <c r="I285" s="1"/>
      <c r="J285" s="1"/>
      <c r="Z285" s="17"/>
      <c r="AY285" s="17"/>
    </row>
    <row r="286" spans="1:51" x14ac:dyDescent="0.25">
      <c r="A286" s="17"/>
      <c r="B286" s="2"/>
      <c r="D286" s="1"/>
      <c r="E286" s="1"/>
      <c r="F286" s="1"/>
      <c r="G286" s="1"/>
      <c r="H286" s="1"/>
      <c r="I286" s="1"/>
      <c r="J286" s="1"/>
      <c r="Z286" s="17"/>
      <c r="AY286" s="17"/>
    </row>
    <row r="287" spans="1:51" x14ac:dyDescent="0.25">
      <c r="A287" s="17"/>
      <c r="B287" s="2"/>
      <c r="D287" s="1"/>
      <c r="E287" s="1"/>
      <c r="F287" s="1"/>
      <c r="G287" s="1"/>
      <c r="H287" s="1"/>
      <c r="I287" s="1"/>
      <c r="J287" s="1"/>
      <c r="Z287" s="17"/>
      <c r="AY287" s="17"/>
    </row>
    <row r="288" spans="1:51" x14ac:dyDescent="0.25">
      <c r="A288" s="17"/>
      <c r="B288" s="2"/>
      <c r="D288" s="1"/>
      <c r="E288" s="1"/>
      <c r="F288" s="1"/>
      <c r="G288" s="1"/>
      <c r="H288" s="1"/>
      <c r="I288" s="1"/>
      <c r="J288" s="1"/>
      <c r="Z288" s="17"/>
      <c r="AY288" s="17"/>
    </row>
    <row r="289" spans="1:51" x14ac:dyDescent="0.25">
      <c r="A289" s="17"/>
      <c r="B289" s="2"/>
      <c r="D289" s="1"/>
      <c r="E289" s="1"/>
      <c r="F289" s="1"/>
      <c r="G289" s="1"/>
      <c r="H289" s="1"/>
      <c r="I289" s="1"/>
      <c r="J289" s="1"/>
      <c r="Z289" s="17"/>
      <c r="AY289" s="17"/>
    </row>
    <row r="290" spans="1:51" x14ac:dyDescent="0.25">
      <c r="A290" s="17"/>
      <c r="B290" s="2"/>
      <c r="D290" s="1"/>
      <c r="E290" s="1"/>
      <c r="F290" s="1"/>
      <c r="G290" s="1"/>
      <c r="H290" s="1"/>
      <c r="I290" s="1"/>
      <c r="J290" s="1"/>
      <c r="Z290" s="17"/>
      <c r="AY290" s="17"/>
    </row>
    <row r="291" spans="1:51" x14ac:dyDescent="0.25">
      <c r="A291" s="17"/>
      <c r="B291" s="2"/>
      <c r="D291" s="1"/>
      <c r="E291" s="1"/>
      <c r="F291" s="1"/>
      <c r="G291" s="1"/>
      <c r="H291" s="1"/>
      <c r="I291" s="1"/>
      <c r="J291" s="1"/>
      <c r="Z291" s="17"/>
      <c r="AY291" s="17"/>
    </row>
    <row r="292" spans="1:51" x14ac:dyDescent="0.25">
      <c r="A292" s="17"/>
      <c r="B292" s="2"/>
      <c r="D292" s="1"/>
      <c r="E292" s="1"/>
      <c r="F292" s="1"/>
      <c r="G292" s="1"/>
      <c r="H292" s="1"/>
      <c r="I292" s="1"/>
      <c r="J292" s="1"/>
      <c r="Z292" s="17"/>
      <c r="AY292" s="17"/>
    </row>
    <row r="293" spans="1:51" x14ac:dyDescent="0.25">
      <c r="A293" s="17"/>
      <c r="B293" s="2"/>
      <c r="D293" s="1"/>
      <c r="E293" s="1"/>
      <c r="F293" s="1"/>
      <c r="G293" s="1"/>
      <c r="H293" s="1"/>
      <c r="I293" s="1"/>
      <c r="J293" s="1"/>
      <c r="Z293" s="17"/>
      <c r="AY293" s="17"/>
    </row>
    <row r="294" spans="1:51" x14ac:dyDescent="0.25">
      <c r="A294" s="17"/>
      <c r="B294" s="2"/>
      <c r="D294" s="1"/>
      <c r="E294" s="1"/>
      <c r="F294" s="1"/>
      <c r="G294" s="1"/>
      <c r="H294" s="1"/>
      <c r="I294" s="1"/>
      <c r="J294" s="1"/>
      <c r="Z294" s="17"/>
      <c r="AY294" s="17"/>
    </row>
    <row r="295" spans="1:51" x14ac:dyDescent="0.25">
      <c r="A295" s="17"/>
      <c r="B295" s="2"/>
      <c r="D295" s="1"/>
      <c r="E295" s="1"/>
      <c r="F295" s="1"/>
      <c r="G295" s="1"/>
      <c r="H295" s="1"/>
      <c r="I295" s="1"/>
      <c r="J295" s="1"/>
      <c r="Z295" s="17"/>
      <c r="AY295" s="17"/>
    </row>
    <row r="296" spans="1:51" x14ac:dyDescent="0.25">
      <c r="A296" s="17"/>
      <c r="B296" s="2"/>
      <c r="D296" s="1"/>
      <c r="E296" s="1"/>
      <c r="F296" s="1"/>
      <c r="G296" s="1"/>
      <c r="H296" s="1"/>
      <c r="I296" s="1"/>
      <c r="J296" s="1"/>
      <c r="Z296" s="17"/>
      <c r="AY296" s="17"/>
    </row>
    <row r="297" spans="1:5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</row>
    <row r="298" spans="1:51" ht="50.1" customHeight="1" x14ac:dyDescent="0.25">
      <c r="A298" s="17"/>
      <c r="B298" s="39" t="s">
        <v>64</v>
      </c>
      <c r="C298" s="39"/>
      <c r="D298" s="39"/>
      <c r="E298" s="40">
        <v>45627</v>
      </c>
      <c r="F298" s="40"/>
      <c r="G298" s="40"/>
      <c r="H298" s="40"/>
      <c r="I298" s="40"/>
      <c r="J298" s="40"/>
      <c r="K298" s="40"/>
      <c r="L298" s="40"/>
      <c r="M298" s="40"/>
      <c r="N298" s="44" t="s">
        <v>78</v>
      </c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6"/>
      <c r="AY298" s="17"/>
    </row>
    <row r="299" spans="1:51" ht="50.1" customHeight="1" x14ac:dyDescent="0.25">
      <c r="A299" s="17"/>
      <c r="B299" s="39" t="s">
        <v>37</v>
      </c>
      <c r="C299" s="39"/>
      <c r="D299" s="39"/>
      <c r="E299" s="43"/>
      <c r="F299" s="43"/>
      <c r="G299" s="43"/>
      <c r="H299" s="39" t="s">
        <v>25</v>
      </c>
      <c r="I299" s="39"/>
      <c r="J299" s="39"/>
      <c r="K299" s="42"/>
      <c r="L299" s="42"/>
      <c r="M299" s="42"/>
      <c r="N299" s="47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9"/>
      <c r="AY299" s="17"/>
    </row>
    <row r="300" spans="1:51" ht="50.1" customHeight="1" x14ac:dyDescent="0.25">
      <c r="A300" s="17"/>
      <c r="B300" s="39" t="s">
        <v>66</v>
      </c>
      <c r="C300" s="39"/>
      <c r="D300" s="39"/>
      <c r="E300" s="43"/>
      <c r="F300" s="43"/>
      <c r="G300" s="43"/>
      <c r="H300" s="39" t="s">
        <v>26</v>
      </c>
      <c r="I300" s="39"/>
      <c r="J300" s="39"/>
      <c r="K300" s="42"/>
      <c r="L300" s="42"/>
      <c r="M300" s="42"/>
      <c r="N300" s="50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2"/>
      <c r="AY300" s="17"/>
    </row>
    <row r="301" spans="1:5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</row>
    <row r="302" spans="1:51" x14ac:dyDescent="0.25">
      <c r="A302" s="17"/>
      <c r="Z302" s="17"/>
      <c r="AY302" s="17"/>
    </row>
    <row r="303" spans="1:51" x14ac:dyDescent="0.25">
      <c r="A303" s="17"/>
      <c r="B303" s="6"/>
      <c r="C303" s="6"/>
      <c r="D303" s="6"/>
      <c r="E303" s="6"/>
      <c r="F303" s="6"/>
      <c r="G303" s="6"/>
      <c r="H303" s="6"/>
      <c r="I303" s="6"/>
      <c r="J303" s="6"/>
      <c r="K303" s="6"/>
      <c r="Z303" s="17"/>
      <c r="AY303" s="17"/>
    </row>
    <row r="304" spans="1:51" x14ac:dyDescent="0.25">
      <c r="A304" s="17"/>
      <c r="B304" s="2"/>
      <c r="D304" s="1"/>
      <c r="E304" s="1"/>
      <c r="F304" s="1"/>
      <c r="G304" s="1"/>
      <c r="H304" s="1"/>
      <c r="I304" s="1"/>
      <c r="J304" s="1"/>
      <c r="Z304" s="17"/>
      <c r="AY304" s="17"/>
    </row>
    <row r="305" spans="1:51" x14ac:dyDescent="0.25">
      <c r="A305" s="17"/>
      <c r="B305" s="2"/>
      <c r="D305" s="1"/>
      <c r="E305" s="1"/>
      <c r="F305" s="1"/>
      <c r="G305" s="1"/>
      <c r="H305" s="1"/>
      <c r="I305" s="1"/>
      <c r="J305" s="1"/>
      <c r="Z305" s="17"/>
      <c r="AY305" s="17"/>
    </row>
    <row r="306" spans="1:51" x14ac:dyDescent="0.25">
      <c r="A306" s="17"/>
      <c r="B306" s="2"/>
      <c r="D306" s="1"/>
      <c r="E306" s="1"/>
      <c r="F306" s="1"/>
      <c r="G306" s="1"/>
      <c r="H306" s="1"/>
      <c r="I306" s="1"/>
      <c r="J306" s="1"/>
      <c r="Z306" s="17"/>
      <c r="AY306" s="17"/>
    </row>
    <row r="307" spans="1:51" x14ac:dyDescent="0.25">
      <c r="A307" s="17"/>
      <c r="B307" s="2"/>
      <c r="D307" s="1"/>
      <c r="E307" s="1"/>
      <c r="F307" s="1"/>
      <c r="G307" s="1"/>
      <c r="H307" s="1"/>
      <c r="I307" s="1"/>
      <c r="J307" s="1"/>
      <c r="Z307" s="17"/>
      <c r="AY307" s="17"/>
    </row>
    <row r="308" spans="1:51" x14ac:dyDescent="0.25">
      <c r="A308" s="17"/>
      <c r="B308" s="2"/>
      <c r="D308" s="1"/>
      <c r="E308" s="1"/>
      <c r="F308" s="1"/>
      <c r="G308" s="1"/>
      <c r="H308" s="1"/>
      <c r="I308" s="1"/>
      <c r="J308" s="1"/>
      <c r="Z308" s="17"/>
      <c r="AY308" s="17"/>
    </row>
    <row r="309" spans="1:51" x14ac:dyDescent="0.25">
      <c r="A309" s="17"/>
      <c r="B309" s="2"/>
      <c r="D309" s="1"/>
      <c r="E309" s="1"/>
      <c r="F309" s="1"/>
      <c r="G309" s="1"/>
      <c r="H309" s="1"/>
      <c r="I309" s="1"/>
      <c r="J309" s="1"/>
      <c r="Z309" s="17"/>
      <c r="AY309" s="17"/>
    </row>
    <row r="310" spans="1:51" x14ac:dyDescent="0.25">
      <c r="A310" s="17"/>
      <c r="B310" s="2"/>
      <c r="D310" s="1"/>
      <c r="E310" s="1"/>
      <c r="F310" s="1"/>
      <c r="G310" s="1"/>
      <c r="H310" s="1"/>
      <c r="I310" s="1"/>
      <c r="J310" s="1"/>
      <c r="Z310" s="17"/>
      <c r="AY310" s="17"/>
    </row>
    <row r="311" spans="1:51" x14ac:dyDescent="0.25">
      <c r="A311" s="17"/>
      <c r="B311" s="2"/>
      <c r="D311" s="1"/>
      <c r="E311" s="1"/>
      <c r="F311" s="1"/>
      <c r="G311" s="1"/>
      <c r="H311" s="1"/>
      <c r="I311" s="1"/>
      <c r="J311" s="1"/>
      <c r="Z311" s="17"/>
      <c r="AY311" s="17"/>
    </row>
    <row r="312" spans="1:51" x14ac:dyDescent="0.25">
      <c r="A312" s="17"/>
      <c r="B312" s="2"/>
      <c r="D312" s="1"/>
      <c r="E312" s="1"/>
      <c r="F312" s="1"/>
      <c r="G312" s="1"/>
      <c r="H312" s="1"/>
      <c r="I312" s="1"/>
      <c r="J312" s="1"/>
      <c r="Z312" s="17"/>
      <c r="AY312" s="17"/>
    </row>
    <row r="313" spans="1:51" x14ac:dyDescent="0.25">
      <c r="A313" s="17"/>
      <c r="B313" s="2"/>
      <c r="D313" s="1"/>
      <c r="E313" s="1"/>
      <c r="F313" s="1"/>
      <c r="G313" s="1"/>
      <c r="H313" s="1"/>
      <c r="I313" s="1"/>
      <c r="J313" s="1"/>
      <c r="Z313" s="17"/>
      <c r="AY313" s="17"/>
    </row>
    <row r="314" spans="1:51" x14ac:dyDescent="0.25">
      <c r="A314" s="17"/>
      <c r="B314" s="2"/>
      <c r="D314" s="1"/>
      <c r="E314" s="1"/>
      <c r="F314" s="1"/>
      <c r="G314" s="1"/>
      <c r="H314" s="1"/>
      <c r="I314" s="1"/>
      <c r="J314" s="1"/>
      <c r="Z314" s="17"/>
      <c r="AY314" s="17"/>
    </row>
    <row r="315" spans="1:51" x14ac:dyDescent="0.25">
      <c r="A315" s="17"/>
      <c r="B315" s="2"/>
      <c r="D315" s="1"/>
      <c r="E315" s="1"/>
      <c r="F315" s="1"/>
      <c r="G315" s="1"/>
      <c r="H315" s="1"/>
      <c r="I315" s="1"/>
      <c r="J315" s="1"/>
      <c r="Z315" s="17"/>
      <c r="AY315" s="17"/>
    </row>
    <row r="316" spans="1:51" x14ac:dyDescent="0.25">
      <c r="A316" s="17"/>
      <c r="B316" s="2"/>
      <c r="D316" s="1"/>
      <c r="E316" s="1"/>
      <c r="F316" s="1"/>
      <c r="G316" s="1"/>
      <c r="H316" s="1"/>
      <c r="I316" s="1"/>
      <c r="J316" s="1"/>
      <c r="Z316" s="17"/>
      <c r="AY316" s="17"/>
    </row>
    <row r="317" spans="1:51" x14ac:dyDescent="0.25">
      <c r="A317" s="17"/>
      <c r="B317" s="2"/>
      <c r="D317" s="1"/>
      <c r="E317" s="1"/>
      <c r="F317" s="1"/>
      <c r="G317" s="1"/>
      <c r="H317" s="1"/>
      <c r="I317" s="1"/>
      <c r="J317" s="1"/>
      <c r="Z317" s="17"/>
      <c r="AY317" s="17"/>
    </row>
    <row r="318" spans="1:51" x14ac:dyDescent="0.25">
      <c r="A318" s="17"/>
      <c r="B318" s="2"/>
      <c r="D318" s="1"/>
      <c r="E318" s="1"/>
      <c r="F318" s="1"/>
      <c r="G318" s="1"/>
      <c r="H318" s="1"/>
      <c r="I318" s="1"/>
      <c r="J318" s="1"/>
      <c r="Z318" s="17"/>
      <c r="AY318" s="17"/>
    </row>
    <row r="319" spans="1:51" x14ac:dyDescent="0.25">
      <c r="A319" s="17"/>
      <c r="B319" s="2"/>
      <c r="D319" s="1"/>
      <c r="E319" s="1"/>
      <c r="F319" s="1"/>
      <c r="G319" s="1"/>
      <c r="H319" s="1"/>
      <c r="I319" s="1"/>
      <c r="J319" s="1"/>
      <c r="Z319" s="17"/>
      <c r="AY319" s="17"/>
    </row>
    <row r="320" spans="1:51" x14ac:dyDescent="0.25">
      <c r="A320" s="17"/>
      <c r="B320" s="2"/>
      <c r="D320" s="1"/>
      <c r="E320" s="1"/>
      <c r="F320" s="1"/>
      <c r="G320" s="1"/>
      <c r="H320" s="1"/>
      <c r="I320" s="1"/>
      <c r="J320" s="1"/>
      <c r="Z320" s="17"/>
      <c r="AY320" s="17"/>
    </row>
    <row r="321" spans="1:51" x14ac:dyDescent="0.25">
      <c r="A321" s="17"/>
      <c r="B321" s="2"/>
      <c r="D321" s="1"/>
      <c r="E321" s="1"/>
      <c r="F321" s="1"/>
      <c r="G321" s="1"/>
      <c r="H321" s="1"/>
      <c r="I321" s="1"/>
      <c r="J321" s="1"/>
      <c r="Z321" s="17"/>
      <c r="AY321" s="17"/>
    </row>
    <row r="322" spans="1:51" x14ac:dyDescent="0.25">
      <c r="A322" s="17"/>
      <c r="B322" s="2"/>
      <c r="D322" s="1"/>
      <c r="E322" s="1"/>
      <c r="F322" s="1"/>
      <c r="G322" s="1"/>
      <c r="H322" s="1"/>
      <c r="I322" s="1"/>
      <c r="J322" s="1"/>
      <c r="Z322" s="17"/>
      <c r="AY322" s="17"/>
    </row>
    <row r="323" spans="1:51" x14ac:dyDescent="0.25">
      <c r="A323" s="17"/>
      <c r="B323" s="2"/>
      <c r="D323" s="1"/>
      <c r="E323" s="1"/>
      <c r="F323" s="1"/>
      <c r="G323" s="1"/>
      <c r="H323" s="1"/>
      <c r="I323" s="1"/>
      <c r="J323" s="1"/>
      <c r="Z323" s="17"/>
      <c r="AY323" s="17"/>
    </row>
    <row r="324" spans="1:51" x14ac:dyDescent="0.25">
      <c r="A324" s="17"/>
      <c r="B324" s="2"/>
      <c r="D324" s="1"/>
      <c r="E324" s="1"/>
      <c r="F324" s="1"/>
      <c r="G324" s="1"/>
      <c r="H324" s="1"/>
      <c r="I324" s="1"/>
      <c r="J324" s="1"/>
      <c r="Z324" s="17"/>
      <c r="AY324" s="17"/>
    </row>
    <row r="325" spans="1:51" x14ac:dyDescent="0.25">
      <c r="A325" s="17"/>
      <c r="B325" s="2"/>
      <c r="D325" s="1"/>
      <c r="E325" s="1"/>
      <c r="F325" s="1"/>
      <c r="G325" s="1"/>
      <c r="H325" s="1"/>
      <c r="I325" s="1"/>
      <c r="J325" s="1"/>
      <c r="Z325" s="17"/>
      <c r="AY325" s="17"/>
    </row>
    <row r="326" spans="1:51" x14ac:dyDescent="0.25">
      <c r="A326" s="17"/>
      <c r="B326" s="2"/>
      <c r="D326" s="1"/>
      <c r="E326" s="1"/>
      <c r="F326" s="1"/>
      <c r="G326" s="1"/>
      <c r="H326" s="1"/>
      <c r="I326" s="1"/>
      <c r="J326" s="1"/>
      <c r="Z326" s="17"/>
      <c r="AY326" s="17"/>
    </row>
    <row r="327" spans="1:51" x14ac:dyDescent="0.25">
      <c r="A327" s="17"/>
      <c r="B327" s="2"/>
      <c r="D327" s="1"/>
      <c r="E327" s="1"/>
      <c r="F327" s="1"/>
      <c r="G327" s="1"/>
      <c r="H327" s="1"/>
      <c r="I327" s="1"/>
      <c r="J327" s="1"/>
      <c r="Z327" s="17"/>
      <c r="AY327" s="17"/>
    </row>
    <row r="328" spans="1:51" x14ac:dyDescent="0.25">
      <c r="A328" s="17"/>
      <c r="B328" s="2"/>
      <c r="D328" s="1"/>
      <c r="E328" s="1"/>
      <c r="F328" s="1"/>
      <c r="G328" s="1"/>
      <c r="H328" s="1"/>
      <c r="I328" s="1"/>
      <c r="J328" s="1"/>
      <c r="Z328" s="17"/>
      <c r="AY328" s="17"/>
    </row>
    <row r="329" spans="1:51" x14ac:dyDescent="0.25">
      <c r="A329" s="17"/>
      <c r="B329" s="2"/>
      <c r="D329" s="1"/>
      <c r="E329" s="1"/>
      <c r="F329" s="1"/>
      <c r="G329" s="1"/>
      <c r="H329" s="1"/>
      <c r="I329" s="1"/>
      <c r="J329" s="1"/>
      <c r="Z329" s="17"/>
      <c r="AY329" s="17"/>
    </row>
    <row r="330" spans="1:51" x14ac:dyDescent="0.25">
      <c r="A330" s="17"/>
      <c r="B330" s="2"/>
      <c r="D330" s="1"/>
      <c r="E330" s="1"/>
      <c r="F330" s="1"/>
      <c r="G330" s="1"/>
      <c r="H330" s="1"/>
      <c r="I330" s="1"/>
      <c r="J330" s="1"/>
      <c r="Z330" s="17"/>
      <c r="AY330" s="17"/>
    </row>
    <row r="331" spans="1:51" x14ac:dyDescent="0.25">
      <c r="A331" s="17"/>
      <c r="B331" s="2"/>
      <c r="D331" s="1"/>
      <c r="E331" s="1"/>
      <c r="F331" s="1"/>
      <c r="G331" s="1"/>
      <c r="H331" s="1"/>
      <c r="I331" s="1"/>
      <c r="J331" s="1"/>
      <c r="Z331" s="17"/>
      <c r="AY331" s="17"/>
    </row>
    <row r="332" spans="1:51" x14ac:dyDescent="0.25">
      <c r="A332" s="17"/>
      <c r="B332" s="2"/>
      <c r="D332" s="1"/>
      <c r="E332" s="1"/>
      <c r="F332" s="1"/>
      <c r="G332" s="1"/>
      <c r="H332" s="1"/>
      <c r="I332" s="1"/>
      <c r="J332" s="1"/>
      <c r="Z332" s="17"/>
      <c r="AY332" s="17"/>
    </row>
    <row r="333" spans="1:51" x14ac:dyDescent="0.25">
      <c r="A333" s="17"/>
      <c r="B333" s="2"/>
      <c r="D333" s="1"/>
      <c r="E333" s="1"/>
      <c r="F333" s="1"/>
      <c r="G333" s="1"/>
      <c r="H333" s="1"/>
      <c r="I333" s="1"/>
      <c r="J333" s="1"/>
      <c r="Z333" s="17"/>
      <c r="AY333" s="17"/>
    </row>
    <row r="334" spans="1:5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</row>
    <row r="335" spans="1:51" ht="50.1" customHeight="1" x14ac:dyDescent="0.25">
      <c r="A335" s="17"/>
      <c r="B335" s="39" t="s">
        <v>64</v>
      </c>
      <c r="C335" s="39"/>
      <c r="D335" s="39"/>
      <c r="E335" s="40">
        <v>45627</v>
      </c>
      <c r="F335" s="40"/>
      <c r="G335" s="40"/>
      <c r="H335" s="40"/>
      <c r="I335" s="40"/>
      <c r="J335" s="40"/>
      <c r="K335" s="40"/>
      <c r="L335" s="40"/>
      <c r="M335" s="40"/>
      <c r="N335" s="44" t="s">
        <v>79</v>
      </c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6"/>
      <c r="AY335" s="17"/>
    </row>
    <row r="336" spans="1:51" ht="50.1" customHeight="1" x14ac:dyDescent="0.25">
      <c r="A336" s="17"/>
      <c r="B336" s="39" t="s">
        <v>37</v>
      </c>
      <c r="C336" s="39"/>
      <c r="D336" s="39"/>
      <c r="E336" s="43"/>
      <c r="F336" s="43"/>
      <c r="G336" s="43"/>
      <c r="H336" s="39" t="s">
        <v>25</v>
      </c>
      <c r="I336" s="39"/>
      <c r="J336" s="39"/>
      <c r="K336" s="42"/>
      <c r="L336" s="42"/>
      <c r="M336" s="42"/>
      <c r="N336" s="47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9"/>
      <c r="AY336" s="17"/>
    </row>
    <row r="337" spans="1:51" ht="50.1" customHeight="1" x14ac:dyDescent="0.25">
      <c r="A337" s="17"/>
      <c r="B337" s="39" t="s">
        <v>66</v>
      </c>
      <c r="C337" s="39"/>
      <c r="D337" s="39"/>
      <c r="E337" s="43"/>
      <c r="F337" s="43"/>
      <c r="G337" s="43"/>
      <c r="H337" s="39" t="s">
        <v>26</v>
      </c>
      <c r="I337" s="39"/>
      <c r="J337" s="39"/>
      <c r="K337" s="42"/>
      <c r="L337" s="42"/>
      <c r="M337" s="42"/>
      <c r="N337" s="50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2"/>
      <c r="AY337" s="17"/>
    </row>
    <row r="338" spans="1:5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</row>
    <row r="339" spans="1:51" x14ac:dyDescent="0.25">
      <c r="A339" s="17"/>
      <c r="Z339" s="17"/>
      <c r="AY339" s="17"/>
    </row>
    <row r="340" spans="1:51" x14ac:dyDescent="0.25">
      <c r="A340" s="17"/>
      <c r="B340" s="6"/>
      <c r="C340" s="6"/>
      <c r="D340" s="6"/>
      <c r="E340" s="6"/>
      <c r="F340" s="6"/>
      <c r="G340" s="6"/>
      <c r="H340" s="6"/>
      <c r="I340" s="6"/>
      <c r="J340" s="6"/>
      <c r="K340" s="6"/>
      <c r="Z340" s="17"/>
      <c r="AY340" s="17"/>
    </row>
    <row r="341" spans="1:51" x14ac:dyDescent="0.25">
      <c r="A341" s="17"/>
      <c r="B341" s="2"/>
      <c r="D341" s="1"/>
      <c r="E341" s="1"/>
      <c r="F341" s="1"/>
      <c r="G341" s="1"/>
      <c r="H341" s="1"/>
      <c r="I341" s="1"/>
      <c r="J341" s="1"/>
      <c r="Z341" s="17"/>
      <c r="AY341" s="17"/>
    </row>
    <row r="342" spans="1:51" x14ac:dyDescent="0.25">
      <c r="A342" s="17"/>
      <c r="B342" s="2"/>
      <c r="D342" s="1"/>
      <c r="E342" s="1"/>
      <c r="F342" s="1"/>
      <c r="G342" s="1"/>
      <c r="H342" s="1"/>
      <c r="I342" s="1"/>
      <c r="J342" s="1"/>
      <c r="Z342" s="17"/>
      <c r="AY342" s="17"/>
    </row>
    <row r="343" spans="1:51" x14ac:dyDescent="0.25">
      <c r="A343" s="17"/>
      <c r="B343" s="2"/>
      <c r="D343" s="1"/>
      <c r="E343" s="1"/>
      <c r="F343" s="1"/>
      <c r="G343" s="1"/>
      <c r="H343" s="1"/>
      <c r="I343" s="1"/>
      <c r="J343" s="1"/>
      <c r="Z343" s="17"/>
      <c r="AY343" s="17"/>
    </row>
    <row r="344" spans="1:51" x14ac:dyDescent="0.25">
      <c r="A344" s="17"/>
      <c r="B344" s="2"/>
      <c r="D344" s="1"/>
      <c r="E344" s="1"/>
      <c r="F344" s="1"/>
      <c r="G344" s="1"/>
      <c r="H344" s="1"/>
      <c r="I344" s="1"/>
      <c r="J344" s="1"/>
      <c r="Z344" s="17"/>
      <c r="AY344" s="17"/>
    </row>
    <row r="345" spans="1:51" x14ac:dyDescent="0.25">
      <c r="A345" s="17"/>
      <c r="B345" s="2"/>
      <c r="D345" s="1"/>
      <c r="E345" s="1"/>
      <c r="F345" s="1"/>
      <c r="G345" s="1"/>
      <c r="H345" s="1"/>
      <c r="I345" s="1"/>
      <c r="J345" s="1"/>
      <c r="Z345" s="17"/>
      <c r="AY345" s="17"/>
    </row>
    <row r="346" spans="1:51" x14ac:dyDescent="0.25">
      <c r="A346" s="17"/>
      <c r="B346" s="2"/>
      <c r="D346" s="1"/>
      <c r="E346" s="1"/>
      <c r="F346" s="1"/>
      <c r="G346" s="1"/>
      <c r="H346" s="1"/>
      <c r="I346" s="1"/>
      <c r="J346" s="1"/>
      <c r="Z346" s="17"/>
      <c r="AY346" s="17"/>
    </row>
    <row r="347" spans="1:51" x14ac:dyDescent="0.25">
      <c r="A347" s="17"/>
      <c r="B347" s="2"/>
      <c r="D347" s="1"/>
      <c r="E347" s="1"/>
      <c r="F347" s="1"/>
      <c r="G347" s="1"/>
      <c r="H347" s="1"/>
      <c r="I347" s="1"/>
      <c r="J347" s="1"/>
      <c r="Z347" s="17"/>
      <c r="AY347" s="17"/>
    </row>
    <row r="348" spans="1:51" x14ac:dyDescent="0.25">
      <c r="A348" s="17"/>
      <c r="B348" s="2"/>
      <c r="D348" s="1"/>
      <c r="E348" s="1"/>
      <c r="F348" s="1"/>
      <c r="G348" s="1"/>
      <c r="H348" s="1"/>
      <c r="I348" s="1"/>
      <c r="J348" s="1"/>
      <c r="Z348" s="17"/>
      <c r="AY348" s="17"/>
    </row>
    <row r="349" spans="1:51" x14ac:dyDescent="0.25">
      <c r="A349" s="17"/>
      <c r="B349" s="2"/>
      <c r="D349" s="1"/>
      <c r="E349" s="1"/>
      <c r="F349" s="1"/>
      <c r="G349" s="1"/>
      <c r="H349" s="1"/>
      <c r="I349" s="1"/>
      <c r="J349" s="1"/>
      <c r="Z349" s="17"/>
      <c r="AY349" s="17"/>
    </row>
    <row r="350" spans="1:51" x14ac:dyDescent="0.25">
      <c r="A350" s="17"/>
      <c r="B350" s="2"/>
      <c r="D350" s="1"/>
      <c r="E350" s="1"/>
      <c r="F350" s="1"/>
      <c r="G350" s="1"/>
      <c r="H350" s="1"/>
      <c r="I350" s="1"/>
      <c r="J350" s="1"/>
      <c r="Z350" s="17"/>
      <c r="AY350" s="17"/>
    </row>
    <row r="351" spans="1:51" x14ac:dyDescent="0.25">
      <c r="A351" s="17"/>
      <c r="B351" s="2"/>
      <c r="D351" s="1"/>
      <c r="E351" s="1"/>
      <c r="F351" s="1"/>
      <c r="G351" s="1"/>
      <c r="H351" s="1"/>
      <c r="I351" s="1"/>
      <c r="J351" s="1"/>
      <c r="Z351" s="17"/>
      <c r="AY351" s="17"/>
    </row>
    <row r="352" spans="1:51" x14ac:dyDescent="0.25">
      <c r="A352" s="17"/>
      <c r="B352" s="2"/>
      <c r="D352" s="1"/>
      <c r="E352" s="1"/>
      <c r="F352" s="1"/>
      <c r="G352" s="1"/>
      <c r="H352" s="1"/>
      <c r="I352" s="1"/>
      <c r="J352" s="1"/>
      <c r="Z352" s="17"/>
      <c r="AY352" s="17"/>
    </row>
    <row r="353" spans="1:51" x14ac:dyDescent="0.25">
      <c r="A353" s="17"/>
      <c r="B353" s="2"/>
      <c r="D353" s="1"/>
      <c r="E353" s="1"/>
      <c r="F353" s="1"/>
      <c r="G353" s="1"/>
      <c r="H353" s="1"/>
      <c r="I353" s="1"/>
      <c r="J353" s="1"/>
      <c r="Z353" s="17"/>
      <c r="AY353" s="17"/>
    </row>
    <row r="354" spans="1:51" x14ac:dyDescent="0.25">
      <c r="A354" s="17"/>
      <c r="B354" s="2"/>
      <c r="D354" s="1"/>
      <c r="E354" s="1"/>
      <c r="F354" s="1"/>
      <c r="G354" s="1"/>
      <c r="H354" s="1"/>
      <c r="I354" s="1"/>
      <c r="J354" s="1"/>
      <c r="Z354" s="17"/>
      <c r="AY354" s="17"/>
    </row>
    <row r="355" spans="1:51" x14ac:dyDescent="0.25">
      <c r="A355" s="17"/>
      <c r="B355" s="2"/>
      <c r="D355" s="1"/>
      <c r="E355" s="1"/>
      <c r="F355" s="1"/>
      <c r="G355" s="1"/>
      <c r="H355" s="1"/>
      <c r="I355" s="1"/>
      <c r="J355" s="1"/>
      <c r="Z355" s="17"/>
      <c r="AY355" s="17"/>
    </row>
    <row r="356" spans="1:51" x14ac:dyDescent="0.25">
      <c r="A356" s="17"/>
      <c r="B356" s="2"/>
      <c r="D356" s="1"/>
      <c r="E356" s="1"/>
      <c r="F356" s="1"/>
      <c r="G356" s="1"/>
      <c r="H356" s="1"/>
      <c r="I356" s="1"/>
      <c r="J356" s="1"/>
      <c r="Z356" s="17"/>
      <c r="AY356" s="17"/>
    </row>
    <row r="357" spans="1:51" x14ac:dyDescent="0.25">
      <c r="A357" s="17"/>
      <c r="B357" s="2"/>
      <c r="D357" s="1"/>
      <c r="E357" s="1"/>
      <c r="F357" s="1"/>
      <c r="G357" s="1"/>
      <c r="H357" s="1"/>
      <c r="I357" s="1"/>
      <c r="J357" s="1"/>
      <c r="Z357" s="17"/>
      <c r="AY357" s="17"/>
    </row>
    <row r="358" spans="1:51" x14ac:dyDescent="0.25">
      <c r="A358" s="17"/>
      <c r="B358" s="2"/>
      <c r="D358" s="1"/>
      <c r="E358" s="1"/>
      <c r="F358" s="1"/>
      <c r="G358" s="1"/>
      <c r="H358" s="1"/>
      <c r="I358" s="1"/>
      <c r="J358" s="1"/>
      <c r="Z358" s="17"/>
      <c r="AY358" s="17"/>
    </row>
    <row r="359" spans="1:51" x14ac:dyDescent="0.25">
      <c r="A359" s="17"/>
      <c r="B359" s="2"/>
      <c r="D359" s="1"/>
      <c r="E359" s="1"/>
      <c r="F359" s="1"/>
      <c r="G359" s="1"/>
      <c r="H359" s="1"/>
      <c r="I359" s="1"/>
      <c r="J359" s="1"/>
      <c r="Z359" s="17"/>
      <c r="AY359" s="17"/>
    </row>
    <row r="360" spans="1:51" x14ac:dyDescent="0.25">
      <c r="A360" s="17"/>
      <c r="B360" s="2"/>
      <c r="D360" s="1"/>
      <c r="E360" s="1"/>
      <c r="F360" s="1"/>
      <c r="G360" s="1"/>
      <c r="H360" s="1"/>
      <c r="I360" s="1"/>
      <c r="J360" s="1"/>
      <c r="Z360" s="17"/>
      <c r="AY360" s="17"/>
    </row>
    <row r="361" spans="1:51" x14ac:dyDescent="0.25">
      <c r="A361" s="17"/>
      <c r="B361" s="2"/>
      <c r="D361" s="1"/>
      <c r="E361" s="1"/>
      <c r="F361" s="1"/>
      <c r="G361" s="1"/>
      <c r="H361" s="1"/>
      <c r="I361" s="1"/>
      <c r="J361" s="1"/>
      <c r="Z361" s="17"/>
      <c r="AY361" s="17"/>
    </row>
    <row r="362" spans="1:51" x14ac:dyDescent="0.25">
      <c r="A362" s="17"/>
      <c r="B362" s="2"/>
      <c r="D362" s="1"/>
      <c r="E362" s="1"/>
      <c r="F362" s="1"/>
      <c r="G362" s="1"/>
      <c r="H362" s="1"/>
      <c r="I362" s="1"/>
      <c r="J362" s="1"/>
      <c r="Z362" s="17"/>
      <c r="AY362" s="17"/>
    </row>
    <row r="363" spans="1:51" x14ac:dyDescent="0.25">
      <c r="A363" s="17"/>
      <c r="B363" s="2"/>
      <c r="D363" s="1"/>
      <c r="E363" s="1"/>
      <c r="F363" s="1"/>
      <c r="G363" s="1"/>
      <c r="H363" s="1"/>
      <c r="I363" s="1"/>
      <c r="J363" s="1"/>
      <c r="Z363" s="17"/>
      <c r="AY363" s="17"/>
    </row>
    <row r="364" spans="1:51" x14ac:dyDescent="0.25">
      <c r="A364" s="17"/>
      <c r="B364" s="2"/>
      <c r="D364" s="1"/>
      <c r="E364" s="1"/>
      <c r="F364" s="1"/>
      <c r="G364" s="1"/>
      <c r="H364" s="1"/>
      <c r="I364" s="1"/>
      <c r="J364" s="1"/>
      <c r="Z364" s="17"/>
      <c r="AY364" s="17"/>
    </row>
    <row r="365" spans="1:51" x14ac:dyDescent="0.25">
      <c r="A365" s="17"/>
      <c r="B365" s="2"/>
      <c r="D365" s="1"/>
      <c r="E365" s="1"/>
      <c r="F365" s="1"/>
      <c r="G365" s="1"/>
      <c r="H365" s="1"/>
      <c r="I365" s="1"/>
      <c r="J365" s="1"/>
      <c r="Z365" s="17"/>
      <c r="AY365" s="17"/>
    </row>
    <row r="366" spans="1:51" x14ac:dyDescent="0.25">
      <c r="A366" s="17"/>
      <c r="B366" s="2"/>
      <c r="D366" s="1"/>
      <c r="E366" s="1"/>
      <c r="F366" s="1"/>
      <c r="G366" s="1"/>
      <c r="H366" s="1"/>
      <c r="I366" s="1"/>
      <c r="J366" s="1"/>
      <c r="Z366" s="17"/>
      <c r="AY366" s="17"/>
    </row>
    <row r="367" spans="1:51" x14ac:dyDescent="0.25">
      <c r="A367" s="17"/>
      <c r="B367" s="2"/>
      <c r="D367" s="1"/>
      <c r="E367" s="1"/>
      <c r="F367" s="1"/>
      <c r="G367" s="1"/>
      <c r="H367" s="1"/>
      <c r="I367" s="1"/>
      <c r="J367" s="1"/>
      <c r="Z367" s="17"/>
      <c r="AY367" s="17"/>
    </row>
    <row r="368" spans="1:51" x14ac:dyDescent="0.25">
      <c r="A368" s="17"/>
      <c r="B368" s="2"/>
      <c r="D368" s="1"/>
      <c r="E368" s="1"/>
      <c r="F368" s="1"/>
      <c r="G368" s="1"/>
      <c r="H368" s="1"/>
      <c r="I368" s="1"/>
      <c r="J368" s="1"/>
      <c r="Z368" s="17"/>
      <c r="AY368" s="17"/>
    </row>
    <row r="369" spans="1:51" x14ac:dyDescent="0.25">
      <c r="A369" s="17"/>
      <c r="B369" s="2"/>
      <c r="D369" s="1"/>
      <c r="E369" s="1"/>
      <c r="F369" s="1"/>
      <c r="G369" s="1"/>
      <c r="H369" s="1"/>
      <c r="I369" s="1"/>
      <c r="J369" s="1"/>
      <c r="Z369" s="17"/>
      <c r="AY369" s="17"/>
    </row>
    <row r="370" spans="1:51" x14ac:dyDescent="0.25">
      <c r="A370" s="17"/>
      <c r="B370" s="2"/>
      <c r="D370" s="1"/>
      <c r="E370" s="1"/>
      <c r="F370" s="1"/>
      <c r="G370" s="1"/>
      <c r="H370" s="1"/>
      <c r="I370" s="1"/>
      <c r="J370" s="1"/>
      <c r="Z370" s="17"/>
      <c r="AY370" s="17"/>
    </row>
    <row r="371" spans="1:5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</row>
    <row r="372" spans="1:51" ht="50.1" customHeight="1" x14ac:dyDescent="0.25">
      <c r="A372" s="17"/>
      <c r="B372" s="39" t="s">
        <v>64</v>
      </c>
      <c r="C372" s="39"/>
      <c r="D372" s="39"/>
      <c r="E372" s="40">
        <v>45413</v>
      </c>
      <c r="F372" s="40"/>
      <c r="G372" s="40"/>
      <c r="H372" s="40"/>
      <c r="I372" s="40"/>
      <c r="J372" s="40"/>
      <c r="K372" s="40"/>
      <c r="L372" s="40"/>
      <c r="M372" s="40"/>
      <c r="N372" s="44" t="s">
        <v>80</v>
      </c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45"/>
      <c r="AX372" s="46"/>
      <c r="AY372" s="17"/>
    </row>
    <row r="373" spans="1:51" ht="50.1" customHeight="1" x14ac:dyDescent="0.25">
      <c r="A373" s="17"/>
      <c r="B373" s="39" t="s">
        <v>37</v>
      </c>
      <c r="C373" s="39"/>
      <c r="D373" s="39"/>
      <c r="E373" s="41">
        <f>'V11'!B1</f>
        <v>2.1578947368421053</v>
      </c>
      <c r="F373" s="41"/>
      <c r="G373" s="41"/>
      <c r="H373" s="39" t="s">
        <v>25</v>
      </c>
      <c r="I373" s="39"/>
      <c r="J373" s="39"/>
      <c r="K373" s="42"/>
      <c r="L373" s="42"/>
      <c r="M373" s="42"/>
      <c r="N373" s="47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9"/>
      <c r="AY373" s="17"/>
    </row>
    <row r="374" spans="1:51" ht="50.1" customHeight="1" x14ac:dyDescent="0.25">
      <c r="A374" s="17"/>
      <c r="B374" s="39" t="s">
        <v>66</v>
      </c>
      <c r="C374" s="39"/>
      <c r="D374" s="39"/>
      <c r="E374" s="41">
        <f>'V11'!B2*3</f>
        <v>5.1503704516737123</v>
      </c>
      <c r="F374" s="41"/>
      <c r="G374" s="41"/>
      <c r="H374" s="39" t="s">
        <v>26</v>
      </c>
      <c r="I374" s="39"/>
      <c r="J374" s="39"/>
      <c r="K374" s="42"/>
      <c r="L374" s="42"/>
      <c r="M374" s="42"/>
      <c r="N374" s="50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2"/>
      <c r="AY374" s="17"/>
    </row>
    <row r="375" spans="1:5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</row>
    <row r="376" spans="1:51" x14ac:dyDescent="0.25">
      <c r="A376" s="17"/>
      <c r="B376" t="s">
        <v>67</v>
      </c>
      <c r="K376" t="s">
        <v>68</v>
      </c>
      <c r="Z376" s="17"/>
      <c r="AY376" s="17"/>
    </row>
    <row r="377" spans="1:51" x14ac:dyDescent="0.25">
      <c r="A377" s="17"/>
      <c r="B377" s="6" t="s">
        <v>69</v>
      </c>
      <c r="C377" s="6" t="s">
        <v>70</v>
      </c>
      <c r="D377" s="6" t="s">
        <v>34</v>
      </c>
      <c r="E377" s="6" t="s">
        <v>35</v>
      </c>
      <c r="F377" s="6" t="s">
        <v>36</v>
      </c>
      <c r="G377" s="6" t="s">
        <v>37</v>
      </c>
      <c r="H377" s="6" t="s">
        <v>38</v>
      </c>
      <c r="I377" s="6" t="s">
        <v>39</v>
      </c>
      <c r="J377" s="6" t="s">
        <v>40</v>
      </c>
      <c r="K377" s="6" t="s">
        <v>70</v>
      </c>
      <c r="L377" t="s">
        <v>34</v>
      </c>
      <c r="M377" t="s">
        <v>35</v>
      </c>
      <c r="N377" t="s">
        <v>36</v>
      </c>
      <c r="O377" t="s">
        <v>37</v>
      </c>
      <c r="P377" t="s">
        <v>38</v>
      </c>
      <c r="Q377" t="s">
        <v>39</v>
      </c>
      <c r="R377" t="s">
        <v>40</v>
      </c>
      <c r="Z377" s="17"/>
      <c r="AY377" s="17"/>
    </row>
    <row r="378" spans="1:51" x14ac:dyDescent="0.25">
      <c r="A378" s="17"/>
      <c r="B378" s="2">
        <f t="shared" ref="B378:B405" si="7">EDATE(B379,-1)</f>
        <v>44531</v>
      </c>
      <c r="C378" t="str">
        <f>IFERROR(VLOOKUP($B378,'V11'!$A$9:$J$1048576,2,1),"")</f>
        <v/>
      </c>
      <c r="D378" s="1" t="str">
        <f>IFERROR(VLOOKUP($B378,'V11'!$A$8:$J$29,4,1),"")</f>
        <v/>
      </c>
      <c r="E378" s="1" t="str">
        <f>IFERROR(VLOOKUP($B378,'V11'!$A$8:$J$29,5,1),"")</f>
        <v/>
      </c>
      <c r="F378" s="1" t="str">
        <f>IFERROR(VLOOKUP($B378,'V11'!$A$8:$J$29,6,1),"")</f>
        <v/>
      </c>
      <c r="G378" s="1" t="str">
        <f>IFERROR(VLOOKUP($B378,'V11'!$A$8:$J$29,7,1),"")</f>
        <v/>
      </c>
      <c r="H378" s="1" t="str">
        <f>IFERROR(VLOOKUP($B378,'V11'!$A$8:$J$29,8,1),"")</f>
        <v/>
      </c>
      <c r="I378" s="1" t="str">
        <f>IFERROR(VLOOKUP($B378,'V11'!$A$8:$J$29,9,1),"")</f>
        <v/>
      </c>
      <c r="J378" s="1" t="str">
        <f>IFERROR(VLOOKUP($B378,'V11'!$A$8:$J$29,10,1),"")</f>
        <v/>
      </c>
      <c r="K378" t="str">
        <f>IFERROR(VLOOKUP($B378,'V11'!$A$9:$Q$1048576,3,1),"")</f>
        <v/>
      </c>
      <c r="L378" t="str">
        <f>IFERROR(VLOOKUP($B378,'V11'!$A$8:$Q$29,11,1),"")</f>
        <v/>
      </c>
      <c r="M378" t="str">
        <f>IFERROR(VLOOKUP($B378,'V11'!$A$8:$Q$29,12,1),"")</f>
        <v/>
      </c>
      <c r="N378" t="str">
        <f>IFERROR(VLOOKUP($B378,'V11'!$A$8:$Q$29,13,1),"")</f>
        <v/>
      </c>
      <c r="O378" t="str">
        <f>IFERROR(VLOOKUP($B378,'V11'!$A$8:$Q$29,14,1),"")</f>
        <v/>
      </c>
      <c r="P378" t="str">
        <f>IFERROR(VLOOKUP($B378,'V11'!$A$8:$Q$29,15,1),"")</f>
        <v/>
      </c>
      <c r="Q378" t="str">
        <f>IFERROR(VLOOKUP($B378,'V11'!$A$8:$Q$29,16,1),"")</f>
        <v/>
      </c>
      <c r="R378" t="str">
        <f>IFERROR(VLOOKUP($B378,'V11'!$A$8:$Q$29,17,1),"")</f>
        <v/>
      </c>
      <c r="Z378" s="17"/>
      <c r="AY378" s="17"/>
    </row>
    <row r="379" spans="1:51" x14ac:dyDescent="0.25">
      <c r="A379" s="17"/>
      <c r="B379" s="2">
        <f t="shared" si="7"/>
        <v>44562</v>
      </c>
      <c r="C379" t="str">
        <f>IFERROR(VLOOKUP($B379,'V11'!$A$9:$J$1048576,2,1),"")</f>
        <v/>
      </c>
      <c r="D379" s="1" t="str">
        <f>IFERROR(VLOOKUP($B379,'V11'!$A$8:$J$29,4,1),"")</f>
        <v/>
      </c>
      <c r="E379" s="1" t="str">
        <f>IFERROR(VLOOKUP($B379,'V11'!$A$8:$J$29,5,1),"")</f>
        <v/>
      </c>
      <c r="F379" s="1" t="str">
        <f>IFERROR(VLOOKUP($B379,'V11'!$A$8:$J$29,6,1),"")</f>
        <v/>
      </c>
      <c r="G379" s="1" t="str">
        <f>IFERROR(VLOOKUP($B379,'V11'!$A$8:$J$29,7,1),"")</f>
        <v/>
      </c>
      <c r="H379" s="1" t="str">
        <f>IFERROR(VLOOKUP($B379,'V11'!$A$8:$J$29,8,1),"")</f>
        <v/>
      </c>
      <c r="I379" s="1" t="str">
        <f>IFERROR(VLOOKUP($B379,'V11'!$A$8:$J$29,9,1),"")</f>
        <v/>
      </c>
      <c r="J379" s="1" t="str">
        <f>IFERROR(VLOOKUP($B379,'V11'!$A$8:$J$29,10,1),"")</f>
        <v/>
      </c>
      <c r="K379" t="str">
        <f>IFERROR(VLOOKUP($B379,'V11'!$A$9:$Q$1048576,3,1),"")</f>
        <v/>
      </c>
      <c r="L379" t="str">
        <f>IFERROR(VLOOKUP($B379,'V11'!$A$8:$Q$29,11,1),"")</f>
        <v/>
      </c>
      <c r="M379" t="str">
        <f>IFERROR(VLOOKUP($B379,'V11'!$A$8:$Q$29,12,1),"")</f>
        <v/>
      </c>
      <c r="N379" t="str">
        <f>IFERROR(VLOOKUP($B379,'V11'!$A$8:$Q$29,13,1),"")</f>
        <v/>
      </c>
      <c r="O379" t="str">
        <f>IFERROR(VLOOKUP($B379,'V11'!$A$8:$Q$29,14,1),"")</f>
        <v/>
      </c>
      <c r="P379" t="str">
        <f>IFERROR(VLOOKUP($B379,'V11'!$A$8:$Q$29,15,1),"")</f>
        <v/>
      </c>
      <c r="Q379" t="str">
        <f>IFERROR(VLOOKUP($B379,'V11'!$A$8:$Q$29,16,1),"")</f>
        <v/>
      </c>
      <c r="R379" t="str">
        <f>IFERROR(VLOOKUP($B379,'V11'!$A$8:$Q$29,17,1),"")</f>
        <v/>
      </c>
      <c r="Z379" s="17"/>
      <c r="AY379" s="17"/>
    </row>
    <row r="380" spans="1:51" x14ac:dyDescent="0.25">
      <c r="A380" s="17"/>
      <c r="B380" s="2">
        <f t="shared" si="7"/>
        <v>44593</v>
      </c>
      <c r="C380" t="str">
        <f>IFERROR(VLOOKUP($B380,'V11'!$A$9:$J$1048576,2,1),"")</f>
        <v/>
      </c>
      <c r="D380" s="1" t="str">
        <f>IFERROR(VLOOKUP($B380,'V11'!$A$8:$J$29,4,1),"")</f>
        <v/>
      </c>
      <c r="E380" s="1" t="str">
        <f>IFERROR(VLOOKUP($B380,'V11'!$A$8:$J$29,5,1),"")</f>
        <v/>
      </c>
      <c r="F380" s="1" t="str">
        <f>IFERROR(VLOOKUP($B380,'V11'!$A$8:$J$29,6,1),"")</f>
        <v/>
      </c>
      <c r="G380" s="1" t="str">
        <f>IFERROR(VLOOKUP($B380,'V11'!$A$8:$J$29,7,1),"")</f>
        <v/>
      </c>
      <c r="H380" s="1" t="str">
        <f>IFERROR(VLOOKUP($B380,'V11'!$A$8:$J$29,8,1),"")</f>
        <v/>
      </c>
      <c r="I380" s="1" t="str">
        <f>IFERROR(VLOOKUP($B380,'V11'!$A$8:$J$29,9,1),"")</f>
        <v/>
      </c>
      <c r="J380" s="1" t="str">
        <f>IFERROR(VLOOKUP($B380,'V11'!$A$8:$J$29,10,1),"")</f>
        <v/>
      </c>
      <c r="K380" t="str">
        <f>IFERROR(VLOOKUP($B380,'V11'!$A$9:$Q$1048576,3,1),"")</f>
        <v/>
      </c>
      <c r="L380" t="str">
        <f>IFERROR(VLOOKUP($B380,'V11'!$A$8:$Q$29,11,1),"")</f>
        <v/>
      </c>
      <c r="M380" t="str">
        <f>IFERROR(VLOOKUP($B380,'V11'!$A$8:$Q$29,12,1),"")</f>
        <v/>
      </c>
      <c r="N380" t="str">
        <f>IFERROR(VLOOKUP($B380,'V11'!$A$8:$Q$29,13,1),"")</f>
        <v/>
      </c>
      <c r="O380" t="str">
        <f>IFERROR(VLOOKUP($B380,'V11'!$A$8:$Q$29,14,1),"")</f>
        <v/>
      </c>
      <c r="P380" t="str">
        <f>IFERROR(VLOOKUP($B380,'V11'!$A$8:$Q$29,15,1),"")</f>
        <v/>
      </c>
      <c r="Q380" t="str">
        <f>IFERROR(VLOOKUP($B380,'V11'!$A$8:$Q$29,16,1),"")</f>
        <v/>
      </c>
      <c r="R380" t="str">
        <f>IFERROR(VLOOKUP($B380,'V11'!$A$8:$Q$29,17,1),"")</f>
        <v/>
      </c>
      <c r="Z380" s="17"/>
      <c r="AY380" s="17"/>
    </row>
    <row r="381" spans="1:51" x14ac:dyDescent="0.25">
      <c r="A381" s="17"/>
      <c r="B381" s="2">
        <f t="shared" si="7"/>
        <v>44621</v>
      </c>
      <c r="C381" t="str">
        <f>IFERROR(VLOOKUP($B381,'V11'!$A$9:$J$1048576,2,1),"")</f>
        <v/>
      </c>
      <c r="D381" s="1" t="str">
        <f>IFERROR(VLOOKUP($B381,'V11'!$A$8:$J$29,4,1),"")</f>
        <v/>
      </c>
      <c r="E381" s="1" t="str">
        <f>IFERROR(VLOOKUP($B381,'V11'!$A$8:$J$29,5,1),"")</f>
        <v/>
      </c>
      <c r="F381" s="1" t="str">
        <f>IFERROR(VLOOKUP($B381,'V11'!$A$8:$J$29,6,1),"")</f>
        <v/>
      </c>
      <c r="G381" s="1" t="str">
        <f>IFERROR(VLOOKUP($B381,'V11'!$A$8:$J$29,7,1),"")</f>
        <v/>
      </c>
      <c r="H381" s="1" t="str">
        <f>IFERROR(VLOOKUP($B381,'V11'!$A$8:$J$29,8,1),"")</f>
        <v/>
      </c>
      <c r="I381" s="1" t="str">
        <f>IFERROR(VLOOKUP($B381,'V11'!$A$8:$J$29,9,1),"")</f>
        <v/>
      </c>
      <c r="J381" s="1" t="str">
        <f>IFERROR(VLOOKUP($B381,'V11'!$A$8:$J$29,10,1),"")</f>
        <v/>
      </c>
      <c r="K381" t="str">
        <f>IFERROR(VLOOKUP($B381,'V11'!$A$9:$Q$1048576,3,1),"")</f>
        <v/>
      </c>
      <c r="L381" t="str">
        <f>IFERROR(VLOOKUP($B381,'V11'!$A$8:$Q$29,11,1),"")</f>
        <v/>
      </c>
      <c r="M381" t="str">
        <f>IFERROR(VLOOKUP($B381,'V11'!$A$8:$Q$29,12,1),"")</f>
        <v/>
      </c>
      <c r="N381" t="str">
        <f>IFERROR(VLOOKUP($B381,'V11'!$A$8:$Q$29,13,1),"")</f>
        <v/>
      </c>
      <c r="O381" t="str">
        <f>IFERROR(VLOOKUP($B381,'V11'!$A$8:$Q$29,14,1),"")</f>
        <v/>
      </c>
      <c r="P381" t="str">
        <f>IFERROR(VLOOKUP($B381,'V11'!$A$8:$Q$29,15,1),"")</f>
        <v/>
      </c>
      <c r="Q381" t="str">
        <f>IFERROR(VLOOKUP($B381,'V11'!$A$8:$Q$29,16,1),"")</f>
        <v/>
      </c>
      <c r="R381" t="str">
        <f>IFERROR(VLOOKUP($B381,'V11'!$A$8:$Q$29,17,1),"")</f>
        <v/>
      </c>
      <c r="Z381" s="17"/>
      <c r="AY381" s="17"/>
    </row>
    <row r="382" spans="1:51" x14ac:dyDescent="0.25">
      <c r="A382" s="17"/>
      <c r="B382" s="2">
        <f t="shared" si="7"/>
        <v>44652</v>
      </c>
      <c r="C382" t="str">
        <f>IFERROR(VLOOKUP($B382,'V11'!$A$9:$J$1048576,2,1),"")</f>
        <v/>
      </c>
      <c r="D382" s="1" t="str">
        <f>IFERROR(VLOOKUP($B382,'V11'!$A$8:$J$29,4,1),"")</f>
        <v/>
      </c>
      <c r="E382" s="1" t="str">
        <f>IFERROR(VLOOKUP($B382,'V11'!$A$8:$J$29,5,1),"")</f>
        <v/>
      </c>
      <c r="F382" s="1" t="str">
        <f>IFERROR(VLOOKUP($B382,'V11'!$A$8:$J$29,6,1),"")</f>
        <v/>
      </c>
      <c r="G382" s="1" t="str">
        <f>IFERROR(VLOOKUP($B382,'V11'!$A$8:$J$29,7,1),"")</f>
        <v/>
      </c>
      <c r="H382" s="1" t="str">
        <f>IFERROR(VLOOKUP($B382,'V11'!$A$8:$J$29,8,1),"")</f>
        <v/>
      </c>
      <c r="I382" s="1" t="str">
        <f>IFERROR(VLOOKUP($B382,'V11'!$A$8:$J$29,9,1),"")</f>
        <v/>
      </c>
      <c r="J382" s="1" t="str">
        <f>IFERROR(VLOOKUP($B382,'V11'!$A$8:$J$29,10,1),"")</f>
        <v/>
      </c>
      <c r="K382" t="str">
        <f>IFERROR(VLOOKUP($B382,'V11'!$A$9:$Q$1048576,3,1),"")</f>
        <v/>
      </c>
      <c r="L382" t="str">
        <f>IFERROR(VLOOKUP($B382,'V11'!$A$8:$Q$29,11,1),"")</f>
        <v/>
      </c>
      <c r="M382" t="str">
        <f>IFERROR(VLOOKUP($B382,'V11'!$A$8:$Q$29,12,1),"")</f>
        <v/>
      </c>
      <c r="N382" t="str">
        <f>IFERROR(VLOOKUP($B382,'V11'!$A$8:$Q$29,13,1),"")</f>
        <v/>
      </c>
      <c r="O382" t="str">
        <f>IFERROR(VLOOKUP($B382,'V11'!$A$8:$Q$29,14,1),"")</f>
        <v/>
      </c>
      <c r="P382" t="str">
        <f>IFERROR(VLOOKUP($B382,'V11'!$A$8:$Q$29,15,1),"")</f>
        <v/>
      </c>
      <c r="Q382" t="str">
        <f>IFERROR(VLOOKUP($B382,'V11'!$A$8:$Q$29,16,1),"")</f>
        <v/>
      </c>
      <c r="R382" t="str">
        <f>IFERROR(VLOOKUP($B382,'V11'!$A$8:$Q$29,17,1),"")</f>
        <v/>
      </c>
      <c r="Z382" s="17"/>
      <c r="AY382" s="17"/>
    </row>
    <row r="383" spans="1:51" x14ac:dyDescent="0.25">
      <c r="A383" s="17"/>
      <c r="B383" s="2">
        <f t="shared" si="7"/>
        <v>44682</v>
      </c>
      <c r="C383" t="str">
        <f>IFERROR(VLOOKUP($B383,'V11'!$A$9:$J$1048576,2,1),"")</f>
        <v/>
      </c>
      <c r="D383" s="1" t="str">
        <f>IFERROR(VLOOKUP($B383,'V11'!$A$8:$J$29,4,1),"")</f>
        <v/>
      </c>
      <c r="E383" s="1" t="str">
        <f>IFERROR(VLOOKUP($B383,'V11'!$A$8:$J$29,5,1),"")</f>
        <v/>
      </c>
      <c r="F383" s="1" t="str">
        <f>IFERROR(VLOOKUP($B383,'V11'!$A$8:$J$29,6,1),"")</f>
        <v/>
      </c>
      <c r="G383" s="1" t="str">
        <f>IFERROR(VLOOKUP($B383,'V11'!$A$8:$J$29,7,1),"")</f>
        <v/>
      </c>
      <c r="H383" s="1" t="str">
        <f>IFERROR(VLOOKUP($B383,'V11'!$A$8:$J$29,8,1),"")</f>
        <v/>
      </c>
      <c r="I383" s="1" t="str">
        <f>IFERROR(VLOOKUP($B383,'V11'!$A$8:$J$29,9,1),"")</f>
        <v/>
      </c>
      <c r="J383" s="1" t="str">
        <f>IFERROR(VLOOKUP($B383,'V11'!$A$8:$J$29,10,1),"")</f>
        <v/>
      </c>
      <c r="K383" t="str">
        <f>IFERROR(VLOOKUP($B383,'V11'!$A$9:$Q$1048576,3,1),"")</f>
        <v/>
      </c>
      <c r="L383" t="str">
        <f>IFERROR(VLOOKUP($B383,'V11'!$A$8:$Q$29,11,1),"")</f>
        <v/>
      </c>
      <c r="M383" t="str">
        <f>IFERROR(VLOOKUP($B383,'V11'!$A$8:$Q$29,12,1),"")</f>
        <v/>
      </c>
      <c r="N383" t="str">
        <f>IFERROR(VLOOKUP($B383,'V11'!$A$8:$Q$29,13,1),"")</f>
        <v/>
      </c>
      <c r="O383" t="str">
        <f>IFERROR(VLOOKUP($B383,'V11'!$A$8:$Q$29,14,1),"")</f>
        <v/>
      </c>
      <c r="P383" t="str">
        <f>IFERROR(VLOOKUP($B383,'V11'!$A$8:$Q$29,15,1),"")</f>
        <v/>
      </c>
      <c r="Q383" t="str">
        <f>IFERROR(VLOOKUP($B383,'V11'!$A$8:$Q$29,16,1),"")</f>
        <v/>
      </c>
      <c r="R383" t="str">
        <f>IFERROR(VLOOKUP($B383,'V11'!$A$8:$Q$29,17,1),"")</f>
        <v/>
      </c>
      <c r="Z383" s="17"/>
      <c r="AY383" s="17"/>
    </row>
    <row r="384" spans="1:51" x14ac:dyDescent="0.25">
      <c r="A384" s="17"/>
      <c r="B384" s="2">
        <f t="shared" si="7"/>
        <v>44713</v>
      </c>
      <c r="C384" t="str">
        <f>IFERROR(VLOOKUP($B384,'V11'!$A$9:$J$1048576,2,1),"")</f>
        <v/>
      </c>
      <c r="D384" s="1" t="str">
        <f>IFERROR(VLOOKUP($B384,'V11'!$A$8:$J$29,4,1),"")</f>
        <v/>
      </c>
      <c r="E384" s="1" t="str">
        <f>IFERROR(VLOOKUP($B384,'V11'!$A$8:$J$29,5,1),"")</f>
        <v/>
      </c>
      <c r="F384" s="1" t="str">
        <f>IFERROR(VLOOKUP($B384,'V11'!$A$8:$J$29,6,1),"")</f>
        <v/>
      </c>
      <c r="G384" s="1" t="str">
        <f>IFERROR(VLOOKUP($B384,'V11'!$A$8:$J$29,7,1),"")</f>
        <v/>
      </c>
      <c r="H384" s="1" t="str">
        <f>IFERROR(VLOOKUP($B384,'V11'!$A$8:$J$29,8,1),"")</f>
        <v/>
      </c>
      <c r="I384" s="1" t="str">
        <f>IFERROR(VLOOKUP($B384,'V11'!$A$8:$J$29,9,1),"")</f>
        <v/>
      </c>
      <c r="J384" s="1" t="str">
        <f>IFERROR(VLOOKUP($B384,'V11'!$A$8:$J$29,10,1),"")</f>
        <v/>
      </c>
      <c r="K384" t="str">
        <f>IFERROR(VLOOKUP($B384,'V11'!$A$9:$Q$1048576,3,1),"")</f>
        <v/>
      </c>
      <c r="L384" t="str">
        <f>IFERROR(VLOOKUP($B384,'V11'!$A$8:$Q$29,11,1),"")</f>
        <v/>
      </c>
      <c r="M384" t="str">
        <f>IFERROR(VLOOKUP($B384,'V11'!$A$8:$Q$29,12,1),"")</f>
        <v/>
      </c>
      <c r="N384" t="str">
        <f>IFERROR(VLOOKUP($B384,'V11'!$A$8:$Q$29,13,1),"")</f>
        <v/>
      </c>
      <c r="O384" t="str">
        <f>IFERROR(VLOOKUP($B384,'V11'!$A$8:$Q$29,14,1),"")</f>
        <v/>
      </c>
      <c r="P384" t="str">
        <f>IFERROR(VLOOKUP($B384,'V11'!$A$8:$Q$29,15,1),"")</f>
        <v/>
      </c>
      <c r="Q384" t="str">
        <f>IFERROR(VLOOKUP($B384,'V11'!$A$8:$Q$29,16,1),"")</f>
        <v/>
      </c>
      <c r="R384" t="str">
        <f>IFERROR(VLOOKUP($B384,'V11'!$A$8:$Q$29,17,1),"")</f>
        <v/>
      </c>
      <c r="Z384" s="17"/>
      <c r="AY384" s="17"/>
    </row>
    <row r="385" spans="1:51" x14ac:dyDescent="0.25">
      <c r="A385" s="17"/>
      <c r="B385" s="2">
        <f t="shared" si="7"/>
        <v>44743</v>
      </c>
      <c r="C385" t="str">
        <f>IFERROR(VLOOKUP($B385,'V11'!$A$9:$J$1048576,2,1),"")</f>
        <v/>
      </c>
      <c r="D385" s="1" t="str">
        <f>IFERROR(VLOOKUP($B385,'V11'!$A$8:$J$29,4,1),"")</f>
        <v/>
      </c>
      <c r="E385" s="1" t="str">
        <f>IFERROR(VLOOKUP($B385,'V11'!$A$8:$J$29,5,1),"")</f>
        <v/>
      </c>
      <c r="F385" s="1" t="str">
        <f>IFERROR(VLOOKUP($B385,'V11'!$A$8:$J$29,6,1),"")</f>
        <v/>
      </c>
      <c r="G385" s="1" t="str">
        <f>IFERROR(VLOOKUP($B385,'V11'!$A$8:$J$29,7,1),"")</f>
        <v/>
      </c>
      <c r="H385" s="1" t="str">
        <f>IFERROR(VLOOKUP($B385,'V11'!$A$8:$J$29,8,1),"")</f>
        <v/>
      </c>
      <c r="I385" s="1" t="str">
        <f>IFERROR(VLOOKUP($B385,'V11'!$A$8:$J$29,9,1),"")</f>
        <v/>
      </c>
      <c r="J385" s="1" t="str">
        <f>IFERROR(VLOOKUP($B385,'V11'!$A$8:$J$29,10,1),"")</f>
        <v/>
      </c>
      <c r="K385" t="str">
        <f>IFERROR(VLOOKUP($B385,'V11'!$A$9:$Q$1048576,3,1),"")</f>
        <v/>
      </c>
      <c r="L385" t="str">
        <f>IFERROR(VLOOKUP($B385,'V11'!$A$8:$Q$29,11,1),"")</f>
        <v/>
      </c>
      <c r="M385" t="str">
        <f>IFERROR(VLOOKUP($B385,'V11'!$A$8:$Q$29,12,1),"")</f>
        <v/>
      </c>
      <c r="N385" t="str">
        <f>IFERROR(VLOOKUP($B385,'V11'!$A$8:$Q$29,13,1),"")</f>
        <v/>
      </c>
      <c r="O385" t="str">
        <f>IFERROR(VLOOKUP($B385,'V11'!$A$8:$Q$29,14,1),"")</f>
        <v/>
      </c>
      <c r="P385" t="str">
        <f>IFERROR(VLOOKUP($B385,'V11'!$A$8:$Q$29,15,1),"")</f>
        <v/>
      </c>
      <c r="Q385" t="str">
        <f>IFERROR(VLOOKUP($B385,'V11'!$A$8:$Q$29,16,1),"")</f>
        <v/>
      </c>
      <c r="R385" t="str">
        <f>IFERROR(VLOOKUP($B385,'V11'!$A$8:$Q$29,17,1),"")</f>
        <v/>
      </c>
      <c r="Z385" s="17"/>
      <c r="AY385" s="17"/>
    </row>
    <row r="386" spans="1:51" x14ac:dyDescent="0.25">
      <c r="A386" s="17"/>
      <c r="B386" s="2">
        <f t="shared" si="7"/>
        <v>44774</v>
      </c>
      <c r="C386" t="str">
        <f>IFERROR(VLOOKUP($B386,'V11'!$A$9:$J$1048576,2,1),"")</f>
        <v/>
      </c>
      <c r="D386" s="1" t="str">
        <f>IFERROR(VLOOKUP($B386,'V11'!$A$8:$J$29,4,1),"")</f>
        <v/>
      </c>
      <c r="E386" s="1" t="str">
        <f>IFERROR(VLOOKUP($B386,'V11'!$A$8:$J$29,5,1),"")</f>
        <v/>
      </c>
      <c r="F386" s="1" t="str">
        <f>IFERROR(VLOOKUP($B386,'V11'!$A$8:$J$29,6,1),"")</f>
        <v/>
      </c>
      <c r="G386" s="1" t="str">
        <f>IFERROR(VLOOKUP($B386,'V11'!$A$8:$J$29,7,1),"")</f>
        <v/>
      </c>
      <c r="H386" s="1" t="str">
        <f>IFERROR(VLOOKUP($B386,'V11'!$A$8:$J$29,8,1),"")</f>
        <v/>
      </c>
      <c r="I386" s="1" t="str">
        <f>IFERROR(VLOOKUP($B386,'V11'!$A$8:$J$29,9,1),"")</f>
        <v/>
      </c>
      <c r="J386" s="1" t="str">
        <f>IFERROR(VLOOKUP($B386,'V11'!$A$8:$J$29,10,1),"")</f>
        <v/>
      </c>
      <c r="K386" t="str">
        <f>IFERROR(VLOOKUP($B386,'V11'!$A$9:$Q$1048576,3,1),"")</f>
        <v/>
      </c>
      <c r="L386" t="str">
        <f>IFERROR(VLOOKUP($B386,'V11'!$A$8:$Q$29,11,1),"")</f>
        <v/>
      </c>
      <c r="M386" t="str">
        <f>IFERROR(VLOOKUP($B386,'V11'!$A$8:$Q$29,12,1),"")</f>
        <v/>
      </c>
      <c r="N386" t="str">
        <f>IFERROR(VLOOKUP($B386,'V11'!$A$8:$Q$29,13,1),"")</f>
        <v/>
      </c>
      <c r="O386" t="str">
        <f>IFERROR(VLOOKUP($B386,'V11'!$A$8:$Q$29,14,1),"")</f>
        <v/>
      </c>
      <c r="P386" t="str">
        <f>IFERROR(VLOOKUP($B386,'V11'!$A$8:$Q$29,15,1),"")</f>
        <v/>
      </c>
      <c r="Q386" t="str">
        <f>IFERROR(VLOOKUP($B386,'V11'!$A$8:$Q$29,16,1),"")</f>
        <v/>
      </c>
      <c r="R386" t="str">
        <f>IFERROR(VLOOKUP($B386,'V11'!$A$8:$Q$29,17,1),"")</f>
        <v/>
      </c>
      <c r="Z386" s="17"/>
      <c r="AY386" s="17"/>
    </row>
    <row r="387" spans="1:51" x14ac:dyDescent="0.25">
      <c r="A387" s="17"/>
      <c r="B387" s="2">
        <f t="shared" si="7"/>
        <v>44805</v>
      </c>
      <c r="C387">
        <f>IFERROR(VLOOKUP($B387,'V11'!$A$9:$J$1048576,2,1),"")</f>
        <v>0</v>
      </c>
      <c r="D387" s="1">
        <f>IFERROR(VLOOKUP($B387,'V11'!$A$8:$J$29,4,1),"")</f>
        <v>-2.992475714831607</v>
      </c>
      <c r="E387" s="1">
        <f>IFERROR(VLOOKUP($B387,'V11'!$A$8:$J$29,5,1),"")</f>
        <v>-1.2756855642737031</v>
      </c>
      <c r="F387" s="1">
        <f>IFERROR(VLOOKUP($B387,'V11'!$A$8:$J$29,6,1),"")</f>
        <v>0.44110458628420113</v>
      </c>
      <c r="G387" s="1">
        <f>IFERROR(VLOOKUP($B387,'V11'!$A$8:$J$29,7,1),"")</f>
        <v>2.1578947368421053</v>
      </c>
      <c r="H387" s="1">
        <f>IFERROR(VLOOKUP($B387,'V11'!$A$8:$J$29,8,1),"")</f>
        <v>3.8746848874000097</v>
      </c>
      <c r="I387" s="1">
        <f>IFERROR(VLOOKUP($B387,'V11'!$A$8:$J$29,9,1),"")</f>
        <v>5.5914750379579132</v>
      </c>
      <c r="J387" s="1">
        <f>IFERROR(VLOOKUP($B387,'V11'!$A$8:$J$29,10,1),"")</f>
        <v>7.3082651885158176</v>
      </c>
      <c r="K387">
        <f>IFERROR(VLOOKUP($B387,'V11'!$A$9:$Q$1048576,3,1),"")</f>
        <v>0</v>
      </c>
      <c r="L387">
        <f>IFERROR(VLOOKUP($B387,'V11'!$A$8:$Q$29,11,1),"")</f>
        <v>-0.87603148159081301</v>
      </c>
      <c r="M387">
        <f>IFERROR(VLOOKUP($B387,'V11'!$A$8:$Q$29,12,1),"")</f>
        <v>-0.57305607544650694</v>
      </c>
      <c r="N387">
        <f>IFERROR(VLOOKUP($B387,'V11'!$A$8:$Q$29,13,1),"")</f>
        <v>-0.27008066930220087</v>
      </c>
      <c r="O387">
        <f>IFERROR(VLOOKUP($B387,'V11'!$A$8:$Q$29,14,1),"")</f>
        <v>3.2894736842105261E-2</v>
      </c>
      <c r="P387">
        <f>IFERROR(VLOOKUP($B387,'V11'!$A$8:$Q$29,15,1),"")</f>
        <v>0.33587014298641138</v>
      </c>
      <c r="Q387">
        <f>IFERROR(VLOOKUP($B387,'V11'!$A$8:$Q$29,16,1),"")</f>
        <v>0.63884554913071756</v>
      </c>
      <c r="R387">
        <f>IFERROR(VLOOKUP($B387,'V11'!$A$8:$Q$29,17,1),"")</f>
        <v>0.94182095527502363</v>
      </c>
      <c r="Z387" s="17"/>
      <c r="AY387" s="17"/>
    </row>
    <row r="388" spans="1:51" x14ac:dyDescent="0.25">
      <c r="A388" s="17"/>
      <c r="B388" s="2">
        <f t="shared" si="7"/>
        <v>44835</v>
      </c>
      <c r="C388">
        <f>IFERROR(VLOOKUP($B388,'V11'!$A$9:$J$1048576,2,1),"")</f>
        <v>1</v>
      </c>
      <c r="D388" s="1">
        <f>IFERROR(VLOOKUP($B388,'V11'!$A$8:$J$29,4,1),"")</f>
        <v>-2.992475714831607</v>
      </c>
      <c r="E388" s="1">
        <f>IFERROR(VLOOKUP($B388,'V11'!$A$8:$J$29,5,1),"")</f>
        <v>-1.2756855642737031</v>
      </c>
      <c r="F388" s="1">
        <f>IFERROR(VLOOKUP($B388,'V11'!$A$8:$J$29,6,1),"")</f>
        <v>0.44110458628420113</v>
      </c>
      <c r="G388" s="1">
        <f>IFERROR(VLOOKUP($B388,'V11'!$A$8:$J$29,7,1),"")</f>
        <v>2.1578947368421053</v>
      </c>
      <c r="H388" s="1">
        <f>IFERROR(VLOOKUP($B388,'V11'!$A$8:$J$29,8,1),"")</f>
        <v>3.8746848874000097</v>
      </c>
      <c r="I388" s="1">
        <f>IFERROR(VLOOKUP($B388,'V11'!$A$8:$J$29,9,1),"")</f>
        <v>5.5914750379579132</v>
      </c>
      <c r="J388" s="1">
        <f>IFERROR(VLOOKUP($B388,'V11'!$A$8:$J$29,10,1),"")</f>
        <v>7.3082651885158176</v>
      </c>
      <c r="K388">
        <f>IFERROR(VLOOKUP($B388,'V11'!$A$9:$Q$1048576,3,1),"")</f>
        <v>0.25</v>
      </c>
      <c r="L388">
        <f>IFERROR(VLOOKUP($B388,'V11'!$A$8:$Q$29,11,1),"")</f>
        <v>-0.87603148159081301</v>
      </c>
      <c r="M388">
        <f>IFERROR(VLOOKUP($B388,'V11'!$A$8:$Q$29,12,1),"")</f>
        <v>-0.57305607544650694</v>
      </c>
      <c r="N388">
        <f>IFERROR(VLOOKUP($B388,'V11'!$A$8:$Q$29,13,1),"")</f>
        <v>-0.27008066930220087</v>
      </c>
      <c r="O388">
        <f>IFERROR(VLOOKUP($B388,'V11'!$A$8:$Q$29,14,1),"")</f>
        <v>3.2894736842105261E-2</v>
      </c>
      <c r="P388">
        <f>IFERROR(VLOOKUP($B388,'V11'!$A$8:$Q$29,15,1),"")</f>
        <v>0.33587014298641138</v>
      </c>
      <c r="Q388">
        <f>IFERROR(VLOOKUP($B388,'V11'!$A$8:$Q$29,16,1),"")</f>
        <v>0.63884554913071756</v>
      </c>
      <c r="R388">
        <f>IFERROR(VLOOKUP($B388,'V11'!$A$8:$Q$29,17,1),"")</f>
        <v>0.94182095527502363</v>
      </c>
      <c r="Z388" s="17"/>
      <c r="AY388" s="17"/>
    </row>
    <row r="389" spans="1:51" x14ac:dyDescent="0.25">
      <c r="A389" s="17"/>
      <c r="B389" s="2">
        <f t="shared" si="7"/>
        <v>44866</v>
      </c>
      <c r="C389">
        <f>IFERROR(VLOOKUP($B389,'V11'!$A$9:$J$1048576,2,1),"")</f>
        <v>1</v>
      </c>
      <c r="D389" s="1">
        <f>IFERROR(VLOOKUP($B389,'V11'!$A$8:$J$29,4,1),"")</f>
        <v>-2.992475714831607</v>
      </c>
      <c r="E389" s="1">
        <f>IFERROR(VLOOKUP($B389,'V11'!$A$8:$J$29,5,1),"")</f>
        <v>-1.2756855642737031</v>
      </c>
      <c r="F389" s="1">
        <f>IFERROR(VLOOKUP($B389,'V11'!$A$8:$J$29,6,1),"")</f>
        <v>0.44110458628420113</v>
      </c>
      <c r="G389" s="1">
        <f>IFERROR(VLOOKUP($B389,'V11'!$A$8:$J$29,7,1),"")</f>
        <v>2.1578947368421053</v>
      </c>
      <c r="H389" s="1">
        <f>IFERROR(VLOOKUP($B389,'V11'!$A$8:$J$29,8,1),"")</f>
        <v>3.8746848874000097</v>
      </c>
      <c r="I389" s="1">
        <f>IFERROR(VLOOKUP($B389,'V11'!$A$8:$J$29,9,1),"")</f>
        <v>5.5914750379579132</v>
      </c>
      <c r="J389" s="1">
        <f>IFERROR(VLOOKUP($B389,'V11'!$A$8:$J$29,10,1),"")</f>
        <v>7.3082651885158176</v>
      </c>
      <c r="K389">
        <f>IFERROR(VLOOKUP($B389,'V11'!$A$9:$Q$1048576,3,1),"")</f>
        <v>0</v>
      </c>
      <c r="L389">
        <f>IFERROR(VLOOKUP($B389,'V11'!$A$8:$Q$29,11,1),"")</f>
        <v>-0.87603148159081301</v>
      </c>
      <c r="M389">
        <f>IFERROR(VLOOKUP($B389,'V11'!$A$8:$Q$29,12,1),"")</f>
        <v>-0.57305607544650694</v>
      </c>
      <c r="N389">
        <f>IFERROR(VLOOKUP($B389,'V11'!$A$8:$Q$29,13,1),"")</f>
        <v>-0.27008066930220087</v>
      </c>
      <c r="O389">
        <f>IFERROR(VLOOKUP($B389,'V11'!$A$8:$Q$29,14,1),"")</f>
        <v>3.2894736842105261E-2</v>
      </c>
      <c r="P389">
        <f>IFERROR(VLOOKUP($B389,'V11'!$A$8:$Q$29,15,1),"")</f>
        <v>0.33587014298641138</v>
      </c>
      <c r="Q389">
        <f>IFERROR(VLOOKUP($B389,'V11'!$A$8:$Q$29,16,1),"")</f>
        <v>0.63884554913071756</v>
      </c>
      <c r="R389">
        <f>IFERROR(VLOOKUP($B389,'V11'!$A$8:$Q$29,17,1),"")</f>
        <v>0.94182095527502363</v>
      </c>
      <c r="Z389" s="17"/>
      <c r="AY389" s="17"/>
    </row>
    <row r="390" spans="1:51" x14ac:dyDescent="0.25">
      <c r="A390" s="17"/>
      <c r="B390" s="2">
        <f t="shared" si="7"/>
        <v>44896</v>
      </c>
      <c r="C390">
        <f>IFERROR(VLOOKUP($B390,'V11'!$A$9:$J$1048576,2,1),"")</f>
        <v>1</v>
      </c>
      <c r="D390" s="1">
        <f>IFERROR(VLOOKUP($B390,'V11'!$A$8:$J$29,4,1),"")</f>
        <v>-2.992475714831607</v>
      </c>
      <c r="E390" s="1">
        <f>IFERROR(VLOOKUP($B390,'V11'!$A$8:$J$29,5,1),"")</f>
        <v>-1.2756855642737031</v>
      </c>
      <c r="F390" s="1">
        <f>IFERROR(VLOOKUP($B390,'V11'!$A$8:$J$29,6,1),"")</f>
        <v>0.44110458628420113</v>
      </c>
      <c r="G390" s="1">
        <f>IFERROR(VLOOKUP($B390,'V11'!$A$8:$J$29,7,1),"")</f>
        <v>2.1578947368421053</v>
      </c>
      <c r="H390" s="1">
        <f>IFERROR(VLOOKUP($B390,'V11'!$A$8:$J$29,8,1),"")</f>
        <v>3.8746848874000097</v>
      </c>
      <c r="I390" s="1">
        <f>IFERROR(VLOOKUP($B390,'V11'!$A$8:$J$29,9,1),"")</f>
        <v>5.5914750379579132</v>
      </c>
      <c r="J390" s="1">
        <f>IFERROR(VLOOKUP($B390,'V11'!$A$8:$J$29,10,1),"")</f>
        <v>7.3082651885158176</v>
      </c>
      <c r="K390">
        <f>IFERROR(VLOOKUP($B390,'V11'!$A$9:$Q$1048576,3,1),"")</f>
        <v>0</v>
      </c>
      <c r="L390">
        <f>IFERROR(VLOOKUP($B390,'V11'!$A$8:$Q$29,11,1),"")</f>
        <v>-0.87603148159081301</v>
      </c>
      <c r="M390">
        <f>IFERROR(VLOOKUP($B390,'V11'!$A$8:$Q$29,12,1),"")</f>
        <v>-0.57305607544650694</v>
      </c>
      <c r="N390">
        <f>IFERROR(VLOOKUP($B390,'V11'!$A$8:$Q$29,13,1),"")</f>
        <v>-0.27008066930220087</v>
      </c>
      <c r="O390">
        <f>IFERROR(VLOOKUP($B390,'V11'!$A$8:$Q$29,14,1),"")</f>
        <v>3.2894736842105261E-2</v>
      </c>
      <c r="P390">
        <f>IFERROR(VLOOKUP($B390,'V11'!$A$8:$Q$29,15,1),"")</f>
        <v>0.33587014298641138</v>
      </c>
      <c r="Q390">
        <f>IFERROR(VLOOKUP($B390,'V11'!$A$8:$Q$29,16,1),"")</f>
        <v>0.63884554913071756</v>
      </c>
      <c r="R390">
        <f>IFERROR(VLOOKUP($B390,'V11'!$A$8:$Q$29,17,1),"")</f>
        <v>0.94182095527502363</v>
      </c>
      <c r="Z390" s="17"/>
      <c r="AY390" s="17"/>
    </row>
    <row r="391" spans="1:51" x14ac:dyDescent="0.25">
      <c r="A391" s="17"/>
      <c r="B391" s="2">
        <f t="shared" si="7"/>
        <v>44927</v>
      </c>
      <c r="C391">
        <f>IFERROR(VLOOKUP($B391,'V11'!$A$9:$J$1048576,2,1),"")</f>
        <v>1</v>
      </c>
      <c r="D391" s="1">
        <f>IFERROR(VLOOKUP($B391,'V11'!$A$8:$J$29,4,1),"")</f>
        <v>-2.992475714831607</v>
      </c>
      <c r="E391" s="1">
        <f>IFERROR(VLOOKUP($B391,'V11'!$A$8:$J$29,5,1),"")</f>
        <v>-1.2756855642737031</v>
      </c>
      <c r="F391" s="1">
        <f>IFERROR(VLOOKUP($B391,'V11'!$A$8:$J$29,6,1),"")</f>
        <v>0.44110458628420113</v>
      </c>
      <c r="G391" s="1">
        <f>IFERROR(VLOOKUP($B391,'V11'!$A$8:$J$29,7,1),"")</f>
        <v>2.1578947368421053</v>
      </c>
      <c r="H391" s="1">
        <f>IFERROR(VLOOKUP($B391,'V11'!$A$8:$J$29,8,1),"")</f>
        <v>3.8746848874000097</v>
      </c>
      <c r="I391" s="1">
        <f>IFERROR(VLOOKUP($B391,'V11'!$A$8:$J$29,9,1),"")</f>
        <v>5.5914750379579132</v>
      </c>
      <c r="J391" s="1">
        <f>IFERROR(VLOOKUP($B391,'V11'!$A$8:$J$29,10,1),"")</f>
        <v>7.3082651885158176</v>
      </c>
      <c r="K391">
        <f>IFERROR(VLOOKUP($B391,'V11'!$A$9:$Q$1048576,3,1),"")</f>
        <v>0</v>
      </c>
      <c r="L391">
        <f>IFERROR(VLOOKUP($B391,'V11'!$A$8:$Q$29,11,1),"")</f>
        <v>-0.87603148159081301</v>
      </c>
      <c r="M391">
        <f>IFERROR(VLOOKUP($B391,'V11'!$A$8:$Q$29,12,1),"")</f>
        <v>-0.57305607544650694</v>
      </c>
      <c r="N391">
        <f>IFERROR(VLOOKUP($B391,'V11'!$A$8:$Q$29,13,1),"")</f>
        <v>-0.27008066930220087</v>
      </c>
      <c r="O391">
        <f>IFERROR(VLOOKUP($B391,'V11'!$A$8:$Q$29,14,1),"")</f>
        <v>3.2894736842105261E-2</v>
      </c>
      <c r="P391">
        <f>IFERROR(VLOOKUP($B391,'V11'!$A$8:$Q$29,15,1),"")</f>
        <v>0.33587014298641138</v>
      </c>
      <c r="Q391">
        <f>IFERROR(VLOOKUP($B391,'V11'!$A$8:$Q$29,16,1),"")</f>
        <v>0.63884554913071756</v>
      </c>
      <c r="R391">
        <f>IFERROR(VLOOKUP($B391,'V11'!$A$8:$Q$29,17,1),"")</f>
        <v>0.94182095527502363</v>
      </c>
      <c r="Z391" s="17"/>
      <c r="AY391" s="17"/>
    </row>
    <row r="392" spans="1:51" x14ac:dyDescent="0.25">
      <c r="A392" s="17"/>
      <c r="B392" s="2">
        <f t="shared" si="7"/>
        <v>44958</v>
      </c>
      <c r="C392">
        <f>IFERROR(VLOOKUP($B392,'V11'!$A$9:$J$1048576,2,1),"")</f>
        <v>0</v>
      </c>
      <c r="D392" s="1">
        <f>IFERROR(VLOOKUP($B392,'V11'!$A$8:$J$29,4,1),"")</f>
        <v>-2.992475714831607</v>
      </c>
      <c r="E392" s="1">
        <f>IFERROR(VLOOKUP($B392,'V11'!$A$8:$J$29,5,1),"")</f>
        <v>-1.2756855642737031</v>
      </c>
      <c r="F392" s="1">
        <f>IFERROR(VLOOKUP($B392,'V11'!$A$8:$J$29,6,1),"")</f>
        <v>0.44110458628420113</v>
      </c>
      <c r="G392" s="1">
        <f>IFERROR(VLOOKUP($B392,'V11'!$A$8:$J$29,7,1),"")</f>
        <v>2.1578947368421053</v>
      </c>
      <c r="H392" s="1">
        <f>IFERROR(VLOOKUP($B392,'V11'!$A$8:$J$29,8,1),"")</f>
        <v>3.8746848874000097</v>
      </c>
      <c r="I392" s="1">
        <f>IFERROR(VLOOKUP($B392,'V11'!$A$8:$J$29,9,1),"")</f>
        <v>5.5914750379579132</v>
      </c>
      <c r="J392" s="1">
        <f>IFERROR(VLOOKUP($B392,'V11'!$A$8:$J$29,10,1),"")</f>
        <v>7.3082651885158176</v>
      </c>
      <c r="K392">
        <f>IFERROR(VLOOKUP($B392,'V11'!$A$9:$Q$1048576,3,1),"")</f>
        <v>-0.25</v>
      </c>
      <c r="L392">
        <f>IFERROR(VLOOKUP($B392,'V11'!$A$8:$Q$29,11,1),"")</f>
        <v>-0.87603148159081301</v>
      </c>
      <c r="M392">
        <f>IFERROR(VLOOKUP($B392,'V11'!$A$8:$Q$29,12,1),"")</f>
        <v>-0.57305607544650694</v>
      </c>
      <c r="N392">
        <f>IFERROR(VLOOKUP($B392,'V11'!$A$8:$Q$29,13,1),"")</f>
        <v>-0.27008066930220087</v>
      </c>
      <c r="O392">
        <f>IFERROR(VLOOKUP($B392,'V11'!$A$8:$Q$29,14,1),"")</f>
        <v>3.2894736842105261E-2</v>
      </c>
      <c r="P392">
        <f>IFERROR(VLOOKUP($B392,'V11'!$A$8:$Q$29,15,1),"")</f>
        <v>0.33587014298641138</v>
      </c>
      <c r="Q392">
        <f>IFERROR(VLOOKUP($B392,'V11'!$A$8:$Q$29,16,1),"")</f>
        <v>0.63884554913071756</v>
      </c>
      <c r="R392">
        <f>IFERROR(VLOOKUP($B392,'V11'!$A$8:$Q$29,17,1),"")</f>
        <v>0.94182095527502363</v>
      </c>
      <c r="Z392" s="17"/>
      <c r="AY392" s="17"/>
    </row>
    <row r="393" spans="1:51" x14ac:dyDescent="0.25">
      <c r="A393" s="17"/>
      <c r="B393" s="2">
        <f t="shared" si="7"/>
        <v>44986</v>
      </c>
      <c r="C393">
        <f>IFERROR(VLOOKUP($B393,'V11'!$A$9:$J$1048576,2,1),"")</f>
        <v>0</v>
      </c>
      <c r="D393" s="1">
        <f>IFERROR(VLOOKUP($B393,'V11'!$A$8:$J$29,4,1),"")</f>
        <v>-2.992475714831607</v>
      </c>
      <c r="E393" s="1">
        <f>IFERROR(VLOOKUP($B393,'V11'!$A$8:$J$29,5,1),"")</f>
        <v>-1.2756855642737031</v>
      </c>
      <c r="F393" s="1">
        <f>IFERROR(VLOOKUP($B393,'V11'!$A$8:$J$29,6,1),"")</f>
        <v>0.44110458628420113</v>
      </c>
      <c r="G393" s="1">
        <f>IFERROR(VLOOKUP($B393,'V11'!$A$8:$J$29,7,1),"")</f>
        <v>2.1578947368421053</v>
      </c>
      <c r="H393" s="1">
        <f>IFERROR(VLOOKUP($B393,'V11'!$A$8:$J$29,8,1),"")</f>
        <v>3.8746848874000097</v>
      </c>
      <c r="I393" s="1">
        <f>IFERROR(VLOOKUP($B393,'V11'!$A$8:$J$29,9,1),"")</f>
        <v>5.5914750379579132</v>
      </c>
      <c r="J393" s="1">
        <f>IFERROR(VLOOKUP($B393,'V11'!$A$8:$J$29,10,1),"")</f>
        <v>7.3082651885158176</v>
      </c>
      <c r="K393">
        <f>IFERROR(VLOOKUP($B393,'V11'!$A$9:$Q$1048576,3,1),"")</f>
        <v>0</v>
      </c>
      <c r="L393">
        <f>IFERROR(VLOOKUP($B393,'V11'!$A$8:$Q$29,11,1),"")</f>
        <v>-0.87603148159081301</v>
      </c>
      <c r="M393">
        <f>IFERROR(VLOOKUP($B393,'V11'!$A$8:$Q$29,12,1),"")</f>
        <v>-0.57305607544650694</v>
      </c>
      <c r="N393">
        <f>IFERROR(VLOOKUP($B393,'V11'!$A$8:$Q$29,13,1),"")</f>
        <v>-0.27008066930220087</v>
      </c>
      <c r="O393">
        <f>IFERROR(VLOOKUP($B393,'V11'!$A$8:$Q$29,14,1),"")</f>
        <v>3.2894736842105261E-2</v>
      </c>
      <c r="P393">
        <f>IFERROR(VLOOKUP($B393,'V11'!$A$8:$Q$29,15,1),"")</f>
        <v>0.33587014298641138</v>
      </c>
      <c r="Q393">
        <f>IFERROR(VLOOKUP($B393,'V11'!$A$8:$Q$29,16,1),"")</f>
        <v>0.63884554913071756</v>
      </c>
      <c r="R393">
        <f>IFERROR(VLOOKUP($B393,'V11'!$A$8:$Q$29,17,1),"")</f>
        <v>0.94182095527502363</v>
      </c>
      <c r="Z393" s="17"/>
      <c r="AY393" s="17"/>
    </row>
    <row r="394" spans="1:51" x14ac:dyDescent="0.25">
      <c r="A394" s="17"/>
      <c r="B394" s="2">
        <f t="shared" si="7"/>
        <v>45017</v>
      </c>
      <c r="C394">
        <f>IFERROR(VLOOKUP($B394,'V11'!$A$9:$J$1048576,2,1),"")</f>
        <v>1</v>
      </c>
      <c r="D394" s="1">
        <f>IFERROR(VLOOKUP($B394,'V11'!$A$8:$J$29,4,1),"")</f>
        <v>-2.992475714831607</v>
      </c>
      <c r="E394" s="1">
        <f>IFERROR(VLOOKUP($B394,'V11'!$A$8:$J$29,5,1),"")</f>
        <v>-1.2756855642737031</v>
      </c>
      <c r="F394" s="1">
        <f>IFERROR(VLOOKUP($B394,'V11'!$A$8:$J$29,6,1),"")</f>
        <v>0.44110458628420113</v>
      </c>
      <c r="G394" s="1">
        <f>IFERROR(VLOOKUP($B394,'V11'!$A$8:$J$29,7,1),"")</f>
        <v>2.1578947368421053</v>
      </c>
      <c r="H394" s="1">
        <f>IFERROR(VLOOKUP($B394,'V11'!$A$8:$J$29,8,1),"")</f>
        <v>3.8746848874000097</v>
      </c>
      <c r="I394" s="1">
        <f>IFERROR(VLOOKUP($B394,'V11'!$A$8:$J$29,9,1),"")</f>
        <v>5.5914750379579132</v>
      </c>
      <c r="J394" s="1">
        <f>IFERROR(VLOOKUP($B394,'V11'!$A$8:$J$29,10,1),"")</f>
        <v>7.3082651885158176</v>
      </c>
      <c r="K394">
        <f>IFERROR(VLOOKUP($B394,'V11'!$A$9:$Q$1048576,3,1),"")</f>
        <v>0.25</v>
      </c>
      <c r="L394">
        <f>IFERROR(VLOOKUP($B394,'V11'!$A$8:$Q$29,11,1),"")</f>
        <v>-0.87603148159081301</v>
      </c>
      <c r="M394">
        <f>IFERROR(VLOOKUP($B394,'V11'!$A$8:$Q$29,12,1),"")</f>
        <v>-0.57305607544650694</v>
      </c>
      <c r="N394">
        <f>IFERROR(VLOOKUP($B394,'V11'!$A$8:$Q$29,13,1),"")</f>
        <v>-0.27008066930220087</v>
      </c>
      <c r="O394">
        <f>IFERROR(VLOOKUP($B394,'V11'!$A$8:$Q$29,14,1),"")</f>
        <v>3.2894736842105261E-2</v>
      </c>
      <c r="P394">
        <f>IFERROR(VLOOKUP($B394,'V11'!$A$8:$Q$29,15,1),"")</f>
        <v>0.33587014298641138</v>
      </c>
      <c r="Q394">
        <f>IFERROR(VLOOKUP($B394,'V11'!$A$8:$Q$29,16,1),"")</f>
        <v>0.63884554913071756</v>
      </c>
      <c r="R394">
        <f>IFERROR(VLOOKUP($B394,'V11'!$A$8:$Q$29,17,1),"")</f>
        <v>0.94182095527502363</v>
      </c>
      <c r="Z394" s="17"/>
      <c r="AY394" s="17"/>
    </row>
    <row r="395" spans="1:51" x14ac:dyDescent="0.25">
      <c r="A395" s="17"/>
      <c r="B395" s="2">
        <f t="shared" si="7"/>
        <v>45047</v>
      </c>
      <c r="C395">
        <f>IFERROR(VLOOKUP($B395,'V11'!$A$9:$J$1048576,2,1),"")</f>
        <v>1</v>
      </c>
      <c r="D395" s="1">
        <f>IFERROR(VLOOKUP($B395,'V11'!$A$8:$J$29,4,1),"")</f>
        <v>-2.992475714831607</v>
      </c>
      <c r="E395" s="1">
        <f>IFERROR(VLOOKUP($B395,'V11'!$A$8:$J$29,5,1),"")</f>
        <v>-1.2756855642737031</v>
      </c>
      <c r="F395" s="1">
        <f>IFERROR(VLOOKUP($B395,'V11'!$A$8:$J$29,6,1),"")</f>
        <v>0.44110458628420113</v>
      </c>
      <c r="G395" s="1">
        <f>IFERROR(VLOOKUP($B395,'V11'!$A$8:$J$29,7,1),"")</f>
        <v>2.1578947368421053</v>
      </c>
      <c r="H395" s="1">
        <f>IFERROR(VLOOKUP($B395,'V11'!$A$8:$J$29,8,1),"")</f>
        <v>3.8746848874000097</v>
      </c>
      <c r="I395" s="1">
        <f>IFERROR(VLOOKUP($B395,'V11'!$A$8:$J$29,9,1),"")</f>
        <v>5.5914750379579132</v>
      </c>
      <c r="J395" s="1">
        <f>IFERROR(VLOOKUP($B395,'V11'!$A$8:$J$29,10,1),"")</f>
        <v>7.3082651885158176</v>
      </c>
      <c r="K395">
        <f>IFERROR(VLOOKUP($B395,'V11'!$A$9:$Q$1048576,3,1),"")</f>
        <v>0</v>
      </c>
      <c r="L395">
        <f>IFERROR(VLOOKUP($B395,'V11'!$A$8:$Q$29,11,1),"")</f>
        <v>-0.87603148159081301</v>
      </c>
      <c r="M395">
        <f>IFERROR(VLOOKUP($B395,'V11'!$A$8:$Q$29,12,1),"")</f>
        <v>-0.57305607544650694</v>
      </c>
      <c r="N395">
        <f>IFERROR(VLOOKUP($B395,'V11'!$A$8:$Q$29,13,1),"")</f>
        <v>-0.27008066930220087</v>
      </c>
      <c r="O395">
        <f>IFERROR(VLOOKUP($B395,'V11'!$A$8:$Q$29,14,1),"")</f>
        <v>3.2894736842105261E-2</v>
      </c>
      <c r="P395">
        <f>IFERROR(VLOOKUP($B395,'V11'!$A$8:$Q$29,15,1),"")</f>
        <v>0.33587014298641138</v>
      </c>
      <c r="Q395">
        <f>IFERROR(VLOOKUP($B395,'V11'!$A$8:$Q$29,16,1),"")</f>
        <v>0.63884554913071756</v>
      </c>
      <c r="R395">
        <f>IFERROR(VLOOKUP($B395,'V11'!$A$8:$Q$29,17,1),"")</f>
        <v>0.94182095527502363</v>
      </c>
      <c r="Z395" s="17"/>
      <c r="AY395" s="17"/>
    </row>
    <row r="396" spans="1:51" x14ac:dyDescent="0.25">
      <c r="A396" s="17"/>
      <c r="B396" s="2">
        <f t="shared" si="7"/>
        <v>45078</v>
      </c>
      <c r="C396">
        <f>IFERROR(VLOOKUP($B396,'V11'!$A$9:$J$1048576,2,1),"")</f>
        <v>1</v>
      </c>
      <c r="D396" s="1">
        <f>IFERROR(VLOOKUP($B396,'V11'!$A$8:$J$29,4,1),"")</f>
        <v>-2.992475714831607</v>
      </c>
      <c r="E396" s="1">
        <f>IFERROR(VLOOKUP($B396,'V11'!$A$8:$J$29,5,1),"")</f>
        <v>-1.2756855642737031</v>
      </c>
      <c r="F396" s="1">
        <f>IFERROR(VLOOKUP($B396,'V11'!$A$8:$J$29,6,1),"")</f>
        <v>0.44110458628420113</v>
      </c>
      <c r="G396" s="1">
        <f>IFERROR(VLOOKUP($B396,'V11'!$A$8:$J$29,7,1),"")</f>
        <v>2.1578947368421053</v>
      </c>
      <c r="H396" s="1">
        <f>IFERROR(VLOOKUP($B396,'V11'!$A$8:$J$29,8,1),"")</f>
        <v>3.8746848874000097</v>
      </c>
      <c r="I396" s="1">
        <f>IFERROR(VLOOKUP($B396,'V11'!$A$8:$J$29,9,1),"")</f>
        <v>5.5914750379579132</v>
      </c>
      <c r="J396" s="1">
        <f>IFERROR(VLOOKUP($B396,'V11'!$A$8:$J$29,10,1),"")</f>
        <v>7.3082651885158176</v>
      </c>
      <c r="K396">
        <f>IFERROR(VLOOKUP($B396,'V11'!$A$9:$Q$1048576,3,1),"")</f>
        <v>0</v>
      </c>
      <c r="L396">
        <f>IFERROR(VLOOKUP($B396,'V11'!$A$8:$Q$29,11,1),"")</f>
        <v>-0.87603148159081301</v>
      </c>
      <c r="M396">
        <f>IFERROR(VLOOKUP($B396,'V11'!$A$8:$Q$29,12,1),"")</f>
        <v>-0.57305607544650694</v>
      </c>
      <c r="N396">
        <f>IFERROR(VLOOKUP($B396,'V11'!$A$8:$Q$29,13,1),"")</f>
        <v>-0.27008066930220087</v>
      </c>
      <c r="O396">
        <f>IFERROR(VLOOKUP($B396,'V11'!$A$8:$Q$29,14,1),"")</f>
        <v>3.2894736842105261E-2</v>
      </c>
      <c r="P396">
        <f>IFERROR(VLOOKUP($B396,'V11'!$A$8:$Q$29,15,1),"")</f>
        <v>0.33587014298641138</v>
      </c>
      <c r="Q396">
        <f>IFERROR(VLOOKUP($B396,'V11'!$A$8:$Q$29,16,1),"")</f>
        <v>0.63884554913071756</v>
      </c>
      <c r="R396">
        <f>IFERROR(VLOOKUP($B396,'V11'!$A$8:$Q$29,17,1),"")</f>
        <v>0.94182095527502363</v>
      </c>
      <c r="Z396" s="17"/>
      <c r="AY396" s="17"/>
    </row>
    <row r="397" spans="1:51" x14ac:dyDescent="0.25">
      <c r="A397" s="17"/>
      <c r="B397" s="2">
        <f t="shared" si="7"/>
        <v>45108</v>
      </c>
      <c r="C397">
        <f>IFERROR(VLOOKUP($B397,'V11'!$A$9:$J$1048576,2,1),"")</f>
        <v>1</v>
      </c>
      <c r="D397" s="1">
        <f>IFERROR(VLOOKUP($B397,'V11'!$A$8:$J$29,4,1),"")</f>
        <v>-2.992475714831607</v>
      </c>
      <c r="E397" s="1">
        <f>IFERROR(VLOOKUP($B397,'V11'!$A$8:$J$29,5,1),"")</f>
        <v>-1.2756855642737031</v>
      </c>
      <c r="F397" s="1">
        <f>IFERROR(VLOOKUP($B397,'V11'!$A$8:$J$29,6,1),"")</f>
        <v>0.44110458628420113</v>
      </c>
      <c r="G397" s="1">
        <f>IFERROR(VLOOKUP($B397,'V11'!$A$8:$J$29,7,1),"")</f>
        <v>2.1578947368421053</v>
      </c>
      <c r="H397" s="1">
        <f>IFERROR(VLOOKUP($B397,'V11'!$A$8:$J$29,8,1),"")</f>
        <v>3.8746848874000097</v>
      </c>
      <c r="I397" s="1">
        <f>IFERROR(VLOOKUP($B397,'V11'!$A$8:$J$29,9,1),"")</f>
        <v>5.5914750379579132</v>
      </c>
      <c r="J397" s="1">
        <f>IFERROR(VLOOKUP($B397,'V11'!$A$8:$J$29,10,1),"")</f>
        <v>7.3082651885158176</v>
      </c>
      <c r="K397">
        <f>IFERROR(VLOOKUP($B397,'V11'!$A$9:$Q$1048576,3,1),"")</f>
        <v>0</v>
      </c>
      <c r="L397">
        <f>IFERROR(VLOOKUP($B397,'V11'!$A$8:$Q$29,11,1),"")</f>
        <v>-0.87603148159081301</v>
      </c>
      <c r="M397">
        <f>IFERROR(VLOOKUP($B397,'V11'!$A$8:$Q$29,12,1),"")</f>
        <v>-0.57305607544650694</v>
      </c>
      <c r="N397">
        <f>IFERROR(VLOOKUP($B397,'V11'!$A$8:$Q$29,13,1),"")</f>
        <v>-0.27008066930220087</v>
      </c>
      <c r="O397">
        <f>IFERROR(VLOOKUP($B397,'V11'!$A$8:$Q$29,14,1),"")</f>
        <v>3.2894736842105261E-2</v>
      </c>
      <c r="P397">
        <f>IFERROR(VLOOKUP($B397,'V11'!$A$8:$Q$29,15,1),"")</f>
        <v>0.33587014298641138</v>
      </c>
      <c r="Q397">
        <f>IFERROR(VLOOKUP($B397,'V11'!$A$8:$Q$29,16,1),"")</f>
        <v>0.63884554913071756</v>
      </c>
      <c r="R397">
        <f>IFERROR(VLOOKUP($B397,'V11'!$A$8:$Q$29,17,1),"")</f>
        <v>0.94182095527502363</v>
      </c>
      <c r="Z397" s="17"/>
      <c r="AY397" s="17"/>
    </row>
    <row r="398" spans="1:51" x14ac:dyDescent="0.25">
      <c r="A398" s="17"/>
      <c r="B398" s="2">
        <f t="shared" si="7"/>
        <v>45139</v>
      </c>
      <c r="C398">
        <f>IFERROR(VLOOKUP($B398,'V11'!$A$9:$J$1048576,2,1),"")</f>
        <v>0</v>
      </c>
      <c r="D398" s="1">
        <f>IFERROR(VLOOKUP($B398,'V11'!$A$8:$J$29,4,1),"")</f>
        <v>-2.992475714831607</v>
      </c>
      <c r="E398" s="1">
        <f>IFERROR(VLOOKUP($B398,'V11'!$A$8:$J$29,5,1),"")</f>
        <v>-1.2756855642737031</v>
      </c>
      <c r="F398" s="1">
        <f>IFERROR(VLOOKUP($B398,'V11'!$A$8:$J$29,6,1),"")</f>
        <v>0.44110458628420113</v>
      </c>
      <c r="G398" s="1">
        <f>IFERROR(VLOOKUP($B398,'V11'!$A$8:$J$29,7,1),"")</f>
        <v>2.1578947368421053</v>
      </c>
      <c r="H398" s="1">
        <f>IFERROR(VLOOKUP($B398,'V11'!$A$8:$J$29,8,1),"")</f>
        <v>3.8746848874000097</v>
      </c>
      <c r="I398" s="1">
        <f>IFERROR(VLOOKUP($B398,'V11'!$A$8:$J$29,9,1),"")</f>
        <v>5.5914750379579132</v>
      </c>
      <c r="J398" s="1">
        <f>IFERROR(VLOOKUP($B398,'V11'!$A$8:$J$29,10,1),"")</f>
        <v>7.3082651885158176</v>
      </c>
      <c r="K398">
        <f>IFERROR(VLOOKUP($B398,'V11'!$A$9:$Q$1048576,3,1),"")</f>
        <v>-0.25</v>
      </c>
      <c r="L398">
        <f>IFERROR(VLOOKUP($B398,'V11'!$A$8:$Q$29,11,1),"")</f>
        <v>-0.87603148159081301</v>
      </c>
      <c r="M398">
        <f>IFERROR(VLOOKUP($B398,'V11'!$A$8:$Q$29,12,1),"")</f>
        <v>-0.57305607544650694</v>
      </c>
      <c r="N398">
        <f>IFERROR(VLOOKUP($B398,'V11'!$A$8:$Q$29,13,1),"")</f>
        <v>-0.27008066930220087</v>
      </c>
      <c r="O398">
        <f>IFERROR(VLOOKUP($B398,'V11'!$A$8:$Q$29,14,1),"")</f>
        <v>3.2894736842105261E-2</v>
      </c>
      <c r="P398">
        <f>IFERROR(VLOOKUP($B398,'V11'!$A$8:$Q$29,15,1),"")</f>
        <v>0.33587014298641138</v>
      </c>
      <c r="Q398">
        <f>IFERROR(VLOOKUP($B398,'V11'!$A$8:$Q$29,16,1),"")</f>
        <v>0.63884554913071756</v>
      </c>
      <c r="R398">
        <f>IFERROR(VLOOKUP($B398,'V11'!$A$8:$Q$29,17,1),"")</f>
        <v>0.94182095527502363</v>
      </c>
      <c r="Z398" s="17"/>
      <c r="AY398" s="17"/>
    </row>
    <row r="399" spans="1:51" x14ac:dyDescent="0.25">
      <c r="A399" s="17"/>
      <c r="B399" s="2">
        <f t="shared" si="7"/>
        <v>45170</v>
      </c>
      <c r="C399">
        <f>IFERROR(VLOOKUP($B399,'V11'!$A$9:$J$1048576,2,1),"")</f>
        <v>0</v>
      </c>
      <c r="D399" s="1">
        <f>IFERROR(VLOOKUP($B399,'V11'!$A$8:$J$29,4,1),"")</f>
        <v>-2.992475714831607</v>
      </c>
      <c r="E399" s="1">
        <f>IFERROR(VLOOKUP($B399,'V11'!$A$8:$J$29,5,1),"")</f>
        <v>-1.2756855642737031</v>
      </c>
      <c r="F399" s="1">
        <f>IFERROR(VLOOKUP($B399,'V11'!$A$8:$J$29,6,1),"")</f>
        <v>0.44110458628420113</v>
      </c>
      <c r="G399" s="1">
        <f>IFERROR(VLOOKUP($B399,'V11'!$A$8:$J$29,7,1),"")</f>
        <v>2.1578947368421053</v>
      </c>
      <c r="H399" s="1">
        <f>IFERROR(VLOOKUP($B399,'V11'!$A$8:$J$29,8,1),"")</f>
        <v>3.8746848874000097</v>
      </c>
      <c r="I399" s="1">
        <f>IFERROR(VLOOKUP($B399,'V11'!$A$8:$J$29,9,1),"")</f>
        <v>5.5914750379579132</v>
      </c>
      <c r="J399" s="1">
        <f>IFERROR(VLOOKUP($B399,'V11'!$A$8:$J$29,10,1),"")</f>
        <v>7.3082651885158176</v>
      </c>
      <c r="K399">
        <f>IFERROR(VLOOKUP($B399,'V11'!$A$9:$Q$1048576,3,1),"")</f>
        <v>0</v>
      </c>
      <c r="L399">
        <f>IFERROR(VLOOKUP($B399,'V11'!$A$8:$Q$29,11,1),"")</f>
        <v>-0.87603148159081301</v>
      </c>
      <c r="M399">
        <f>IFERROR(VLOOKUP($B399,'V11'!$A$8:$Q$29,12,1),"")</f>
        <v>-0.57305607544650694</v>
      </c>
      <c r="N399">
        <f>IFERROR(VLOOKUP($B399,'V11'!$A$8:$Q$29,13,1),"")</f>
        <v>-0.27008066930220087</v>
      </c>
      <c r="O399">
        <f>IFERROR(VLOOKUP($B399,'V11'!$A$8:$Q$29,14,1),"")</f>
        <v>3.2894736842105261E-2</v>
      </c>
      <c r="P399">
        <f>IFERROR(VLOOKUP($B399,'V11'!$A$8:$Q$29,15,1),"")</f>
        <v>0.33587014298641138</v>
      </c>
      <c r="Q399">
        <f>IFERROR(VLOOKUP($B399,'V11'!$A$8:$Q$29,16,1),"")</f>
        <v>0.63884554913071756</v>
      </c>
      <c r="R399">
        <f>IFERROR(VLOOKUP($B399,'V11'!$A$8:$Q$29,17,1),"")</f>
        <v>0.94182095527502363</v>
      </c>
      <c r="Z399" s="17"/>
      <c r="AY399" s="17"/>
    </row>
    <row r="400" spans="1:51" x14ac:dyDescent="0.25">
      <c r="A400" s="17"/>
      <c r="B400" s="2">
        <f t="shared" si="7"/>
        <v>45200</v>
      </c>
      <c r="C400">
        <f>IFERROR(VLOOKUP($B400,'V11'!$A$9:$J$1048576,2,1),"")</f>
        <v>2</v>
      </c>
      <c r="D400" s="1">
        <f>IFERROR(VLOOKUP($B400,'V11'!$A$8:$J$29,4,1),"")</f>
        <v>-2.992475714831607</v>
      </c>
      <c r="E400" s="1">
        <f>IFERROR(VLOOKUP($B400,'V11'!$A$8:$J$29,5,1),"")</f>
        <v>-1.2756855642737031</v>
      </c>
      <c r="F400" s="1">
        <f>IFERROR(VLOOKUP($B400,'V11'!$A$8:$J$29,6,1),"")</f>
        <v>0.44110458628420113</v>
      </c>
      <c r="G400" s="1">
        <f>IFERROR(VLOOKUP($B400,'V11'!$A$8:$J$29,7,1),"")</f>
        <v>2.1578947368421053</v>
      </c>
      <c r="H400" s="1">
        <f>IFERROR(VLOOKUP($B400,'V11'!$A$8:$J$29,8,1),"")</f>
        <v>3.8746848874000097</v>
      </c>
      <c r="I400" s="1">
        <f>IFERROR(VLOOKUP($B400,'V11'!$A$8:$J$29,9,1),"")</f>
        <v>5.5914750379579132</v>
      </c>
      <c r="J400" s="1">
        <f>IFERROR(VLOOKUP($B400,'V11'!$A$8:$J$29,10,1),"")</f>
        <v>7.3082651885158176</v>
      </c>
      <c r="K400">
        <f>IFERROR(VLOOKUP($B400,'V11'!$A$9:$Q$1048576,3,1),"")</f>
        <v>0.5</v>
      </c>
      <c r="L400">
        <f>IFERROR(VLOOKUP($B400,'V11'!$A$8:$Q$29,11,1),"")</f>
        <v>-0.87603148159081301</v>
      </c>
      <c r="M400">
        <f>IFERROR(VLOOKUP($B400,'V11'!$A$8:$Q$29,12,1),"")</f>
        <v>-0.57305607544650694</v>
      </c>
      <c r="N400">
        <f>IFERROR(VLOOKUP($B400,'V11'!$A$8:$Q$29,13,1),"")</f>
        <v>-0.27008066930220087</v>
      </c>
      <c r="O400">
        <f>IFERROR(VLOOKUP($B400,'V11'!$A$8:$Q$29,14,1),"")</f>
        <v>3.2894736842105261E-2</v>
      </c>
      <c r="P400">
        <f>IFERROR(VLOOKUP($B400,'V11'!$A$8:$Q$29,15,1),"")</f>
        <v>0.33587014298641138</v>
      </c>
      <c r="Q400">
        <f>IFERROR(VLOOKUP($B400,'V11'!$A$8:$Q$29,16,1),"")</f>
        <v>0.63884554913071756</v>
      </c>
      <c r="R400">
        <f>IFERROR(VLOOKUP($B400,'V11'!$A$8:$Q$29,17,1),"")</f>
        <v>0.94182095527502363</v>
      </c>
      <c r="Z400" s="17"/>
      <c r="AY400" s="17"/>
    </row>
    <row r="401" spans="1:51" x14ac:dyDescent="0.25">
      <c r="A401" s="17"/>
      <c r="B401" s="2">
        <f t="shared" si="7"/>
        <v>45231</v>
      </c>
      <c r="C401">
        <f>IFERROR(VLOOKUP($B401,'V11'!$A$9:$J$1048576,2,1),"")</f>
        <v>3</v>
      </c>
      <c r="D401" s="1">
        <f>IFERROR(VLOOKUP($B401,'V11'!$A$8:$J$29,4,1),"")</f>
        <v>-2.992475714831607</v>
      </c>
      <c r="E401" s="1">
        <f>IFERROR(VLOOKUP($B401,'V11'!$A$8:$J$29,5,1),"")</f>
        <v>-1.2756855642737031</v>
      </c>
      <c r="F401" s="1">
        <f>IFERROR(VLOOKUP($B401,'V11'!$A$8:$J$29,6,1),"")</f>
        <v>0.44110458628420113</v>
      </c>
      <c r="G401" s="1">
        <f>IFERROR(VLOOKUP($B401,'V11'!$A$8:$J$29,7,1),"")</f>
        <v>2.1578947368421053</v>
      </c>
      <c r="H401" s="1">
        <f>IFERROR(VLOOKUP($B401,'V11'!$A$8:$J$29,8,1),"")</f>
        <v>3.8746848874000097</v>
      </c>
      <c r="I401" s="1">
        <f>IFERROR(VLOOKUP($B401,'V11'!$A$8:$J$29,9,1),"")</f>
        <v>5.5914750379579132</v>
      </c>
      <c r="J401" s="1">
        <f>IFERROR(VLOOKUP($B401,'V11'!$A$8:$J$29,10,1),"")</f>
        <v>7.3082651885158176</v>
      </c>
      <c r="K401">
        <f>IFERROR(VLOOKUP($B401,'V11'!$A$9:$Q$1048576,3,1),"")</f>
        <v>0.25</v>
      </c>
      <c r="L401">
        <f>IFERROR(VLOOKUP($B401,'V11'!$A$8:$Q$29,11,1),"")</f>
        <v>-0.87603148159081301</v>
      </c>
      <c r="M401">
        <f>IFERROR(VLOOKUP($B401,'V11'!$A$8:$Q$29,12,1),"")</f>
        <v>-0.57305607544650694</v>
      </c>
      <c r="N401">
        <f>IFERROR(VLOOKUP($B401,'V11'!$A$8:$Q$29,13,1),"")</f>
        <v>-0.27008066930220087</v>
      </c>
      <c r="O401">
        <f>IFERROR(VLOOKUP($B401,'V11'!$A$8:$Q$29,14,1),"")</f>
        <v>3.2894736842105261E-2</v>
      </c>
      <c r="P401">
        <f>IFERROR(VLOOKUP($B401,'V11'!$A$8:$Q$29,15,1),"")</f>
        <v>0.33587014298641138</v>
      </c>
      <c r="Q401">
        <f>IFERROR(VLOOKUP($B401,'V11'!$A$8:$Q$29,16,1),"")</f>
        <v>0.63884554913071756</v>
      </c>
      <c r="R401">
        <f>IFERROR(VLOOKUP($B401,'V11'!$A$8:$Q$29,17,1),"")</f>
        <v>0.94182095527502363</v>
      </c>
      <c r="Z401" s="17"/>
      <c r="AY401" s="17"/>
    </row>
    <row r="402" spans="1:51" x14ac:dyDescent="0.25">
      <c r="A402" s="17"/>
      <c r="B402" s="2">
        <f t="shared" si="7"/>
        <v>45261</v>
      </c>
      <c r="C402">
        <f>IFERROR(VLOOKUP($B402,'V11'!$A$9:$J$1048576,2,1),"")</f>
        <v>3</v>
      </c>
      <c r="D402" s="1">
        <f>IFERROR(VLOOKUP($B402,'V11'!$A$8:$J$29,4,1),"")</f>
        <v>-2.992475714831607</v>
      </c>
      <c r="E402" s="1">
        <f>IFERROR(VLOOKUP($B402,'V11'!$A$8:$J$29,5,1),"")</f>
        <v>-1.2756855642737031</v>
      </c>
      <c r="F402" s="1">
        <f>IFERROR(VLOOKUP($B402,'V11'!$A$8:$J$29,6,1),"")</f>
        <v>0.44110458628420113</v>
      </c>
      <c r="G402" s="1">
        <f>IFERROR(VLOOKUP($B402,'V11'!$A$8:$J$29,7,1),"")</f>
        <v>2.1578947368421053</v>
      </c>
      <c r="H402" s="1">
        <f>IFERROR(VLOOKUP($B402,'V11'!$A$8:$J$29,8,1),"")</f>
        <v>3.8746848874000097</v>
      </c>
      <c r="I402" s="1">
        <f>IFERROR(VLOOKUP($B402,'V11'!$A$8:$J$29,9,1),"")</f>
        <v>5.5914750379579132</v>
      </c>
      <c r="J402" s="1">
        <f>IFERROR(VLOOKUP($B402,'V11'!$A$8:$J$29,10,1),"")</f>
        <v>7.3082651885158176</v>
      </c>
      <c r="K402">
        <f>IFERROR(VLOOKUP($B402,'V11'!$A$9:$Q$1048576,3,1),"")</f>
        <v>0</v>
      </c>
      <c r="L402">
        <f>IFERROR(VLOOKUP($B402,'V11'!$A$8:$Q$29,11,1),"")</f>
        <v>-0.87603148159081301</v>
      </c>
      <c r="M402">
        <f>IFERROR(VLOOKUP($B402,'V11'!$A$8:$Q$29,12,1),"")</f>
        <v>-0.57305607544650694</v>
      </c>
      <c r="N402">
        <f>IFERROR(VLOOKUP($B402,'V11'!$A$8:$Q$29,13,1),"")</f>
        <v>-0.27008066930220087</v>
      </c>
      <c r="O402">
        <f>IFERROR(VLOOKUP($B402,'V11'!$A$8:$Q$29,14,1),"")</f>
        <v>3.2894736842105261E-2</v>
      </c>
      <c r="P402">
        <f>IFERROR(VLOOKUP($B402,'V11'!$A$8:$Q$29,15,1),"")</f>
        <v>0.33587014298641138</v>
      </c>
      <c r="Q402">
        <f>IFERROR(VLOOKUP($B402,'V11'!$A$8:$Q$29,16,1),"")</f>
        <v>0.63884554913071756</v>
      </c>
      <c r="R402">
        <f>IFERROR(VLOOKUP($B402,'V11'!$A$8:$Q$29,17,1),"")</f>
        <v>0.94182095527502363</v>
      </c>
      <c r="Z402" s="17"/>
      <c r="AY402" s="17"/>
    </row>
    <row r="403" spans="1:51" x14ac:dyDescent="0.25">
      <c r="A403" s="17"/>
      <c r="B403" s="2">
        <f t="shared" si="7"/>
        <v>45292</v>
      </c>
      <c r="C403">
        <f>IFERROR(VLOOKUP($B403,'V11'!$A$9:$J$1048576,2,1),"")</f>
        <v>4</v>
      </c>
      <c r="D403" s="1">
        <f>IFERROR(VLOOKUP($B403,'V11'!$A$8:$J$29,4,1),"")</f>
        <v>-2.992475714831607</v>
      </c>
      <c r="E403" s="1">
        <f>IFERROR(VLOOKUP($B403,'V11'!$A$8:$J$29,5,1),"")</f>
        <v>-1.2756855642737031</v>
      </c>
      <c r="F403" s="1">
        <f>IFERROR(VLOOKUP($B403,'V11'!$A$8:$J$29,6,1),"")</f>
        <v>0.44110458628420113</v>
      </c>
      <c r="G403" s="1">
        <f>IFERROR(VLOOKUP($B403,'V11'!$A$8:$J$29,7,1),"")</f>
        <v>2.1578947368421053</v>
      </c>
      <c r="H403" s="1">
        <f>IFERROR(VLOOKUP($B403,'V11'!$A$8:$J$29,8,1),"")</f>
        <v>3.8746848874000097</v>
      </c>
      <c r="I403" s="1">
        <f>IFERROR(VLOOKUP($B403,'V11'!$A$8:$J$29,9,1),"")</f>
        <v>5.5914750379579132</v>
      </c>
      <c r="J403" s="1">
        <f>IFERROR(VLOOKUP($B403,'V11'!$A$8:$J$29,10,1),"")</f>
        <v>7.3082651885158176</v>
      </c>
      <c r="K403">
        <f>IFERROR(VLOOKUP($B403,'V11'!$A$9:$Q$1048576,3,1),"")</f>
        <v>0.25</v>
      </c>
      <c r="L403">
        <f>IFERROR(VLOOKUP($B403,'V11'!$A$8:$Q$29,11,1),"")</f>
        <v>-0.87603148159081301</v>
      </c>
      <c r="M403">
        <f>IFERROR(VLOOKUP($B403,'V11'!$A$8:$Q$29,12,1),"")</f>
        <v>-0.57305607544650694</v>
      </c>
      <c r="N403">
        <f>IFERROR(VLOOKUP($B403,'V11'!$A$8:$Q$29,13,1),"")</f>
        <v>-0.27008066930220087</v>
      </c>
      <c r="O403">
        <f>IFERROR(VLOOKUP($B403,'V11'!$A$8:$Q$29,14,1),"")</f>
        <v>3.2894736842105261E-2</v>
      </c>
      <c r="P403">
        <f>IFERROR(VLOOKUP($B403,'V11'!$A$8:$Q$29,15,1),"")</f>
        <v>0.33587014298641138</v>
      </c>
      <c r="Q403">
        <f>IFERROR(VLOOKUP($B403,'V11'!$A$8:$Q$29,16,1),"")</f>
        <v>0.63884554913071756</v>
      </c>
      <c r="R403">
        <f>IFERROR(VLOOKUP($B403,'V11'!$A$8:$Q$29,17,1),"")</f>
        <v>0.94182095527502363</v>
      </c>
      <c r="Z403" s="17"/>
      <c r="AY403" s="17"/>
    </row>
    <row r="404" spans="1:51" x14ac:dyDescent="0.25">
      <c r="A404" s="17"/>
      <c r="B404" s="2">
        <f t="shared" si="7"/>
        <v>45323</v>
      </c>
      <c r="C404">
        <f>IFERROR(VLOOKUP($B404,'V11'!$A$9:$J$1048576,2,1),"")</f>
        <v>2</v>
      </c>
      <c r="D404" s="1">
        <f>IFERROR(VLOOKUP($B404,'V11'!$A$8:$J$29,4,1),"")</f>
        <v>-2.992475714831607</v>
      </c>
      <c r="E404" s="1">
        <f>IFERROR(VLOOKUP($B404,'V11'!$A$8:$J$29,5,1),"")</f>
        <v>-1.2756855642737031</v>
      </c>
      <c r="F404" s="1">
        <f>IFERROR(VLOOKUP($B404,'V11'!$A$8:$J$29,6,1),"")</f>
        <v>0.44110458628420113</v>
      </c>
      <c r="G404" s="1">
        <f>IFERROR(VLOOKUP($B404,'V11'!$A$8:$J$29,7,1),"")</f>
        <v>2.1578947368421053</v>
      </c>
      <c r="H404" s="1">
        <f>IFERROR(VLOOKUP($B404,'V11'!$A$8:$J$29,8,1),"")</f>
        <v>3.8746848874000097</v>
      </c>
      <c r="I404" s="1">
        <f>IFERROR(VLOOKUP($B404,'V11'!$A$8:$J$29,9,1),"")</f>
        <v>5.5914750379579132</v>
      </c>
      <c r="J404" s="1">
        <f>IFERROR(VLOOKUP($B404,'V11'!$A$8:$J$29,10,1),"")</f>
        <v>7.3082651885158176</v>
      </c>
      <c r="K404">
        <f>IFERROR(VLOOKUP($B404,'V11'!$A$9:$Q$1048576,3,1),"")</f>
        <v>-0.5</v>
      </c>
      <c r="L404">
        <f>IFERROR(VLOOKUP($B404,'V11'!$A$8:$Q$29,11,1),"")</f>
        <v>-0.87603148159081301</v>
      </c>
      <c r="M404">
        <f>IFERROR(VLOOKUP($B404,'V11'!$A$8:$Q$29,12,1),"")</f>
        <v>-0.57305607544650694</v>
      </c>
      <c r="N404">
        <f>IFERROR(VLOOKUP($B404,'V11'!$A$8:$Q$29,13,1),"")</f>
        <v>-0.27008066930220087</v>
      </c>
      <c r="O404">
        <f>IFERROR(VLOOKUP($B404,'V11'!$A$8:$Q$29,14,1),"")</f>
        <v>3.2894736842105261E-2</v>
      </c>
      <c r="P404">
        <f>IFERROR(VLOOKUP($B404,'V11'!$A$8:$Q$29,15,1),"")</f>
        <v>0.33587014298641138</v>
      </c>
      <c r="Q404">
        <f>IFERROR(VLOOKUP($B404,'V11'!$A$8:$Q$29,16,1),"")</f>
        <v>0.63884554913071756</v>
      </c>
      <c r="R404">
        <f>IFERROR(VLOOKUP($B404,'V11'!$A$8:$Q$29,17,1),"")</f>
        <v>0.94182095527502363</v>
      </c>
      <c r="Z404" s="17"/>
      <c r="AY404" s="17"/>
    </row>
    <row r="405" spans="1:51" x14ac:dyDescent="0.25">
      <c r="A405" s="17"/>
      <c r="B405" s="2">
        <f t="shared" si="7"/>
        <v>45352</v>
      </c>
      <c r="C405">
        <f>IFERROR(VLOOKUP($B405,'V11'!$A$9:$J$1048576,2,1),"")</f>
        <v>1</v>
      </c>
      <c r="D405" s="1">
        <f>IFERROR(VLOOKUP($B405,'V11'!$A$8:$J$29,4,1),"")</f>
        <v>-2.992475714831607</v>
      </c>
      <c r="E405" s="1">
        <f>IFERROR(VLOOKUP($B405,'V11'!$A$8:$J$29,5,1),"")</f>
        <v>-1.2756855642737031</v>
      </c>
      <c r="F405" s="1">
        <f>IFERROR(VLOOKUP($B405,'V11'!$A$8:$J$29,6,1),"")</f>
        <v>0.44110458628420113</v>
      </c>
      <c r="G405" s="1">
        <f>IFERROR(VLOOKUP($B405,'V11'!$A$8:$J$29,7,1),"")</f>
        <v>2.1578947368421053</v>
      </c>
      <c r="H405" s="1">
        <f>IFERROR(VLOOKUP($B405,'V11'!$A$8:$J$29,8,1),"")</f>
        <v>3.8746848874000097</v>
      </c>
      <c r="I405" s="1">
        <f>IFERROR(VLOOKUP($B405,'V11'!$A$8:$J$29,9,1),"")</f>
        <v>5.5914750379579132</v>
      </c>
      <c r="J405" s="1">
        <f>IFERROR(VLOOKUP($B405,'V11'!$A$8:$J$29,10,1),"")</f>
        <v>7.3082651885158176</v>
      </c>
      <c r="K405">
        <f>IFERROR(VLOOKUP($B405,'V11'!$A$9:$Q$1048576,3,1),"")</f>
        <v>-0.25</v>
      </c>
      <c r="L405">
        <f>IFERROR(VLOOKUP($B405,'V11'!$A$8:$Q$29,11,1),"")</f>
        <v>-0.87603148159081301</v>
      </c>
      <c r="M405">
        <f>IFERROR(VLOOKUP($B405,'V11'!$A$8:$Q$29,12,1),"")</f>
        <v>-0.57305607544650694</v>
      </c>
      <c r="N405">
        <f>IFERROR(VLOOKUP($B405,'V11'!$A$8:$Q$29,13,1),"")</f>
        <v>-0.27008066930220087</v>
      </c>
      <c r="O405">
        <f>IFERROR(VLOOKUP($B405,'V11'!$A$8:$Q$29,14,1),"")</f>
        <v>3.2894736842105261E-2</v>
      </c>
      <c r="P405">
        <f>IFERROR(VLOOKUP($B405,'V11'!$A$8:$Q$29,15,1),"")</f>
        <v>0.33587014298641138</v>
      </c>
      <c r="Q405">
        <f>IFERROR(VLOOKUP($B405,'V11'!$A$8:$Q$29,16,1),"")</f>
        <v>0.63884554913071756</v>
      </c>
      <c r="R405">
        <f>IFERROR(VLOOKUP($B405,'V11'!$A$8:$Q$29,17,1),"")</f>
        <v>0.94182095527502363</v>
      </c>
      <c r="Z405" s="17"/>
      <c r="AY405" s="17"/>
    </row>
    <row r="406" spans="1:51" x14ac:dyDescent="0.25">
      <c r="A406" s="17"/>
      <c r="B406" s="2">
        <f>EDATE(B407,-1)</f>
        <v>45383</v>
      </c>
      <c r="C406">
        <f>IFERROR(VLOOKUP($B406,'V11'!$A$9:$J$1048576,2,1),"")</f>
        <v>1</v>
      </c>
      <c r="D406" s="1">
        <f>IFERROR(VLOOKUP($B406,'V11'!$A$8:$J$29,4,1),"")</f>
        <v>-2.992475714831607</v>
      </c>
      <c r="E406" s="1">
        <f>IFERROR(VLOOKUP($B406,'V11'!$A$8:$J$29,5,1),"")</f>
        <v>-1.2756855642737031</v>
      </c>
      <c r="F406" s="1">
        <f>IFERROR(VLOOKUP($B406,'V11'!$A$8:$J$29,6,1),"")</f>
        <v>0.44110458628420113</v>
      </c>
      <c r="G406" s="1">
        <f>IFERROR(VLOOKUP($B406,'V11'!$A$8:$J$29,7,1),"")</f>
        <v>2.1578947368421053</v>
      </c>
      <c r="H406" s="1">
        <f>IFERROR(VLOOKUP($B406,'V11'!$A$8:$J$29,8,1),"")</f>
        <v>3.8746848874000097</v>
      </c>
      <c r="I406" s="1">
        <f>IFERROR(VLOOKUP($B406,'V11'!$A$8:$J$29,9,1),"")</f>
        <v>5.5914750379579132</v>
      </c>
      <c r="J406" s="1">
        <f>IFERROR(VLOOKUP($B406,'V11'!$A$8:$J$29,10,1),"")</f>
        <v>7.3082651885158176</v>
      </c>
      <c r="K406">
        <f>IFERROR(VLOOKUP($B406,'V11'!$A$9:$Q$1048576,3,1),"")</f>
        <v>0</v>
      </c>
      <c r="L406">
        <f>IFERROR(VLOOKUP($B406,'V11'!$A$8:$Q$29,11,1),"")</f>
        <v>-0.87603148159081301</v>
      </c>
      <c r="M406">
        <f>IFERROR(VLOOKUP($B406,'V11'!$A$8:$Q$29,12,1),"")</f>
        <v>-0.57305607544650694</v>
      </c>
      <c r="N406">
        <f>IFERROR(VLOOKUP($B406,'V11'!$A$8:$Q$29,13,1),"")</f>
        <v>-0.27008066930220087</v>
      </c>
      <c r="O406">
        <f>IFERROR(VLOOKUP($B406,'V11'!$A$8:$Q$29,14,1),"")</f>
        <v>3.2894736842105261E-2</v>
      </c>
      <c r="P406">
        <f>IFERROR(VLOOKUP($B406,'V11'!$A$8:$Q$29,15,1),"")</f>
        <v>0.33587014298641138</v>
      </c>
      <c r="Q406">
        <f>IFERROR(VLOOKUP($B406,'V11'!$A$8:$Q$29,16,1),"")</f>
        <v>0.63884554913071756</v>
      </c>
      <c r="R406">
        <f>IFERROR(VLOOKUP($B406,'V11'!$A$8:$Q$29,17,1),"")</f>
        <v>0.94182095527502363</v>
      </c>
      <c r="Z406" s="17"/>
      <c r="AY406" s="17"/>
    </row>
    <row r="407" spans="1:51" x14ac:dyDescent="0.25">
      <c r="A407" s="17"/>
      <c r="B407" s="2">
        <f>$E$372</f>
        <v>45413</v>
      </c>
      <c r="C407">
        <f>IFERROR(VLOOKUP($B407,'V11'!$A$9:$J$1048576,2,1),"")</f>
        <v>1</v>
      </c>
      <c r="D407" s="1">
        <f>IFERROR(VLOOKUP($B407,'V11'!$A$8:$J$29,4,1),"")</f>
        <v>-2.992475714831607</v>
      </c>
      <c r="E407" s="1">
        <f>IFERROR(VLOOKUP($B407,'V11'!$A$8:$J$29,5,1),"")</f>
        <v>-1.2756855642737031</v>
      </c>
      <c r="F407" s="1">
        <f>IFERROR(VLOOKUP($B407,'V11'!$A$8:$J$29,6,1),"")</f>
        <v>0.44110458628420113</v>
      </c>
      <c r="G407" s="1">
        <f>IFERROR(VLOOKUP($B407,'V11'!$A$8:$J$29,7,1),"")</f>
        <v>2.1578947368421053</v>
      </c>
      <c r="H407" s="1">
        <f>IFERROR(VLOOKUP($B407,'V11'!$A$8:$J$29,8,1),"")</f>
        <v>3.8746848874000097</v>
      </c>
      <c r="I407" s="1">
        <f>IFERROR(VLOOKUP($B407,'V11'!$A$8:$J$29,9,1),"")</f>
        <v>5.5914750379579132</v>
      </c>
      <c r="J407" s="1">
        <f>IFERROR(VLOOKUP($B407,'V11'!$A$8:$J$29,10,1),"")</f>
        <v>7.3082651885158176</v>
      </c>
      <c r="K407">
        <f>IFERROR(VLOOKUP($B407,'V11'!$A$9:$Q$1048576,3,1),"")</f>
        <v>0</v>
      </c>
      <c r="L407">
        <f>IFERROR(VLOOKUP($B407,'V11'!$A$8:$Q$29,11,1),"")</f>
        <v>-0.87603148159081301</v>
      </c>
      <c r="M407">
        <f>IFERROR(VLOOKUP($B407,'V11'!$A$8:$Q$29,12,1),"")</f>
        <v>-0.57305607544650694</v>
      </c>
      <c r="N407">
        <f>IFERROR(VLOOKUP($B407,'V11'!$A$8:$Q$29,13,1),"")</f>
        <v>-0.27008066930220087</v>
      </c>
      <c r="O407">
        <f>IFERROR(VLOOKUP($B407,'V11'!$A$8:$Q$29,14,1),"")</f>
        <v>3.2894736842105261E-2</v>
      </c>
      <c r="P407">
        <f>IFERROR(VLOOKUP($B407,'V11'!$A$8:$Q$29,15,1),"")</f>
        <v>0.33587014298641138</v>
      </c>
      <c r="Q407">
        <f>IFERROR(VLOOKUP($B407,'V11'!$A$8:$Q$29,16,1),"")</f>
        <v>0.63884554913071756</v>
      </c>
      <c r="R407">
        <f>IFERROR(VLOOKUP($B407,'V11'!$A$8:$Q$29,17,1),"")</f>
        <v>0.94182095527502363</v>
      </c>
      <c r="Z407" s="17"/>
      <c r="AY407" s="17"/>
    </row>
    <row r="408" spans="1:5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</row>
    <row r="409" spans="1:51" ht="50.1" customHeight="1" x14ac:dyDescent="0.25">
      <c r="A409" s="17"/>
      <c r="B409" s="39" t="s">
        <v>64</v>
      </c>
      <c r="C409" s="39"/>
      <c r="D409" s="39"/>
      <c r="E409" s="40">
        <v>45961</v>
      </c>
      <c r="F409" s="40"/>
      <c r="G409" s="40"/>
      <c r="H409" s="40"/>
      <c r="I409" s="40"/>
      <c r="J409" s="40"/>
      <c r="K409" s="40"/>
      <c r="L409" s="40"/>
      <c r="M409" s="40"/>
      <c r="N409" s="44" t="s">
        <v>81</v>
      </c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5"/>
      <c r="AX409" s="46"/>
      <c r="AY409" s="17"/>
    </row>
    <row r="410" spans="1:51" ht="50.1" customHeight="1" x14ac:dyDescent="0.25">
      <c r="A410" s="17"/>
      <c r="B410" s="39" t="s">
        <v>37</v>
      </c>
      <c r="C410" s="39"/>
      <c r="D410" s="39"/>
      <c r="E410" s="43"/>
      <c r="F410" s="43"/>
      <c r="G410" s="43"/>
      <c r="H410" s="39" t="s">
        <v>25</v>
      </c>
      <c r="I410" s="39"/>
      <c r="J410" s="39"/>
      <c r="K410" s="42"/>
      <c r="L410" s="42"/>
      <c r="M410" s="42"/>
      <c r="N410" s="47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9"/>
      <c r="AY410" s="17"/>
    </row>
    <row r="411" spans="1:51" ht="50.1" customHeight="1" x14ac:dyDescent="0.25">
      <c r="A411" s="17"/>
      <c r="B411" s="39" t="s">
        <v>66</v>
      </c>
      <c r="C411" s="39"/>
      <c r="D411" s="39"/>
      <c r="E411" s="43"/>
      <c r="F411" s="43"/>
      <c r="G411" s="43"/>
      <c r="H411" s="39" t="s">
        <v>26</v>
      </c>
      <c r="I411" s="39"/>
      <c r="J411" s="39"/>
      <c r="K411" s="42"/>
      <c r="L411" s="42"/>
      <c r="M411" s="42"/>
      <c r="N411" s="50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2"/>
      <c r="AY411" s="17"/>
    </row>
    <row r="412" spans="1:5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</row>
    <row r="413" spans="1:51" x14ac:dyDescent="0.25">
      <c r="A413" s="17"/>
      <c r="B413" t="s">
        <v>67</v>
      </c>
      <c r="K413" t="s">
        <v>68</v>
      </c>
      <c r="Z413" s="17"/>
      <c r="AY413" s="17"/>
    </row>
    <row r="414" spans="1:51" x14ac:dyDescent="0.25">
      <c r="A414" s="17"/>
      <c r="B414" s="6" t="s">
        <v>69</v>
      </c>
      <c r="C414" s="6" t="s">
        <v>70</v>
      </c>
      <c r="D414" s="6" t="s">
        <v>34</v>
      </c>
      <c r="E414" s="6" t="s">
        <v>35</v>
      </c>
      <c r="F414" s="6" t="s">
        <v>36</v>
      </c>
      <c r="G414" s="6" t="s">
        <v>37</v>
      </c>
      <c r="H414" s="6" t="s">
        <v>38</v>
      </c>
      <c r="I414" s="6" t="s">
        <v>39</v>
      </c>
      <c r="J414" s="6" t="s">
        <v>40</v>
      </c>
      <c r="K414" s="6" t="s">
        <v>70</v>
      </c>
      <c r="L414" t="s">
        <v>34</v>
      </c>
      <c r="M414" t="s">
        <v>35</v>
      </c>
      <c r="N414" t="s">
        <v>36</v>
      </c>
      <c r="O414" t="s">
        <v>37</v>
      </c>
      <c r="P414" t="s">
        <v>38</v>
      </c>
      <c r="Q414" t="s">
        <v>39</v>
      </c>
      <c r="R414" t="s">
        <v>40</v>
      </c>
      <c r="Z414" s="17"/>
      <c r="AY414" s="17"/>
    </row>
    <row r="415" spans="1:51" x14ac:dyDescent="0.25">
      <c r="A415" s="17"/>
      <c r="B415" s="2">
        <f t="shared" ref="B415:B442" si="8">EDATE(B416,-1)</f>
        <v>45074</v>
      </c>
      <c r="C415">
        <f>IFERROR(VLOOKUP($B415,'V12'!$A$9:$J$1048576,2,1),"")</f>
        <v>0</v>
      </c>
      <c r="D415" s="1">
        <f>IFERROR(VLOOKUP($B415,'V12'!$A$8:$J$29,4,1),"")</f>
        <v>-1.0974178889440163</v>
      </c>
      <c r="E415" s="1">
        <f>IFERROR(VLOOKUP($B415,'V12'!$A$8:$J$29,5,1),"")</f>
        <v>-0.62634876806794071</v>
      </c>
      <c r="F415" s="1">
        <f>IFERROR(VLOOKUP($B415,'V12'!$A$8:$J$29,6,1),"")</f>
        <v>-0.1552796471918651</v>
      </c>
      <c r="G415" s="1">
        <f>IFERROR(VLOOKUP($B415,'V12'!$A$8:$J$29,7,1),"")</f>
        <v>0.31578947368421051</v>
      </c>
      <c r="H415" s="1">
        <f>IFERROR(VLOOKUP($B415,'V12'!$A$8:$J$29,8,1),"")</f>
        <v>0.78685859456028617</v>
      </c>
      <c r="I415" s="1">
        <f>IFERROR(VLOOKUP($B415,'V12'!$A$8:$J$29,9,1),"")</f>
        <v>1.2579277154363617</v>
      </c>
      <c r="J415" s="1">
        <f>IFERROR(VLOOKUP($B415,'V12'!$A$8:$J$29,10,1),"")</f>
        <v>1.7289968363124375</v>
      </c>
      <c r="K415">
        <f>IFERROR(VLOOKUP($B415,'V12'!$A$9:$Q$1048576,3,1),"")</f>
        <v>0</v>
      </c>
      <c r="L415">
        <f>IFERROR(VLOOKUP($B415,'V12'!$A$8:$Q$29,11,1),"")</f>
        <v>-0.30202022484631097</v>
      </c>
      <c r="M415">
        <f>IFERROR(VLOOKUP($B415,'V12'!$A$8:$Q$29,12,1),"")</f>
        <v>-0.2013468165642073</v>
      </c>
      <c r="N415">
        <f>IFERROR(VLOOKUP($B415,'V12'!$A$8:$Q$29,13,1),"")</f>
        <v>-0.10067340828210365</v>
      </c>
      <c r="O415">
        <f>IFERROR(VLOOKUP($B415,'V12'!$A$8:$Q$29,14,1),"")</f>
        <v>0</v>
      </c>
      <c r="P415">
        <f>IFERROR(VLOOKUP($B415,'V12'!$A$8:$Q$29,15,1),"")</f>
        <v>0.10067340828210365</v>
      </c>
      <c r="Q415">
        <f>IFERROR(VLOOKUP($B415,'V12'!$A$8:$Q$29,16,1),"")</f>
        <v>0.2013468165642073</v>
      </c>
      <c r="R415">
        <f>IFERROR(VLOOKUP($B415,'V12'!$A$8:$Q$29,17,1),"")</f>
        <v>0.30202022484631097</v>
      </c>
      <c r="Z415" s="17"/>
      <c r="AY415" s="17"/>
    </row>
    <row r="416" spans="1:51" x14ac:dyDescent="0.25">
      <c r="A416" s="17"/>
      <c r="B416" s="2">
        <f t="shared" si="8"/>
        <v>45105</v>
      </c>
      <c r="C416">
        <f>IFERROR(VLOOKUP($B416,'V12'!$A$9:$J$1048576,2,1),"")</f>
        <v>0</v>
      </c>
      <c r="D416" s="1">
        <f>IFERROR(VLOOKUP($B416,'V12'!$A$8:$J$29,4,1),"")</f>
        <v>-1.0974178889440163</v>
      </c>
      <c r="E416" s="1">
        <f>IFERROR(VLOOKUP($B416,'V12'!$A$8:$J$29,5,1),"")</f>
        <v>-0.62634876806794071</v>
      </c>
      <c r="F416" s="1">
        <f>IFERROR(VLOOKUP($B416,'V12'!$A$8:$J$29,6,1),"")</f>
        <v>-0.1552796471918651</v>
      </c>
      <c r="G416" s="1">
        <f>IFERROR(VLOOKUP($B416,'V12'!$A$8:$J$29,7,1),"")</f>
        <v>0.31578947368421051</v>
      </c>
      <c r="H416" s="1">
        <f>IFERROR(VLOOKUP($B416,'V12'!$A$8:$J$29,8,1),"")</f>
        <v>0.78685859456028617</v>
      </c>
      <c r="I416" s="1">
        <f>IFERROR(VLOOKUP($B416,'V12'!$A$8:$J$29,9,1),"")</f>
        <v>1.2579277154363617</v>
      </c>
      <c r="J416" s="1">
        <f>IFERROR(VLOOKUP($B416,'V12'!$A$8:$J$29,10,1),"")</f>
        <v>1.7289968363124375</v>
      </c>
      <c r="K416">
        <f>IFERROR(VLOOKUP($B416,'V12'!$A$9:$Q$1048576,3,1),"")</f>
        <v>0</v>
      </c>
      <c r="L416">
        <f>IFERROR(VLOOKUP($B416,'V12'!$A$8:$Q$29,11,1),"")</f>
        <v>-0.30202022484631097</v>
      </c>
      <c r="M416">
        <f>IFERROR(VLOOKUP($B416,'V12'!$A$8:$Q$29,12,1),"")</f>
        <v>-0.2013468165642073</v>
      </c>
      <c r="N416">
        <f>IFERROR(VLOOKUP($B416,'V12'!$A$8:$Q$29,13,1),"")</f>
        <v>-0.10067340828210365</v>
      </c>
      <c r="O416">
        <f>IFERROR(VLOOKUP($B416,'V12'!$A$8:$Q$29,14,1),"")</f>
        <v>0</v>
      </c>
      <c r="P416">
        <f>IFERROR(VLOOKUP($B416,'V12'!$A$8:$Q$29,15,1),"")</f>
        <v>0.10067340828210365</v>
      </c>
      <c r="Q416">
        <f>IFERROR(VLOOKUP($B416,'V12'!$A$8:$Q$29,16,1),"")</f>
        <v>0.2013468165642073</v>
      </c>
      <c r="R416">
        <f>IFERROR(VLOOKUP($B416,'V12'!$A$8:$Q$29,17,1),"")</f>
        <v>0.30202022484631097</v>
      </c>
      <c r="Z416" s="17"/>
      <c r="AY416" s="17"/>
    </row>
    <row r="417" spans="1:51" x14ac:dyDescent="0.25">
      <c r="A417" s="17"/>
      <c r="B417" s="2">
        <f t="shared" si="8"/>
        <v>45135</v>
      </c>
      <c r="C417">
        <f>IFERROR(VLOOKUP($B417,'V12'!$A$9:$J$1048576,2,1),"")</f>
        <v>0</v>
      </c>
      <c r="D417" s="1">
        <f>IFERROR(VLOOKUP($B417,'V12'!$A$8:$J$29,4,1),"")</f>
        <v>-1.0974178889440163</v>
      </c>
      <c r="E417" s="1">
        <f>IFERROR(VLOOKUP($B417,'V12'!$A$8:$J$29,5,1),"")</f>
        <v>-0.62634876806794071</v>
      </c>
      <c r="F417" s="1">
        <f>IFERROR(VLOOKUP($B417,'V12'!$A$8:$J$29,6,1),"")</f>
        <v>-0.1552796471918651</v>
      </c>
      <c r="G417" s="1">
        <f>IFERROR(VLOOKUP($B417,'V12'!$A$8:$J$29,7,1),"")</f>
        <v>0.31578947368421051</v>
      </c>
      <c r="H417" s="1">
        <f>IFERROR(VLOOKUP($B417,'V12'!$A$8:$J$29,8,1),"")</f>
        <v>0.78685859456028617</v>
      </c>
      <c r="I417" s="1">
        <f>IFERROR(VLOOKUP($B417,'V12'!$A$8:$J$29,9,1),"")</f>
        <v>1.2579277154363617</v>
      </c>
      <c r="J417" s="1">
        <f>IFERROR(VLOOKUP($B417,'V12'!$A$8:$J$29,10,1),"")</f>
        <v>1.7289968363124375</v>
      </c>
      <c r="K417">
        <f>IFERROR(VLOOKUP($B417,'V12'!$A$9:$Q$1048576,3,1),"")</f>
        <v>0</v>
      </c>
      <c r="L417">
        <f>IFERROR(VLOOKUP($B417,'V12'!$A$8:$Q$29,11,1),"")</f>
        <v>-0.30202022484631097</v>
      </c>
      <c r="M417">
        <f>IFERROR(VLOOKUP($B417,'V12'!$A$8:$Q$29,12,1),"")</f>
        <v>-0.2013468165642073</v>
      </c>
      <c r="N417">
        <f>IFERROR(VLOOKUP($B417,'V12'!$A$8:$Q$29,13,1),"")</f>
        <v>-0.10067340828210365</v>
      </c>
      <c r="O417">
        <f>IFERROR(VLOOKUP($B417,'V12'!$A$8:$Q$29,14,1),"")</f>
        <v>0</v>
      </c>
      <c r="P417">
        <f>IFERROR(VLOOKUP($B417,'V12'!$A$8:$Q$29,15,1),"")</f>
        <v>0.10067340828210365</v>
      </c>
      <c r="Q417">
        <f>IFERROR(VLOOKUP($B417,'V12'!$A$8:$Q$29,16,1),"")</f>
        <v>0.2013468165642073</v>
      </c>
      <c r="R417">
        <f>IFERROR(VLOOKUP($B417,'V12'!$A$8:$Q$29,17,1),"")</f>
        <v>0.30202022484631097</v>
      </c>
      <c r="Z417" s="17"/>
      <c r="AY417" s="17"/>
    </row>
    <row r="418" spans="1:51" x14ac:dyDescent="0.25">
      <c r="A418" s="17"/>
      <c r="B418" s="2">
        <f t="shared" si="8"/>
        <v>45166</v>
      </c>
      <c r="C418">
        <f>IFERROR(VLOOKUP($B418,'V12'!$A$9:$J$1048576,2,1),"")</f>
        <v>0</v>
      </c>
      <c r="D418" s="1">
        <f>IFERROR(VLOOKUP($B418,'V12'!$A$8:$J$29,4,1),"")</f>
        <v>-1.0974178889440163</v>
      </c>
      <c r="E418" s="1">
        <f>IFERROR(VLOOKUP($B418,'V12'!$A$8:$J$29,5,1),"")</f>
        <v>-0.62634876806794071</v>
      </c>
      <c r="F418" s="1">
        <f>IFERROR(VLOOKUP($B418,'V12'!$A$8:$J$29,6,1),"")</f>
        <v>-0.1552796471918651</v>
      </c>
      <c r="G418" s="1">
        <f>IFERROR(VLOOKUP($B418,'V12'!$A$8:$J$29,7,1),"")</f>
        <v>0.31578947368421051</v>
      </c>
      <c r="H418" s="1">
        <f>IFERROR(VLOOKUP($B418,'V12'!$A$8:$J$29,8,1),"")</f>
        <v>0.78685859456028617</v>
      </c>
      <c r="I418" s="1">
        <f>IFERROR(VLOOKUP($B418,'V12'!$A$8:$J$29,9,1),"")</f>
        <v>1.2579277154363617</v>
      </c>
      <c r="J418" s="1">
        <f>IFERROR(VLOOKUP($B418,'V12'!$A$8:$J$29,10,1),"")</f>
        <v>1.7289968363124375</v>
      </c>
      <c r="K418">
        <f>IFERROR(VLOOKUP($B418,'V12'!$A$9:$Q$1048576,3,1),"")</f>
        <v>0</v>
      </c>
      <c r="L418">
        <f>IFERROR(VLOOKUP($B418,'V12'!$A$8:$Q$29,11,1),"")</f>
        <v>-0.30202022484631097</v>
      </c>
      <c r="M418">
        <f>IFERROR(VLOOKUP($B418,'V12'!$A$8:$Q$29,12,1),"")</f>
        <v>-0.2013468165642073</v>
      </c>
      <c r="N418">
        <f>IFERROR(VLOOKUP($B418,'V12'!$A$8:$Q$29,13,1),"")</f>
        <v>-0.10067340828210365</v>
      </c>
      <c r="O418">
        <f>IFERROR(VLOOKUP($B418,'V12'!$A$8:$Q$29,14,1),"")</f>
        <v>0</v>
      </c>
      <c r="P418">
        <f>IFERROR(VLOOKUP($B418,'V12'!$A$8:$Q$29,15,1),"")</f>
        <v>0.10067340828210365</v>
      </c>
      <c r="Q418">
        <f>IFERROR(VLOOKUP($B418,'V12'!$A$8:$Q$29,16,1),"")</f>
        <v>0.2013468165642073</v>
      </c>
      <c r="R418">
        <f>IFERROR(VLOOKUP($B418,'V12'!$A$8:$Q$29,17,1),"")</f>
        <v>0.30202022484631097</v>
      </c>
      <c r="Z418" s="17"/>
      <c r="AY418" s="17"/>
    </row>
    <row r="419" spans="1:51" x14ac:dyDescent="0.25">
      <c r="A419" s="17"/>
      <c r="B419" s="2">
        <f t="shared" si="8"/>
        <v>45197</v>
      </c>
      <c r="C419">
        <f>IFERROR(VLOOKUP($B419,'V12'!$A$9:$J$1048576,2,1),"")</f>
        <v>0</v>
      </c>
      <c r="D419" s="1">
        <f>IFERROR(VLOOKUP($B419,'V12'!$A$8:$J$29,4,1),"")</f>
        <v>-1.0974178889440163</v>
      </c>
      <c r="E419" s="1">
        <f>IFERROR(VLOOKUP($B419,'V12'!$A$8:$J$29,5,1),"")</f>
        <v>-0.62634876806794071</v>
      </c>
      <c r="F419" s="1">
        <f>IFERROR(VLOOKUP($B419,'V12'!$A$8:$J$29,6,1),"")</f>
        <v>-0.1552796471918651</v>
      </c>
      <c r="G419" s="1">
        <f>IFERROR(VLOOKUP($B419,'V12'!$A$8:$J$29,7,1),"")</f>
        <v>0.31578947368421051</v>
      </c>
      <c r="H419" s="1">
        <f>IFERROR(VLOOKUP($B419,'V12'!$A$8:$J$29,8,1),"")</f>
        <v>0.78685859456028617</v>
      </c>
      <c r="I419" s="1">
        <f>IFERROR(VLOOKUP($B419,'V12'!$A$8:$J$29,9,1),"")</f>
        <v>1.2579277154363617</v>
      </c>
      <c r="J419" s="1">
        <f>IFERROR(VLOOKUP($B419,'V12'!$A$8:$J$29,10,1),"")</f>
        <v>1.7289968363124375</v>
      </c>
      <c r="K419">
        <f>IFERROR(VLOOKUP($B419,'V12'!$A$9:$Q$1048576,3,1),"")</f>
        <v>0</v>
      </c>
      <c r="L419">
        <f>IFERROR(VLOOKUP($B419,'V12'!$A$8:$Q$29,11,1),"")</f>
        <v>-0.30202022484631097</v>
      </c>
      <c r="M419">
        <f>IFERROR(VLOOKUP($B419,'V12'!$A$8:$Q$29,12,1),"")</f>
        <v>-0.2013468165642073</v>
      </c>
      <c r="N419">
        <f>IFERROR(VLOOKUP($B419,'V12'!$A$8:$Q$29,13,1),"")</f>
        <v>-0.10067340828210365</v>
      </c>
      <c r="O419">
        <f>IFERROR(VLOOKUP($B419,'V12'!$A$8:$Q$29,14,1),"")</f>
        <v>0</v>
      </c>
      <c r="P419">
        <f>IFERROR(VLOOKUP($B419,'V12'!$A$8:$Q$29,15,1),"")</f>
        <v>0.10067340828210365</v>
      </c>
      <c r="Q419">
        <f>IFERROR(VLOOKUP($B419,'V12'!$A$8:$Q$29,16,1),"")</f>
        <v>0.2013468165642073</v>
      </c>
      <c r="R419">
        <f>IFERROR(VLOOKUP($B419,'V12'!$A$8:$Q$29,17,1),"")</f>
        <v>0.30202022484631097</v>
      </c>
      <c r="Z419" s="17"/>
      <c r="AY419" s="17"/>
    </row>
    <row r="420" spans="1:51" x14ac:dyDescent="0.25">
      <c r="A420" s="17"/>
      <c r="B420" s="2">
        <f t="shared" si="8"/>
        <v>45227</v>
      </c>
      <c r="C420">
        <f>IFERROR(VLOOKUP($B420,'V12'!$A$9:$J$1048576,2,1),"")</f>
        <v>0</v>
      </c>
      <c r="D420" s="1">
        <f>IFERROR(VLOOKUP($B420,'V12'!$A$8:$J$29,4,1),"")</f>
        <v>-1.0974178889440163</v>
      </c>
      <c r="E420" s="1">
        <f>IFERROR(VLOOKUP($B420,'V12'!$A$8:$J$29,5,1),"")</f>
        <v>-0.62634876806794071</v>
      </c>
      <c r="F420" s="1">
        <f>IFERROR(VLOOKUP($B420,'V12'!$A$8:$J$29,6,1),"")</f>
        <v>-0.1552796471918651</v>
      </c>
      <c r="G420" s="1">
        <f>IFERROR(VLOOKUP($B420,'V12'!$A$8:$J$29,7,1),"")</f>
        <v>0.31578947368421051</v>
      </c>
      <c r="H420" s="1">
        <f>IFERROR(VLOOKUP($B420,'V12'!$A$8:$J$29,8,1),"")</f>
        <v>0.78685859456028617</v>
      </c>
      <c r="I420" s="1">
        <f>IFERROR(VLOOKUP($B420,'V12'!$A$8:$J$29,9,1),"")</f>
        <v>1.2579277154363617</v>
      </c>
      <c r="J420" s="1">
        <f>IFERROR(VLOOKUP($B420,'V12'!$A$8:$J$29,10,1),"")</f>
        <v>1.7289968363124375</v>
      </c>
      <c r="K420">
        <f>IFERROR(VLOOKUP($B420,'V12'!$A$9:$Q$1048576,3,1),"")</f>
        <v>0</v>
      </c>
      <c r="L420">
        <f>IFERROR(VLOOKUP($B420,'V12'!$A$8:$Q$29,11,1),"")</f>
        <v>-0.30202022484631097</v>
      </c>
      <c r="M420">
        <f>IFERROR(VLOOKUP($B420,'V12'!$A$8:$Q$29,12,1),"")</f>
        <v>-0.2013468165642073</v>
      </c>
      <c r="N420">
        <f>IFERROR(VLOOKUP($B420,'V12'!$A$8:$Q$29,13,1),"")</f>
        <v>-0.10067340828210365</v>
      </c>
      <c r="O420">
        <f>IFERROR(VLOOKUP($B420,'V12'!$A$8:$Q$29,14,1),"")</f>
        <v>0</v>
      </c>
      <c r="P420">
        <f>IFERROR(VLOOKUP($B420,'V12'!$A$8:$Q$29,15,1),"")</f>
        <v>0.10067340828210365</v>
      </c>
      <c r="Q420">
        <f>IFERROR(VLOOKUP($B420,'V12'!$A$8:$Q$29,16,1),"")</f>
        <v>0.2013468165642073</v>
      </c>
      <c r="R420">
        <f>IFERROR(VLOOKUP($B420,'V12'!$A$8:$Q$29,17,1),"")</f>
        <v>0.30202022484631097</v>
      </c>
      <c r="Z420" s="17"/>
      <c r="AY420" s="17"/>
    </row>
    <row r="421" spans="1:51" x14ac:dyDescent="0.25">
      <c r="A421" s="17"/>
      <c r="B421" s="2">
        <f t="shared" si="8"/>
        <v>45258</v>
      </c>
      <c r="C421">
        <f>IFERROR(VLOOKUP($B421,'V12'!$A$9:$J$1048576,2,1),"")</f>
        <v>0</v>
      </c>
      <c r="D421" s="1">
        <f>IFERROR(VLOOKUP($B421,'V12'!$A$8:$J$29,4,1),"")</f>
        <v>-1.0974178889440163</v>
      </c>
      <c r="E421" s="1">
        <f>IFERROR(VLOOKUP($B421,'V12'!$A$8:$J$29,5,1),"")</f>
        <v>-0.62634876806794071</v>
      </c>
      <c r="F421" s="1">
        <f>IFERROR(VLOOKUP($B421,'V12'!$A$8:$J$29,6,1),"")</f>
        <v>-0.1552796471918651</v>
      </c>
      <c r="G421" s="1">
        <f>IFERROR(VLOOKUP($B421,'V12'!$A$8:$J$29,7,1),"")</f>
        <v>0.31578947368421051</v>
      </c>
      <c r="H421" s="1">
        <f>IFERROR(VLOOKUP($B421,'V12'!$A$8:$J$29,8,1),"")</f>
        <v>0.78685859456028617</v>
      </c>
      <c r="I421" s="1">
        <f>IFERROR(VLOOKUP($B421,'V12'!$A$8:$J$29,9,1),"")</f>
        <v>1.2579277154363617</v>
      </c>
      <c r="J421" s="1">
        <f>IFERROR(VLOOKUP($B421,'V12'!$A$8:$J$29,10,1),"")</f>
        <v>1.7289968363124375</v>
      </c>
      <c r="K421">
        <f>IFERROR(VLOOKUP($B421,'V12'!$A$9:$Q$1048576,3,1),"")</f>
        <v>0</v>
      </c>
      <c r="L421">
        <f>IFERROR(VLOOKUP($B421,'V12'!$A$8:$Q$29,11,1),"")</f>
        <v>-0.30202022484631097</v>
      </c>
      <c r="M421">
        <f>IFERROR(VLOOKUP($B421,'V12'!$A$8:$Q$29,12,1),"")</f>
        <v>-0.2013468165642073</v>
      </c>
      <c r="N421">
        <f>IFERROR(VLOOKUP($B421,'V12'!$A$8:$Q$29,13,1),"")</f>
        <v>-0.10067340828210365</v>
      </c>
      <c r="O421">
        <f>IFERROR(VLOOKUP($B421,'V12'!$A$8:$Q$29,14,1),"")</f>
        <v>0</v>
      </c>
      <c r="P421">
        <f>IFERROR(VLOOKUP($B421,'V12'!$A$8:$Q$29,15,1),"")</f>
        <v>0.10067340828210365</v>
      </c>
      <c r="Q421">
        <f>IFERROR(VLOOKUP($B421,'V12'!$A$8:$Q$29,16,1),"")</f>
        <v>0.2013468165642073</v>
      </c>
      <c r="R421">
        <f>IFERROR(VLOOKUP($B421,'V12'!$A$8:$Q$29,17,1),"")</f>
        <v>0.30202022484631097</v>
      </c>
      <c r="Z421" s="17"/>
      <c r="AY421" s="17"/>
    </row>
    <row r="422" spans="1:51" x14ac:dyDescent="0.25">
      <c r="A422" s="17"/>
      <c r="B422" s="2">
        <f t="shared" si="8"/>
        <v>45288</v>
      </c>
      <c r="C422">
        <f>IFERROR(VLOOKUP($B422,'V12'!$A$9:$J$1048576,2,1),"")</f>
        <v>0</v>
      </c>
      <c r="D422" s="1">
        <f>IFERROR(VLOOKUP($B422,'V12'!$A$8:$J$29,4,1),"")</f>
        <v>-1.0974178889440163</v>
      </c>
      <c r="E422" s="1">
        <f>IFERROR(VLOOKUP($B422,'V12'!$A$8:$J$29,5,1),"")</f>
        <v>-0.62634876806794071</v>
      </c>
      <c r="F422" s="1">
        <f>IFERROR(VLOOKUP($B422,'V12'!$A$8:$J$29,6,1),"")</f>
        <v>-0.1552796471918651</v>
      </c>
      <c r="G422" s="1">
        <f>IFERROR(VLOOKUP($B422,'V12'!$A$8:$J$29,7,1),"")</f>
        <v>0.31578947368421051</v>
      </c>
      <c r="H422" s="1">
        <f>IFERROR(VLOOKUP($B422,'V12'!$A$8:$J$29,8,1),"")</f>
        <v>0.78685859456028617</v>
      </c>
      <c r="I422" s="1">
        <f>IFERROR(VLOOKUP($B422,'V12'!$A$8:$J$29,9,1),"")</f>
        <v>1.2579277154363617</v>
      </c>
      <c r="J422" s="1">
        <f>IFERROR(VLOOKUP($B422,'V12'!$A$8:$J$29,10,1),"")</f>
        <v>1.7289968363124375</v>
      </c>
      <c r="K422">
        <f>IFERROR(VLOOKUP($B422,'V12'!$A$9:$Q$1048576,3,1),"")</f>
        <v>0</v>
      </c>
      <c r="L422">
        <f>IFERROR(VLOOKUP($B422,'V12'!$A$8:$Q$29,11,1),"")</f>
        <v>-0.30202022484631097</v>
      </c>
      <c r="M422">
        <f>IFERROR(VLOOKUP($B422,'V12'!$A$8:$Q$29,12,1),"")</f>
        <v>-0.2013468165642073</v>
      </c>
      <c r="N422">
        <f>IFERROR(VLOOKUP($B422,'V12'!$A$8:$Q$29,13,1),"")</f>
        <v>-0.10067340828210365</v>
      </c>
      <c r="O422">
        <f>IFERROR(VLOOKUP($B422,'V12'!$A$8:$Q$29,14,1),"")</f>
        <v>0</v>
      </c>
      <c r="P422">
        <f>IFERROR(VLOOKUP($B422,'V12'!$A$8:$Q$29,15,1),"")</f>
        <v>0.10067340828210365</v>
      </c>
      <c r="Q422">
        <f>IFERROR(VLOOKUP($B422,'V12'!$A$8:$Q$29,16,1),"")</f>
        <v>0.2013468165642073</v>
      </c>
      <c r="R422">
        <f>IFERROR(VLOOKUP($B422,'V12'!$A$8:$Q$29,17,1),"")</f>
        <v>0.30202022484631097</v>
      </c>
      <c r="Z422" s="17"/>
      <c r="AY422" s="17"/>
    </row>
    <row r="423" spans="1:51" x14ac:dyDescent="0.25">
      <c r="A423" s="17"/>
      <c r="B423" s="2">
        <f t="shared" si="8"/>
        <v>45319</v>
      </c>
      <c r="C423">
        <f>IFERROR(VLOOKUP($B423,'V12'!$A$9:$J$1048576,2,1),"")</f>
        <v>0</v>
      </c>
      <c r="D423" s="1">
        <f>IFERROR(VLOOKUP($B423,'V12'!$A$8:$J$29,4,1),"")</f>
        <v>-1.0974178889440163</v>
      </c>
      <c r="E423" s="1">
        <f>IFERROR(VLOOKUP($B423,'V12'!$A$8:$J$29,5,1),"")</f>
        <v>-0.62634876806794071</v>
      </c>
      <c r="F423" s="1">
        <f>IFERROR(VLOOKUP($B423,'V12'!$A$8:$J$29,6,1),"")</f>
        <v>-0.1552796471918651</v>
      </c>
      <c r="G423" s="1">
        <f>IFERROR(VLOOKUP($B423,'V12'!$A$8:$J$29,7,1),"")</f>
        <v>0.31578947368421051</v>
      </c>
      <c r="H423" s="1">
        <f>IFERROR(VLOOKUP($B423,'V12'!$A$8:$J$29,8,1),"")</f>
        <v>0.78685859456028617</v>
      </c>
      <c r="I423" s="1">
        <f>IFERROR(VLOOKUP($B423,'V12'!$A$8:$J$29,9,1),"")</f>
        <v>1.2579277154363617</v>
      </c>
      <c r="J423" s="1">
        <f>IFERROR(VLOOKUP($B423,'V12'!$A$8:$J$29,10,1),"")</f>
        <v>1.7289968363124375</v>
      </c>
      <c r="K423">
        <f>IFERROR(VLOOKUP($B423,'V12'!$A$9:$Q$1048576,3,1),"")</f>
        <v>0</v>
      </c>
      <c r="L423">
        <f>IFERROR(VLOOKUP($B423,'V12'!$A$8:$Q$29,11,1),"")</f>
        <v>-0.30202022484631097</v>
      </c>
      <c r="M423">
        <f>IFERROR(VLOOKUP($B423,'V12'!$A$8:$Q$29,12,1),"")</f>
        <v>-0.2013468165642073</v>
      </c>
      <c r="N423">
        <f>IFERROR(VLOOKUP($B423,'V12'!$A$8:$Q$29,13,1),"")</f>
        <v>-0.10067340828210365</v>
      </c>
      <c r="O423">
        <f>IFERROR(VLOOKUP($B423,'V12'!$A$8:$Q$29,14,1),"")</f>
        <v>0</v>
      </c>
      <c r="P423">
        <f>IFERROR(VLOOKUP($B423,'V12'!$A$8:$Q$29,15,1),"")</f>
        <v>0.10067340828210365</v>
      </c>
      <c r="Q423">
        <f>IFERROR(VLOOKUP($B423,'V12'!$A$8:$Q$29,16,1),"")</f>
        <v>0.2013468165642073</v>
      </c>
      <c r="R423">
        <f>IFERROR(VLOOKUP($B423,'V12'!$A$8:$Q$29,17,1),"")</f>
        <v>0.30202022484631097</v>
      </c>
      <c r="Z423" s="17"/>
      <c r="AY423" s="17"/>
    </row>
    <row r="424" spans="1:51" x14ac:dyDescent="0.25">
      <c r="A424" s="17"/>
      <c r="B424" s="2">
        <f t="shared" si="8"/>
        <v>45350</v>
      </c>
      <c r="C424">
        <f>IFERROR(VLOOKUP($B424,'V12'!$A$9:$J$1048576,2,1),"")</f>
        <v>0</v>
      </c>
      <c r="D424" s="1">
        <f>IFERROR(VLOOKUP($B424,'V12'!$A$8:$J$29,4,1),"")</f>
        <v>-1.0974178889440163</v>
      </c>
      <c r="E424" s="1">
        <f>IFERROR(VLOOKUP($B424,'V12'!$A$8:$J$29,5,1),"")</f>
        <v>-0.62634876806794071</v>
      </c>
      <c r="F424" s="1">
        <f>IFERROR(VLOOKUP($B424,'V12'!$A$8:$J$29,6,1),"")</f>
        <v>-0.1552796471918651</v>
      </c>
      <c r="G424" s="1">
        <f>IFERROR(VLOOKUP($B424,'V12'!$A$8:$J$29,7,1),"")</f>
        <v>0.31578947368421051</v>
      </c>
      <c r="H424" s="1">
        <f>IFERROR(VLOOKUP($B424,'V12'!$A$8:$J$29,8,1),"")</f>
        <v>0.78685859456028617</v>
      </c>
      <c r="I424" s="1">
        <f>IFERROR(VLOOKUP($B424,'V12'!$A$8:$J$29,9,1),"")</f>
        <v>1.2579277154363617</v>
      </c>
      <c r="J424" s="1">
        <f>IFERROR(VLOOKUP($B424,'V12'!$A$8:$J$29,10,1),"")</f>
        <v>1.7289968363124375</v>
      </c>
      <c r="K424">
        <f>IFERROR(VLOOKUP($B424,'V12'!$A$9:$Q$1048576,3,1),"")</f>
        <v>0</v>
      </c>
      <c r="L424">
        <f>IFERROR(VLOOKUP($B424,'V12'!$A$8:$Q$29,11,1),"")</f>
        <v>-0.30202022484631097</v>
      </c>
      <c r="M424">
        <f>IFERROR(VLOOKUP($B424,'V12'!$A$8:$Q$29,12,1),"")</f>
        <v>-0.2013468165642073</v>
      </c>
      <c r="N424">
        <f>IFERROR(VLOOKUP($B424,'V12'!$A$8:$Q$29,13,1),"")</f>
        <v>-0.10067340828210365</v>
      </c>
      <c r="O424">
        <f>IFERROR(VLOOKUP($B424,'V12'!$A$8:$Q$29,14,1),"")</f>
        <v>0</v>
      </c>
      <c r="P424">
        <f>IFERROR(VLOOKUP($B424,'V12'!$A$8:$Q$29,15,1),"")</f>
        <v>0.10067340828210365</v>
      </c>
      <c r="Q424">
        <f>IFERROR(VLOOKUP($B424,'V12'!$A$8:$Q$29,16,1),"")</f>
        <v>0.2013468165642073</v>
      </c>
      <c r="R424">
        <f>IFERROR(VLOOKUP($B424,'V12'!$A$8:$Q$29,17,1),"")</f>
        <v>0.30202022484631097</v>
      </c>
      <c r="Z424" s="17"/>
      <c r="AY424" s="17"/>
    </row>
    <row r="425" spans="1:51" x14ac:dyDescent="0.25">
      <c r="A425" s="17"/>
      <c r="B425" s="2">
        <f t="shared" si="8"/>
        <v>45379</v>
      </c>
      <c r="C425">
        <f>IFERROR(VLOOKUP($B425,'V12'!$A$9:$J$1048576,2,1),"")</f>
        <v>0</v>
      </c>
      <c r="D425" s="1">
        <f>IFERROR(VLOOKUP($B425,'V12'!$A$8:$J$29,4,1),"")</f>
        <v>-1.0974178889440163</v>
      </c>
      <c r="E425" s="1">
        <f>IFERROR(VLOOKUP($B425,'V12'!$A$8:$J$29,5,1),"")</f>
        <v>-0.62634876806794071</v>
      </c>
      <c r="F425" s="1">
        <f>IFERROR(VLOOKUP($B425,'V12'!$A$8:$J$29,6,1),"")</f>
        <v>-0.1552796471918651</v>
      </c>
      <c r="G425" s="1">
        <f>IFERROR(VLOOKUP($B425,'V12'!$A$8:$J$29,7,1),"")</f>
        <v>0.31578947368421051</v>
      </c>
      <c r="H425" s="1">
        <f>IFERROR(VLOOKUP($B425,'V12'!$A$8:$J$29,8,1),"")</f>
        <v>0.78685859456028617</v>
      </c>
      <c r="I425" s="1">
        <f>IFERROR(VLOOKUP($B425,'V12'!$A$8:$J$29,9,1),"")</f>
        <v>1.2579277154363617</v>
      </c>
      <c r="J425" s="1">
        <f>IFERROR(VLOOKUP($B425,'V12'!$A$8:$J$29,10,1),"")</f>
        <v>1.7289968363124375</v>
      </c>
      <c r="K425">
        <f>IFERROR(VLOOKUP($B425,'V12'!$A$9:$Q$1048576,3,1),"")</f>
        <v>0</v>
      </c>
      <c r="L425">
        <f>IFERROR(VLOOKUP($B425,'V12'!$A$8:$Q$29,11,1),"")</f>
        <v>-0.30202022484631097</v>
      </c>
      <c r="M425">
        <f>IFERROR(VLOOKUP($B425,'V12'!$A$8:$Q$29,12,1),"")</f>
        <v>-0.2013468165642073</v>
      </c>
      <c r="N425">
        <f>IFERROR(VLOOKUP($B425,'V12'!$A$8:$Q$29,13,1),"")</f>
        <v>-0.10067340828210365</v>
      </c>
      <c r="O425">
        <f>IFERROR(VLOOKUP($B425,'V12'!$A$8:$Q$29,14,1),"")</f>
        <v>0</v>
      </c>
      <c r="P425">
        <f>IFERROR(VLOOKUP($B425,'V12'!$A$8:$Q$29,15,1),"")</f>
        <v>0.10067340828210365</v>
      </c>
      <c r="Q425">
        <f>IFERROR(VLOOKUP($B425,'V12'!$A$8:$Q$29,16,1),"")</f>
        <v>0.2013468165642073</v>
      </c>
      <c r="R425">
        <f>IFERROR(VLOOKUP($B425,'V12'!$A$8:$Q$29,17,1),"")</f>
        <v>0.30202022484631097</v>
      </c>
      <c r="Z425" s="17"/>
      <c r="AY425" s="17"/>
    </row>
    <row r="426" spans="1:51" x14ac:dyDescent="0.25">
      <c r="A426" s="17"/>
      <c r="B426" s="2">
        <f t="shared" si="8"/>
        <v>45410</v>
      </c>
      <c r="C426">
        <f>IFERROR(VLOOKUP($B426,'V12'!$A$9:$J$1048576,2,1),"")</f>
        <v>0</v>
      </c>
      <c r="D426" s="1">
        <f>IFERROR(VLOOKUP($B426,'V12'!$A$8:$J$29,4,1),"")</f>
        <v>-1.0974178889440163</v>
      </c>
      <c r="E426" s="1">
        <f>IFERROR(VLOOKUP($B426,'V12'!$A$8:$J$29,5,1),"")</f>
        <v>-0.62634876806794071</v>
      </c>
      <c r="F426" s="1">
        <f>IFERROR(VLOOKUP($B426,'V12'!$A$8:$J$29,6,1),"")</f>
        <v>-0.1552796471918651</v>
      </c>
      <c r="G426" s="1">
        <f>IFERROR(VLOOKUP($B426,'V12'!$A$8:$J$29,7,1),"")</f>
        <v>0.31578947368421051</v>
      </c>
      <c r="H426" s="1">
        <f>IFERROR(VLOOKUP($B426,'V12'!$A$8:$J$29,8,1),"")</f>
        <v>0.78685859456028617</v>
      </c>
      <c r="I426" s="1">
        <f>IFERROR(VLOOKUP($B426,'V12'!$A$8:$J$29,9,1),"")</f>
        <v>1.2579277154363617</v>
      </c>
      <c r="J426" s="1">
        <f>IFERROR(VLOOKUP($B426,'V12'!$A$8:$J$29,10,1),"")</f>
        <v>1.7289968363124375</v>
      </c>
      <c r="K426">
        <f>IFERROR(VLOOKUP($B426,'V12'!$A$9:$Q$1048576,3,1),"")</f>
        <v>0</v>
      </c>
      <c r="L426">
        <f>IFERROR(VLOOKUP($B426,'V12'!$A$8:$Q$29,11,1),"")</f>
        <v>-0.30202022484631097</v>
      </c>
      <c r="M426">
        <f>IFERROR(VLOOKUP($B426,'V12'!$A$8:$Q$29,12,1),"")</f>
        <v>-0.2013468165642073</v>
      </c>
      <c r="N426">
        <f>IFERROR(VLOOKUP($B426,'V12'!$A$8:$Q$29,13,1),"")</f>
        <v>-0.10067340828210365</v>
      </c>
      <c r="O426">
        <f>IFERROR(VLOOKUP($B426,'V12'!$A$8:$Q$29,14,1),"")</f>
        <v>0</v>
      </c>
      <c r="P426">
        <f>IFERROR(VLOOKUP($B426,'V12'!$A$8:$Q$29,15,1),"")</f>
        <v>0.10067340828210365</v>
      </c>
      <c r="Q426">
        <f>IFERROR(VLOOKUP($B426,'V12'!$A$8:$Q$29,16,1),"")</f>
        <v>0.2013468165642073</v>
      </c>
      <c r="R426">
        <f>IFERROR(VLOOKUP($B426,'V12'!$A$8:$Q$29,17,1),"")</f>
        <v>0.30202022484631097</v>
      </c>
      <c r="Z426" s="17"/>
      <c r="AY426" s="17"/>
    </row>
    <row r="427" spans="1:51" x14ac:dyDescent="0.25">
      <c r="A427" s="17"/>
      <c r="B427" s="2">
        <f t="shared" si="8"/>
        <v>45440</v>
      </c>
      <c r="C427">
        <f>IFERROR(VLOOKUP($B427,'V12'!$A$9:$J$1048576,2,1),"")</f>
        <v>0</v>
      </c>
      <c r="D427" s="1">
        <f>IFERROR(VLOOKUP($B427,'V12'!$A$8:$J$29,4,1),"")</f>
        <v>-1.0974178889440163</v>
      </c>
      <c r="E427" s="1">
        <f>IFERROR(VLOOKUP($B427,'V12'!$A$8:$J$29,5,1),"")</f>
        <v>-0.62634876806794071</v>
      </c>
      <c r="F427" s="1">
        <f>IFERROR(VLOOKUP($B427,'V12'!$A$8:$J$29,6,1),"")</f>
        <v>-0.1552796471918651</v>
      </c>
      <c r="G427" s="1">
        <f>IFERROR(VLOOKUP($B427,'V12'!$A$8:$J$29,7,1),"")</f>
        <v>0.31578947368421051</v>
      </c>
      <c r="H427" s="1">
        <f>IFERROR(VLOOKUP($B427,'V12'!$A$8:$J$29,8,1),"")</f>
        <v>0.78685859456028617</v>
      </c>
      <c r="I427" s="1">
        <f>IFERROR(VLOOKUP($B427,'V12'!$A$8:$J$29,9,1),"")</f>
        <v>1.2579277154363617</v>
      </c>
      <c r="J427" s="1">
        <f>IFERROR(VLOOKUP($B427,'V12'!$A$8:$J$29,10,1),"")</f>
        <v>1.7289968363124375</v>
      </c>
      <c r="K427">
        <f>IFERROR(VLOOKUP($B427,'V12'!$A$9:$Q$1048576,3,1),"")</f>
        <v>0</v>
      </c>
      <c r="L427">
        <f>IFERROR(VLOOKUP($B427,'V12'!$A$8:$Q$29,11,1),"")</f>
        <v>-0.30202022484631097</v>
      </c>
      <c r="M427">
        <f>IFERROR(VLOOKUP($B427,'V12'!$A$8:$Q$29,12,1),"")</f>
        <v>-0.2013468165642073</v>
      </c>
      <c r="N427">
        <f>IFERROR(VLOOKUP($B427,'V12'!$A$8:$Q$29,13,1),"")</f>
        <v>-0.10067340828210365</v>
      </c>
      <c r="O427">
        <f>IFERROR(VLOOKUP($B427,'V12'!$A$8:$Q$29,14,1),"")</f>
        <v>0</v>
      </c>
      <c r="P427">
        <f>IFERROR(VLOOKUP($B427,'V12'!$A$8:$Q$29,15,1),"")</f>
        <v>0.10067340828210365</v>
      </c>
      <c r="Q427">
        <f>IFERROR(VLOOKUP($B427,'V12'!$A$8:$Q$29,16,1),"")</f>
        <v>0.2013468165642073</v>
      </c>
      <c r="R427">
        <f>IFERROR(VLOOKUP($B427,'V12'!$A$8:$Q$29,17,1),"")</f>
        <v>0.30202022484631097</v>
      </c>
      <c r="Z427" s="17"/>
      <c r="AY427" s="17"/>
    </row>
    <row r="428" spans="1:51" x14ac:dyDescent="0.25">
      <c r="A428" s="17"/>
      <c r="B428" s="2">
        <f t="shared" si="8"/>
        <v>45471</v>
      </c>
      <c r="C428">
        <f>IFERROR(VLOOKUP($B428,'V12'!$A$9:$J$1048576,2,1),"")</f>
        <v>0</v>
      </c>
      <c r="D428" s="1">
        <f>IFERROR(VLOOKUP($B428,'V12'!$A$8:$J$29,4,1),"")</f>
        <v>-1.0974178889440163</v>
      </c>
      <c r="E428" s="1">
        <f>IFERROR(VLOOKUP($B428,'V12'!$A$8:$J$29,5,1),"")</f>
        <v>-0.62634876806794071</v>
      </c>
      <c r="F428" s="1">
        <f>IFERROR(VLOOKUP($B428,'V12'!$A$8:$J$29,6,1),"")</f>
        <v>-0.1552796471918651</v>
      </c>
      <c r="G428" s="1">
        <f>IFERROR(VLOOKUP($B428,'V12'!$A$8:$J$29,7,1),"")</f>
        <v>0.31578947368421051</v>
      </c>
      <c r="H428" s="1">
        <f>IFERROR(VLOOKUP($B428,'V12'!$A$8:$J$29,8,1),"")</f>
        <v>0.78685859456028617</v>
      </c>
      <c r="I428" s="1">
        <f>IFERROR(VLOOKUP($B428,'V12'!$A$8:$J$29,9,1),"")</f>
        <v>1.2579277154363617</v>
      </c>
      <c r="J428" s="1">
        <f>IFERROR(VLOOKUP($B428,'V12'!$A$8:$J$29,10,1),"")</f>
        <v>1.7289968363124375</v>
      </c>
      <c r="K428">
        <f>IFERROR(VLOOKUP($B428,'V12'!$A$9:$Q$1048576,3,1),"")</f>
        <v>0</v>
      </c>
      <c r="L428">
        <f>IFERROR(VLOOKUP($B428,'V12'!$A$8:$Q$29,11,1),"")</f>
        <v>-0.30202022484631097</v>
      </c>
      <c r="M428">
        <f>IFERROR(VLOOKUP($B428,'V12'!$A$8:$Q$29,12,1),"")</f>
        <v>-0.2013468165642073</v>
      </c>
      <c r="N428">
        <f>IFERROR(VLOOKUP($B428,'V12'!$A$8:$Q$29,13,1),"")</f>
        <v>-0.10067340828210365</v>
      </c>
      <c r="O428">
        <f>IFERROR(VLOOKUP($B428,'V12'!$A$8:$Q$29,14,1),"")</f>
        <v>0</v>
      </c>
      <c r="P428">
        <f>IFERROR(VLOOKUP($B428,'V12'!$A$8:$Q$29,15,1),"")</f>
        <v>0.10067340828210365</v>
      </c>
      <c r="Q428">
        <f>IFERROR(VLOOKUP($B428,'V12'!$A$8:$Q$29,16,1),"")</f>
        <v>0.2013468165642073</v>
      </c>
      <c r="R428">
        <f>IFERROR(VLOOKUP($B428,'V12'!$A$8:$Q$29,17,1),"")</f>
        <v>0.30202022484631097</v>
      </c>
      <c r="Z428" s="17"/>
      <c r="AY428" s="17"/>
    </row>
    <row r="429" spans="1:51" x14ac:dyDescent="0.25">
      <c r="A429" s="17"/>
      <c r="B429" s="2">
        <f t="shared" si="8"/>
        <v>45501</v>
      </c>
      <c r="C429">
        <f>IFERROR(VLOOKUP($B429,'V12'!$A$9:$J$1048576,2,1),"")</f>
        <v>0</v>
      </c>
      <c r="D429" s="1">
        <f>IFERROR(VLOOKUP($B429,'V12'!$A$8:$J$29,4,1),"")</f>
        <v>-1.0974178889440163</v>
      </c>
      <c r="E429" s="1">
        <f>IFERROR(VLOOKUP($B429,'V12'!$A$8:$J$29,5,1),"")</f>
        <v>-0.62634876806794071</v>
      </c>
      <c r="F429" s="1">
        <f>IFERROR(VLOOKUP($B429,'V12'!$A$8:$J$29,6,1),"")</f>
        <v>-0.1552796471918651</v>
      </c>
      <c r="G429" s="1">
        <f>IFERROR(VLOOKUP($B429,'V12'!$A$8:$J$29,7,1),"")</f>
        <v>0.31578947368421051</v>
      </c>
      <c r="H429" s="1">
        <f>IFERROR(VLOOKUP($B429,'V12'!$A$8:$J$29,8,1),"")</f>
        <v>0.78685859456028617</v>
      </c>
      <c r="I429" s="1">
        <f>IFERROR(VLOOKUP($B429,'V12'!$A$8:$J$29,9,1),"")</f>
        <v>1.2579277154363617</v>
      </c>
      <c r="J429" s="1">
        <f>IFERROR(VLOOKUP($B429,'V12'!$A$8:$J$29,10,1),"")</f>
        <v>1.7289968363124375</v>
      </c>
      <c r="K429">
        <f>IFERROR(VLOOKUP($B429,'V12'!$A$9:$Q$1048576,3,1),"")</f>
        <v>0</v>
      </c>
      <c r="L429">
        <f>IFERROR(VLOOKUP($B429,'V12'!$A$8:$Q$29,11,1),"")</f>
        <v>-0.30202022484631097</v>
      </c>
      <c r="M429">
        <f>IFERROR(VLOOKUP($B429,'V12'!$A$8:$Q$29,12,1),"")</f>
        <v>-0.2013468165642073</v>
      </c>
      <c r="N429">
        <f>IFERROR(VLOOKUP($B429,'V12'!$A$8:$Q$29,13,1),"")</f>
        <v>-0.10067340828210365</v>
      </c>
      <c r="O429">
        <f>IFERROR(VLOOKUP($B429,'V12'!$A$8:$Q$29,14,1),"")</f>
        <v>0</v>
      </c>
      <c r="P429">
        <f>IFERROR(VLOOKUP($B429,'V12'!$A$8:$Q$29,15,1),"")</f>
        <v>0.10067340828210365</v>
      </c>
      <c r="Q429">
        <f>IFERROR(VLOOKUP($B429,'V12'!$A$8:$Q$29,16,1),"")</f>
        <v>0.2013468165642073</v>
      </c>
      <c r="R429">
        <f>IFERROR(VLOOKUP($B429,'V12'!$A$8:$Q$29,17,1),"")</f>
        <v>0.30202022484631097</v>
      </c>
      <c r="Z429" s="17"/>
      <c r="AY429" s="17"/>
    </row>
    <row r="430" spans="1:51" x14ac:dyDescent="0.25">
      <c r="A430" s="17"/>
      <c r="B430" s="2">
        <f t="shared" si="8"/>
        <v>45532</v>
      </c>
      <c r="C430">
        <f>IFERROR(VLOOKUP($B430,'V12'!$A$9:$J$1048576,2,1),"")</f>
        <v>0</v>
      </c>
      <c r="D430" s="1">
        <f>IFERROR(VLOOKUP($B430,'V12'!$A$8:$J$29,4,1),"")</f>
        <v>-1.0974178889440163</v>
      </c>
      <c r="E430" s="1">
        <f>IFERROR(VLOOKUP($B430,'V12'!$A$8:$J$29,5,1),"")</f>
        <v>-0.62634876806794071</v>
      </c>
      <c r="F430" s="1">
        <f>IFERROR(VLOOKUP($B430,'V12'!$A$8:$J$29,6,1),"")</f>
        <v>-0.1552796471918651</v>
      </c>
      <c r="G430" s="1">
        <f>IFERROR(VLOOKUP($B430,'V12'!$A$8:$J$29,7,1),"")</f>
        <v>0.31578947368421051</v>
      </c>
      <c r="H430" s="1">
        <f>IFERROR(VLOOKUP($B430,'V12'!$A$8:$J$29,8,1),"")</f>
        <v>0.78685859456028617</v>
      </c>
      <c r="I430" s="1">
        <f>IFERROR(VLOOKUP($B430,'V12'!$A$8:$J$29,9,1),"")</f>
        <v>1.2579277154363617</v>
      </c>
      <c r="J430" s="1">
        <f>IFERROR(VLOOKUP($B430,'V12'!$A$8:$J$29,10,1),"")</f>
        <v>1.7289968363124375</v>
      </c>
      <c r="K430">
        <f>IFERROR(VLOOKUP($B430,'V12'!$A$9:$Q$1048576,3,1),"")</f>
        <v>0</v>
      </c>
      <c r="L430">
        <f>IFERROR(VLOOKUP($B430,'V12'!$A$8:$Q$29,11,1),"")</f>
        <v>-0.30202022484631097</v>
      </c>
      <c r="M430">
        <f>IFERROR(VLOOKUP($B430,'V12'!$A$8:$Q$29,12,1),"")</f>
        <v>-0.2013468165642073</v>
      </c>
      <c r="N430">
        <f>IFERROR(VLOOKUP($B430,'V12'!$A$8:$Q$29,13,1),"")</f>
        <v>-0.10067340828210365</v>
      </c>
      <c r="O430">
        <f>IFERROR(VLOOKUP($B430,'V12'!$A$8:$Q$29,14,1),"")</f>
        <v>0</v>
      </c>
      <c r="P430">
        <f>IFERROR(VLOOKUP($B430,'V12'!$A$8:$Q$29,15,1),"")</f>
        <v>0.10067340828210365</v>
      </c>
      <c r="Q430">
        <f>IFERROR(VLOOKUP($B430,'V12'!$A$8:$Q$29,16,1),"")</f>
        <v>0.2013468165642073</v>
      </c>
      <c r="R430">
        <f>IFERROR(VLOOKUP($B430,'V12'!$A$8:$Q$29,17,1),"")</f>
        <v>0.30202022484631097</v>
      </c>
      <c r="Z430" s="17"/>
      <c r="AY430" s="17"/>
    </row>
    <row r="431" spans="1:51" x14ac:dyDescent="0.25">
      <c r="A431" s="17"/>
      <c r="B431" s="2">
        <f t="shared" si="8"/>
        <v>45563</v>
      </c>
      <c r="C431">
        <f>IFERROR(VLOOKUP($B431,'V12'!$A$9:$J$1048576,2,1),"")</f>
        <v>0</v>
      </c>
      <c r="D431" s="1">
        <f>IFERROR(VLOOKUP($B431,'V12'!$A$8:$J$29,4,1),"")</f>
        <v>-1.0974178889440163</v>
      </c>
      <c r="E431" s="1">
        <f>IFERROR(VLOOKUP($B431,'V12'!$A$8:$J$29,5,1),"")</f>
        <v>-0.62634876806794071</v>
      </c>
      <c r="F431" s="1">
        <f>IFERROR(VLOOKUP($B431,'V12'!$A$8:$J$29,6,1),"")</f>
        <v>-0.1552796471918651</v>
      </c>
      <c r="G431" s="1">
        <f>IFERROR(VLOOKUP($B431,'V12'!$A$8:$J$29,7,1),"")</f>
        <v>0.31578947368421051</v>
      </c>
      <c r="H431" s="1">
        <f>IFERROR(VLOOKUP($B431,'V12'!$A$8:$J$29,8,1),"")</f>
        <v>0.78685859456028617</v>
      </c>
      <c r="I431" s="1">
        <f>IFERROR(VLOOKUP($B431,'V12'!$A$8:$J$29,9,1),"")</f>
        <v>1.2579277154363617</v>
      </c>
      <c r="J431" s="1">
        <f>IFERROR(VLOOKUP($B431,'V12'!$A$8:$J$29,10,1),"")</f>
        <v>1.7289968363124375</v>
      </c>
      <c r="K431">
        <f>IFERROR(VLOOKUP($B431,'V12'!$A$9:$Q$1048576,3,1),"")</f>
        <v>0</v>
      </c>
      <c r="L431">
        <f>IFERROR(VLOOKUP($B431,'V12'!$A$8:$Q$29,11,1),"")</f>
        <v>-0.30202022484631097</v>
      </c>
      <c r="M431">
        <f>IFERROR(VLOOKUP($B431,'V12'!$A$8:$Q$29,12,1),"")</f>
        <v>-0.2013468165642073</v>
      </c>
      <c r="N431">
        <f>IFERROR(VLOOKUP($B431,'V12'!$A$8:$Q$29,13,1),"")</f>
        <v>-0.10067340828210365</v>
      </c>
      <c r="O431">
        <f>IFERROR(VLOOKUP($B431,'V12'!$A$8:$Q$29,14,1),"")</f>
        <v>0</v>
      </c>
      <c r="P431">
        <f>IFERROR(VLOOKUP($B431,'V12'!$A$8:$Q$29,15,1),"")</f>
        <v>0.10067340828210365</v>
      </c>
      <c r="Q431">
        <f>IFERROR(VLOOKUP($B431,'V12'!$A$8:$Q$29,16,1),"")</f>
        <v>0.2013468165642073</v>
      </c>
      <c r="R431">
        <f>IFERROR(VLOOKUP($B431,'V12'!$A$8:$Q$29,17,1),"")</f>
        <v>0.30202022484631097</v>
      </c>
      <c r="Z431" s="17"/>
      <c r="AY431" s="17"/>
    </row>
    <row r="432" spans="1:51" x14ac:dyDescent="0.25">
      <c r="A432" s="17"/>
      <c r="B432" s="2">
        <f t="shared" si="8"/>
        <v>45593</v>
      </c>
      <c r="C432">
        <f>IFERROR(VLOOKUP($B432,'V12'!$A$9:$J$1048576,2,1),"")</f>
        <v>0</v>
      </c>
      <c r="D432" s="1">
        <f>IFERROR(VLOOKUP($B432,'V12'!$A$8:$J$29,4,1),"")</f>
        <v>-1.0974178889440163</v>
      </c>
      <c r="E432" s="1">
        <f>IFERROR(VLOOKUP($B432,'V12'!$A$8:$J$29,5,1),"")</f>
        <v>-0.62634876806794071</v>
      </c>
      <c r="F432" s="1">
        <f>IFERROR(VLOOKUP($B432,'V12'!$A$8:$J$29,6,1),"")</f>
        <v>-0.1552796471918651</v>
      </c>
      <c r="G432" s="1">
        <f>IFERROR(VLOOKUP($B432,'V12'!$A$8:$J$29,7,1),"")</f>
        <v>0.31578947368421051</v>
      </c>
      <c r="H432" s="1">
        <f>IFERROR(VLOOKUP($B432,'V12'!$A$8:$J$29,8,1),"")</f>
        <v>0.78685859456028617</v>
      </c>
      <c r="I432" s="1">
        <f>IFERROR(VLOOKUP($B432,'V12'!$A$8:$J$29,9,1),"")</f>
        <v>1.2579277154363617</v>
      </c>
      <c r="J432" s="1">
        <f>IFERROR(VLOOKUP($B432,'V12'!$A$8:$J$29,10,1),"")</f>
        <v>1.7289968363124375</v>
      </c>
      <c r="K432">
        <f>IFERROR(VLOOKUP($B432,'V12'!$A$9:$Q$1048576,3,1),"")</f>
        <v>0</v>
      </c>
      <c r="L432">
        <f>IFERROR(VLOOKUP($B432,'V12'!$A$8:$Q$29,11,1),"")</f>
        <v>-0.30202022484631097</v>
      </c>
      <c r="M432">
        <f>IFERROR(VLOOKUP($B432,'V12'!$A$8:$Q$29,12,1),"")</f>
        <v>-0.2013468165642073</v>
      </c>
      <c r="N432">
        <f>IFERROR(VLOOKUP($B432,'V12'!$A$8:$Q$29,13,1),"")</f>
        <v>-0.10067340828210365</v>
      </c>
      <c r="O432">
        <f>IFERROR(VLOOKUP($B432,'V12'!$A$8:$Q$29,14,1),"")</f>
        <v>0</v>
      </c>
      <c r="P432">
        <f>IFERROR(VLOOKUP($B432,'V12'!$A$8:$Q$29,15,1),"")</f>
        <v>0.10067340828210365</v>
      </c>
      <c r="Q432">
        <f>IFERROR(VLOOKUP($B432,'V12'!$A$8:$Q$29,16,1),"")</f>
        <v>0.2013468165642073</v>
      </c>
      <c r="R432">
        <f>IFERROR(VLOOKUP($B432,'V12'!$A$8:$Q$29,17,1),"")</f>
        <v>0.30202022484631097</v>
      </c>
      <c r="Z432" s="17"/>
      <c r="AY432" s="17"/>
    </row>
    <row r="433" spans="1:51" x14ac:dyDescent="0.25">
      <c r="A433" s="17"/>
      <c r="B433" s="2">
        <f t="shared" si="8"/>
        <v>45624</v>
      </c>
      <c r="C433">
        <f>IFERROR(VLOOKUP($B433,'V12'!$A$9:$J$1048576,2,1),"")</f>
        <v>1</v>
      </c>
      <c r="D433" s="1">
        <f>IFERROR(VLOOKUP($B433,'V12'!$A$8:$J$29,4,1),"")</f>
        <v>-1.0974178889440163</v>
      </c>
      <c r="E433" s="1">
        <f>IFERROR(VLOOKUP($B433,'V12'!$A$8:$J$29,5,1),"")</f>
        <v>-0.62634876806794071</v>
      </c>
      <c r="F433" s="1">
        <f>IFERROR(VLOOKUP($B433,'V12'!$A$8:$J$29,6,1),"")</f>
        <v>-0.1552796471918651</v>
      </c>
      <c r="G433" s="1">
        <f>IFERROR(VLOOKUP($B433,'V12'!$A$8:$J$29,7,1),"")</f>
        <v>0.31578947368421051</v>
      </c>
      <c r="H433" s="1">
        <f>IFERROR(VLOOKUP($B433,'V12'!$A$8:$J$29,8,1),"")</f>
        <v>0.78685859456028617</v>
      </c>
      <c r="I433" s="1">
        <f>IFERROR(VLOOKUP($B433,'V12'!$A$8:$J$29,9,1),"")</f>
        <v>1.2579277154363617</v>
      </c>
      <c r="J433" s="1">
        <f>IFERROR(VLOOKUP($B433,'V12'!$A$8:$J$29,10,1),"")</f>
        <v>1.7289968363124375</v>
      </c>
      <c r="K433">
        <f>IFERROR(VLOOKUP($B433,'V12'!$A$9:$Q$1048576,3,1),"")</f>
        <v>0.25</v>
      </c>
      <c r="L433">
        <f>IFERROR(VLOOKUP($B433,'V12'!$A$8:$Q$29,11,1),"")</f>
        <v>-0.30202022484631097</v>
      </c>
      <c r="M433">
        <f>IFERROR(VLOOKUP($B433,'V12'!$A$8:$Q$29,12,1),"")</f>
        <v>-0.2013468165642073</v>
      </c>
      <c r="N433">
        <f>IFERROR(VLOOKUP($B433,'V12'!$A$8:$Q$29,13,1),"")</f>
        <v>-0.10067340828210365</v>
      </c>
      <c r="O433">
        <f>IFERROR(VLOOKUP($B433,'V12'!$A$8:$Q$29,14,1),"")</f>
        <v>0</v>
      </c>
      <c r="P433">
        <f>IFERROR(VLOOKUP($B433,'V12'!$A$8:$Q$29,15,1),"")</f>
        <v>0.10067340828210365</v>
      </c>
      <c r="Q433">
        <f>IFERROR(VLOOKUP($B433,'V12'!$A$8:$Q$29,16,1),"")</f>
        <v>0.2013468165642073</v>
      </c>
      <c r="R433">
        <f>IFERROR(VLOOKUP($B433,'V12'!$A$8:$Q$29,17,1),"")</f>
        <v>0.30202022484631097</v>
      </c>
      <c r="Z433" s="17"/>
      <c r="AY433" s="17"/>
    </row>
    <row r="434" spans="1:51" x14ac:dyDescent="0.25">
      <c r="A434" s="17"/>
      <c r="B434" s="2">
        <f t="shared" si="8"/>
        <v>45654</v>
      </c>
      <c r="C434">
        <f>IFERROR(VLOOKUP($B434,'V12'!$A$9:$J$1048576,2,1),"")</f>
        <v>1</v>
      </c>
      <c r="D434" s="1">
        <f>IFERROR(VLOOKUP($B434,'V12'!$A$8:$J$29,4,1),"")</f>
        <v>-1.0974178889440163</v>
      </c>
      <c r="E434" s="1">
        <f>IFERROR(VLOOKUP($B434,'V12'!$A$8:$J$29,5,1),"")</f>
        <v>-0.62634876806794071</v>
      </c>
      <c r="F434" s="1">
        <f>IFERROR(VLOOKUP($B434,'V12'!$A$8:$J$29,6,1),"")</f>
        <v>-0.1552796471918651</v>
      </c>
      <c r="G434" s="1">
        <f>IFERROR(VLOOKUP($B434,'V12'!$A$8:$J$29,7,1),"")</f>
        <v>0.31578947368421051</v>
      </c>
      <c r="H434" s="1">
        <f>IFERROR(VLOOKUP($B434,'V12'!$A$8:$J$29,8,1),"")</f>
        <v>0.78685859456028617</v>
      </c>
      <c r="I434" s="1">
        <f>IFERROR(VLOOKUP($B434,'V12'!$A$8:$J$29,9,1),"")</f>
        <v>1.2579277154363617</v>
      </c>
      <c r="J434" s="1">
        <f>IFERROR(VLOOKUP($B434,'V12'!$A$8:$J$29,10,1),"")</f>
        <v>1.7289968363124375</v>
      </c>
      <c r="K434">
        <f>IFERROR(VLOOKUP($B434,'V12'!$A$9:$Q$1048576,3,1),"")</f>
        <v>0</v>
      </c>
      <c r="L434">
        <f>IFERROR(VLOOKUP($B434,'V12'!$A$8:$Q$29,11,1),"")</f>
        <v>-0.30202022484631097</v>
      </c>
      <c r="M434">
        <f>IFERROR(VLOOKUP($B434,'V12'!$A$8:$Q$29,12,1),"")</f>
        <v>-0.2013468165642073</v>
      </c>
      <c r="N434">
        <f>IFERROR(VLOOKUP($B434,'V12'!$A$8:$Q$29,13,1),"")</f>
        <v>-0.10067340828210365</v>
      </c>
      <c r="O434">
        <f>IFERROR(VLOOKUP($B434,'V12'!$A$8:$Q$29,14,1),"")</f>
        <v>0</v>
      </c>
      <c r="P434">
        <f>IFERROR(VLOOKUP($B434,'V12'!$A$8:$Q$29,15,1),"")</f>
        <v>0.10067340828210365</v>
      </c>
      <c r="Q434">
        <f>IFERROR(VLOOKUP($B434,'V12'!$A$8:$Q$29,16,1),"")</f>
        <v>0.2013468165642073</v>
      </c>
      <c r="R434">
        <f>IFERROR(VLOOKUP($B434,'V12'!$A$8:$Q$29,17,1),"")</f>
        <v>0.30202022484631097</v>
      </c>
      <c r="Z434" s="17"/>
      <c r="AY434" s="17"/>
    </row>
    <row r="435" spans="1:51" x14ac:dyDescent="0.25">
      <c r="A435" s="17"/>
      <c r="B435" s="2">
        <f t="shared" si="8"/>
        <v>45685</v>
      </c>
      <c r="C435">
        <f>IFERROR(VLOOKUP($B435,'V12'!$A$9:$J$1048576,2,1),"")</f>
        <v>1</v>
      </c>
      <c r="D435" s="1">
        <f>IFERROR(VLOOKUP($B435,'V12'!$A$8:$J$29,4,1),"")</f>
        <v>-1.0974178889440163</v>
      </c>
      <c r="E435" s="1">
        <f>IFERROR(VLOOKUP($B435,'V12'!$A$8:$J$29,5,1),"")</f>
        <v>-0.62634876806794071</v>
      </c>
      <c r="F435" s="1">
        <f>IFERROR(VLOOKUP($B435,'V12'!$A$8:$J$29,6,1),"")</f>
        <v>-0.1552796471918651</v>
      </c>
      <c r="G435" s="1">
        <f>IFERROR(VLOOKUP($B435,'V12'!$A$8:$J$29,7,1),"")</f>
        <v>0.31578947368421051</v>
      </c>
      <c r="H435" s="1">
        <f>IFERROR(VLOOKUP($B435,'V12'!$A$8:$J$29,8,1),"")</f>
        <v>0.78685859456028617</v>
      </c>
      <c r="I435" s="1">
        <f>IFERROR(VLOOKUP($B435,'V12'!$A$8:$J$29,9,1),"")</f>
        <v>1.2579277154363617</v>
      </c>
      <c r="J435" s="1">
        <f>IFERROR(VLOOKUP($B435,'V12'!$A$8:$J$29,10,1),"")</f>
        <v>1.7289968363124375</v>
      </c>
      <c r="K435">
        <f>IFERROR(VLOOKUP($B435,'V12'!$A$9:$Q$1048576,3,1),"")</f>
        <v>0</v>
      </c>
      <c r="L435">
        <f>IFERROR(VLOOKUP($B435,'V12'!$A$8:$Q$29,11,1),"")</f>
        <v>-0.30202022484631097</v>
      </c>
      <c r="M435">
        <f>IFERROR(VLOOKUP($B435,'V12'!$A$8:$Q$29,12,1),"")</f>
        <v>-0.2013468165642073</v>
      </c>
      <c r="N435">
        <f>IFERROR(VLOOKUP($B435,'V12'!$A$8:$Q$29,13,1),"")</f>
        <v>-0.10067340828210365</v>
      </c>
      <c r="O435">
        <f>IFERROR(VLOOKUP($B435,'V12'!$A$8:$Q$29,14,1),"")</f>
        <v>0</v>
      </c>
      <c r="P435">
        <f>IFERROR(VLOOKUP($B435,'V12'!$A$8:$Q$29,15,1),"")</f>
        <v>0.10067340828210365</v>
      </c>
      <c r="Q435">
        <f>IFERROR(VLOOKUP($B435,'V12'!$A$8:$Q$29,16,1),"")</f>
        <v>0.2013468165642073</v>
      </c>
      <c r="R435">
        <f>IFERROR(VLOOKUP($B435,'V12'!$A$8:$Q$29,17,1),"")</f>
        <v>0.30202022484631097</v>
      </c>
      <c r="Z435" s="17"/>
      <c r="AY435" s="17"/>
    </row>
    <row r="436" spans="1:51" x14ac:dyDescent="0.25">
      <c r="A436" s="17"/>
      <c r="B436" s="2">
        <f t="shared" si="8"/>
        <v>45716</v>
      </c>
      <c r="C436">
        <f>IFERROR(VLOOKUP($B436,'V12'!$A$9:$J$1048576,2,1),"")</f>
        <v>1</v>
      </c>
      <c r="D436" s="1">
        <f>IFERROR(VLOOKUP($B436,'V12'!$A$8:$J$29,4,1),"")</f>
        <v>-1.0974178889440163</v>
      </c>
      <c r="E436" s="1">
        <f>IFERROR(VLOOKUP($B436,'V12'!$A$8:$J$29,5,1),"")</f>
        <v>-0.62634876806794071</v>
      </c>
      <c r="F436" s="1">
        <f>IFERROR(VLOOKUP($B436,'V12'!$A$8:$J$29,6,1),"")</f>
        <v>-0.1552796471918651</v>
      </c>
      <c r="G436" s="1">
        <f>IFERROR(VLOOKUP($B436,'V12'!$A$8:$J$29,7,1),"")</f>
        <v>0.31578947368421051</v>
      </c>
      <c r="H436" s="1">
        <f>IFERROR(VLOOKUP($B436,'V12'!$A$8:$J$29,8,1),"")</f>
        <v>0.78685859456028617</v>
      </c>
      <c r="I436" s="1">
        <f>IFERROR(VLOOKUP($B436,'V12'!$A$8:$J$29,9,1),"")</f>
        <v>1.2579277154363617</v>
      </c>
      <c r="J436" s="1">
        <f>IFERROR(VLOOKUP($B436,'V12'!$A$8:$J$29,10,1),"")</f>
        <v>1.7289968363124375</v>
      </c>
      <c r="K436">
        <f>IFERROR(VLOOKUP($B436,'V12'!$A$9:$Q$1048576,3,1),"")</f>
        <v>0</v>
      </c>
      <c r="L436">
        <f>IFERROR(VLOOKUP($B436,'V12'!$A$8:$Q$29,11,1),"")</f>
        <v>-0.30202022484631097</v>
      </c>
      <c r="M436">
        <f>IFERROR(VLOOKUP($B436,'V12'!$A$8:$Q$29,12,1),"")</f>
        <v>-0.2013468165642073</v>
      </c>
      <c r="N436">
        <f>IFERROR(VLOOKUP($B436,'V12'!$A$8:$Q$29,13,1),"")</f>
        <v>-0.10067340828210365</v>
      </c>
      <c r="O436">
        <f>IFERROR(VLOOKUP($B436,'V12'!$A$8:$Q$29,14,1),"")</f>
        <v>0</v>
      </c>
      <c r="P436">
        <f>IFERROR(VLOOKUP($B436,'V12'!$A$8:$Q$29,15,1),"")</f>
        <v>0.10067340828210365</v>
      </c>
      <c r="Q436">
        <f>IFERROR(VLOOKUP($B436,'V12'!$A$8:$Q$29,16,1),"")</f>
        <v>0.2013468165642073</v>
      </c>
      <c r="R436">
        <f>IFERROR(VLOOKUP($B436,'V12'!$A$8:$Q$29,17,1),"")</f>
        <v>0.30202022484631097</v>
      </c>
      <c r="Z436" s="17"/>
      <c r="AY436" s="17"/>
    </row>
    <row r="437" spans="1:51" x14ac:dyDescent="0.25">
      <c r="A437" s="17"/>
      <c r="B437" s="2">
        <f t="shared" si="8"/>
        <v>45746</v>
      </c>
      <c r="C437">
        <f>IFERROR(VLOOKUP($B437,'V12'!$A$9:$J$1048576,2,1),"")</f>
        <v>0</v>
      </c>
      <c r="D437" s="1">
        <f>IFERROR(VLOOKUP($B437,'V12'!$A$8:$J$29,4,1),"")</f>
        <v>-1.0974178889440163</v>
      </c>
      <c r="E437" s="1">
        <f>IFERROR(VLOOKUP($B437,'V12'!$A$8:$J$29,5,1),"")</f>
        <v>-0.62634876806794071</v>
      </c>
      <c r="F437" s="1">
        <f>IFERROR(VLOOKUP($B437,'V12'!$A$8:$J$29,6,1),"")</f>
        <v>-0.1552796471918651</v>
      </c>
      <c r="G437" s="1">
        <f>IFERROR(VLOOKUP($B437,'V12'!$A$8:$J$29,7,1),"")</f>
        <v>0.31578947368421051</v>
      </c>
      <c r="H437" s="1">
        <f>IFERROR(VLOOKUP($B437,'V12'!$A$8:$J$29,8,1),"")</f>
        <v>0.78685859456028617</v>
      </c>
      <c r="I437" s="1">
        <f>IFERROR(VLOOKUP($B437,'V12'!$A$8:$J$29,9,1),"")</f>
        <v>1.2579277154363617</v>
      </c>
      <c r="J437" s="1">
        <f>IFERROR(VLOOKUP($B437,'V12'!$A$8:$J$29,10,1),"")</f>
        <v>1.7289968363124375</v>
      </c>
      <c r="K437">
        <f>IFERROR(VLOOKUP($B437,'V12'!$A$9:$Q$1048576,3,1),"")</f>
        <v>-0.25</v>
      </c>
      <c r="L437">
        <f>IFERROR(VLOOKUP($B437,'V12'!$A$8:$Q$29,11,1),"")</f>
        <v>-0.30202022484631097</v>
      </c>
      <c r="M437">
        <f>IFERROR(VLOOKUP($B437,'V12'!$A$8:$Q$29,12,1),"")</f>
        <v>-0.2013468165642073</v>
      </c>
      <c r="N437">
        <f>IFERROR(VLOOKUP($B437,'V12'!$A$8:$Q$29,13,1),"")</f>
        <v>-0.10067340828210365</v>
      </c>
      <c r="O437">
        <f>IFERROR(VLOOKUP($B437,'V12'!$A$8:$Q$29,14,1),"")</f>
        <v>0</v>
      </c>
      <c r="P437">
        <f>IFERROR(VLOOKUP($B437,'V12'!$A$8:$Q$29,15,1),"")</f>
        <v>0.10067340828210365</v>
      </c>
      <c r="Q437">
        <f>IFERROR(VLOOKUP($B437,'V12'!$A$8:$Q$29,16,1),"")</f>
        <v>0.2013468165642073</v>
      </c>
      <c r="R437">
        <f>IFERROR(VLOOKUP($B437,'V12'!$A$8:$Q$29,17,1),"")</f>
        <v>0.30202022484631097</v>
      </c>
      <c r="Z437" s="17"/>
      <c r="AY437" s="17"/>
    </row>
    <row r="438" spans="1:51" x14ac:dyDescent="0.25">
      <c r="A438" s="17"/>
      <c r="B438" s="2">
        <f t="shared" si="8"/>
        <v>45777</v>
      </c>
      <c r="C438">
        <f>IFERROR(VLOOKUP($B438,'V12'!$A$9:$J$1048576,2,1),"")</f>
        <v>0</v>
      </c>
      <c r="D438" s="1">
        <f>IFERROR(VLOOKUP($B438,'V12'!$A$8:$J$29,4,1),"")</f>
        <v>-1.0974178889440163</v>
      </c>
      <c r="E438" s="1">
        <f>IFERROR(VLOOKUP($B438,'V12'!$A$8:$J$29,5,1),"")</f>
        <v>-0.62634876806794071</v>
      </c>
      <c r="F438" s="1">
        <f>IFERROR(VLOOKUP($B438,'V12'!$A$8:$J$29,6,1),"")</f>
        <v>-0.1552796471918651</v>
      </c>
      <c r="G438" s="1">
        <f>IFERROR(VLOOKUP($B438,'V12'!$A$8:$J$29,7,1),"")</f>
        <v>0.31578947368421051</v>
      </c>
      <c r="H438" s="1">
        <f>IFERROR(VLOOKUP($B438,'V12'!$A$8:$J$29,8,1),"")</f>
        <v>0.78685859456028617</v>
      </c>
      <c r="I438" s="1">
        <f>IFERROR(VLOOKUP($B438,'V12'!$A$8:$J$29,9,1),"")</f>
        <v>1.2579277154363617</v>
      </c>
      <c r="J438" s="1">
        <f>IFERROR(VLOOKUP($B438,'V12'!$A$8:$J$29,10,1),"")</f>
        <v>1.7289968363124375</v>
      </c>
      <c r="K438">
        <f>IFERROR(VLOOKUP($B438,'V12'!$A$9:$Q$1048576,3,1),"")</f>
        <v>0</v>
      </c>
      <c r="L438">
        <f>IFERROR(VLOOKUP($B438,'V12'!$A$8:$Q$29,11,1),"")</f>
        <v>-0.30202022484631097</v>
      </c>
      <c r="M438">
        <f>IFERROR(VLOOKUP($B438,'V12'!$A$8:$Q$29,12,1),"")</f>
        <v>-0.2013468165642073</v>
      </c>
      <c r="N438">
        <f>IFERROR(VLOOKUP($B438,'V12'!$A$8:$Q$29,13,1),"")</f>
        <v>-0.10067340828210365</v>
      </c>
      <c r="O438">
        <f>IFERROR(VLOOKUP($B438,'V12'!$A$8:$Q$29,14,1),"")</f>
        <v>0</v>
      </c>
      <c r="P438">
        <f>IFERROR(VLOOKUP($B438,'V12'!$A$8:$Q$29,15,1),"")</f>
        <v>0.10067340828210365</v>
      </c>
      <c r="Q438">
        <f>IFERROR(VLOOKUP($B438,'V12'!$A$8:$Q$29,16,1),"")</f>
        <v>0.2013468165642073</v>
      </c>
      <c r="R438">
        <f>IFERROR(VLOOKUP($B438,'V12'!$A$8:$Q$29,17,1),"")</f>
        <v>0.30202022484631097</v>
      </c>
      <c r="Z438" s="17"/>
      <c r="AY438" s="17"/>
    </row>
    <row r="439" spans="1:51" x14ac:dyDescent="0.25">
      <c r="A439" s="17"/>
      <c r="B439" s="2">
        <f t="shared" si="8"/>
        <v>45807</v>
      </c>
      <c r="C439">
        <f>IFERROR(VLOOKUP($B439,'V12'!$A$9:$J$1048576,2,1),"")</f>
        <v>0</v>
      </c>
      <c r="D439" s="1">
        <f>IFERROR(VLOOKUP($B439,'V12'!$A$8:$J$29,4,1),"")</f>
        <v>-1.0974178889440163</v>
      </c>
      <c r="E439" s="1">
        <f>IFERROR(VLOOKUP($B439,'V12'!$A$8:$J$29,5,1),"")</f>
        <v>-0.62634876806794071</v>
      </c>
      <c r="F439" s="1">
        <f>IFERROR(VLOOKUP($B439,'V12'!$A$8:$J$29,6,1),"")</f>
        <v>-0.1552796471918651</v>
      </c>
      <c r="G439" s="1">
        <f>IFERROR(VLOOKUP($B439,'V12'!$A$8:$J$29,7,1),"")</f>
        <v>0.31578947368421051</v>
      </c>
      <c r="H439" s="1">
        <f>IFERROR(VLOOKUP($B439,'V12'!$A$8:$J$29,8,1),"")</f>
        <v>0.78685859456028617</v>
      </c>
      <c r="I439" s="1">
        <f>IFERROR(VLOOKUP($B439,'V12'!$A$8:$J$29,9,1),"")</f>
        <v>1.2579277154363617</v>
      </c>
      <c r="J439" s="1">
        <f>IFERROR(VLOOKUP($B439,'V12'!$A$8:$J$29,10,1),"")</f>
        <v>1.7289968363124375</v>
      </c>
      <c r="K439">
        <f>IFERROR(VLOOKUP($B439,'V12'!$A$9:$Q$1048576,3,1),"")</f>
        <v>0</v>
      </c>
      <c r="L439">
        <f>IFERROR(VLOOKUP($B439,'V12'!$A$8:$Q$29,11,1),"")</f>
        <v>-0.30202022484631097</v>
      </c>
      <c r="M439">
        <f>IFERROR(VLOOKUP($B439,'V12'!$A$8:$Q$29,12,1),"")</f>
        <v>-0.2013468165642073</v>
      </c>
      <c r="N439">
        <f>IFERROR(VLOOKUP($B439,'V12'!$A$8:$Q$29,13,1),"")</f>
        <v>-0.10067340828210365</v>
      </c>
      <c r="O439">
        <f>IFERROR(VLOOKUP($B439,'V12'!$A$8:$Q$29,14,1),"")</f>
        <v>0</v>
      </c>
      <c r="P439">
        <f>IFERROR(VLOOKUP($B439,'V12'!$A$8:$Q$29,15,1),"")</f>
        <v>0.10067340828210365</v>
      </c>
      <c r="Q439">
        <f>IFERROR(VLOOKUP($B439,'V12'!$A$8:$Q$29,16,1),"")</f>
        <v>0.2013468165642073</v>
      </c>
      <c r="R439">
        <f>IFERROR(VLOOKUP($B439,'V12'!$A$8:$Q$29,17,1),"")</f>
        <v>0.30202022484631097</v>
      </c>
      <c r="Z439" s="17"/>
      <c r="AY439" s="17"/>
    </row>
    <row r="440" spans="1:51" x14ac:dyDescent="0.25">
      <c r="A440" s="17"/>
      <c r="B440" s="2">
        <f t="shared" si="8"/>
        <v>45838</v>
      </c>
      <c r="C440">
        <f>IFERROR(VLOOKUP($B440,'V12'!$A$9:$J$1048576,2,1),"")</f>
        <v>1</v>
      </c>
      <c r="D440" s="1">
        <f>IFERROR(VLOOKUP($B440,'V12'!$A$8:$J$29,4,1),"")</f>
        <v>-1.0974178889440163</v>
      </c>
      <c r="E440" s="1">
        <f>IFERROR(VLOOKUP($B440,'V12'!$A$8:$J$29,5,1),"")</f>
        <v>-0.62634876806794071</v>
      </c>
      <c r="F440" s="1">
        <f>IFERROR(VLOOKUP($B440,'V12'!$A$8:$J$29,6,1),"")</f>
        <v>-0.1552796471918651</v>
      </c>
      <c r="G440" s="1">
        <f>IFERROR(VLOOKUP($B440,'V12'!$A$8:$J$29,7,1),"")</f>
        <v>0.31578947368421051</v>
      </c>
      <c r="H440" s="1">
        <f>IFERROR(VLOOKUP($B440,'V12'!$A$8:$J$29,8,1),"")</f>
        <v>0.78685859456028617</v>
      </c>
      <c r="I440" s="1">
        <f>IFERROR(VLOOKUP($B440,'V12'!$A$8:$J$29,9,1),"")</f>
        <v>1.2579277154363617</v>
      </c>
      <c r="J440" s="1">
        <f>IFERROR(VLOOKUP($B440,'V12'!$A$8:$J$29,10,1),"")</f>
        <v>1.7289968363124375</v>
      </c>
      <c r="K440">
        <f>IFERROR(VLOOKUP($B440,'V12'!$A$9:$Q$1048576,3,1),"")</f>
        <v>0.25</v>
      </c>
      <c r="L440">
        <f>IFERROR(VLOOKUP($B440,'V12'!$A$8:$Q$29,11,1),"")</f>
        <v>-0.30202022484631097</v>
      </c>
      <c r="M440">
        <f>IFERROR(VLOOKUP($B440,'V12'!$A$8:$Q$29,12,1),"")</f>
        <v>-0.2013468165642073</v>
      </c>
      <c r="N440">
        <f>IFERROR(VLOOKUP($B440,'V12'!$A$8:$Q$29,13,1),"")</f>
        <v>-0.10067340828210365</v>
      </c>
      <c r="O440">
        <f>IFERROR(VLOOKUP($B440,'V12'!$A$8:$Q$29,14,1),"")</f>
        <v>0</v>
      </c>
      <c r="P440">
        <f>IFERROR(VLOOKUP($B440,'V12'!$A$8:$Q$29,15,1),"")</f>
        <v>0.10067340828210365</v>
      </c>
      <c r="Q440">
        <f>IFERROR(VLOOKUP($B440,'V12'!$A$8:$Q$29,16,1),"")</f>
        <v>0.2013468165642073</v>
      </c>
      <c r="R440">
        <f>IFERROR(VLOOKUP($B440,'V12'!$A$8:$Q$29,17,1),"")</f>
        <v>0.30202022484631097</v>
      </c>
      <c r="Z440" s="17"/>
      <c r="AY440" s="17"/>
    </row>
    <row r="441" spans="1:51" x14ac:dyDescent="0.25">
      <c r="A441" s="17"/>
      <c r="B441" s="2">
        <f t="shared" si="8"/>
        <v>45868</v>
      </c>
      <c r="C441">
        <f>IFERROR(VLOOKUP($B441,'V12'!$A$9:$J$1048576,2,1),"")</f>
        <v>1</v>
      </c>
      <c r="D441" s="1">
        <f>IFERROR(VLOOKUP($B441,'V12'!$A$8:$J$29,4,1),"")</f>
        <v>-1.0974178889440163</v>
      </c>
      <c r="E441" s="1">
        <f>IFERROR(VLOOKUP($B441,'V12'!$A$8:$J$29,5,1),"")</f>
        <v>-0.62634876806794071</v>
      </c>
      <c r="F441" s="1">
        <f>IFERROR(VLOOKUP($B441,'V12'!$A$8:$J$29,6,1),"")</f>
        <v>-0.1552796471918651</v>
      </c>
      <c r="G441" s="1">
        <f>IFERROR(VLOOKUP($B441,'V12'!$A$8:$J$29,7,1),"")</f>
        <v>0.31578947368421051</v>
      </c>
      <c r="H441" s="1">
        <f>IFERROR(VLOOKUP($B441,'V12'!$A$8:$J$29,8,1),"")</f>
        <v>0.78685859456028617</v>
      </c>
      <c r="I441" s="1">
        <f>IFERROR(VLOOKUP($B441,'V12'!$A$8:$J$29,9,1),"")</f>
        <v>1.2579277154363617</v>
      </c>
      <c r="J441" s="1">
        <f>IFERROR(VLOOKUP($B441,'V12'!$A$8:$J$29,10,1),"")</f>
        <v>1.7289968363124375</v>
      </c>
      <c r="K441">
        <f>IFERROR(VLOOKUP($B441,'V12'!$A$9:$Q$1048576,3,1),"")</f>
        <v>0</v>
      </c>
      <c r="L441">
        <f>IFERROR(VLOOKUP($B441,'V12'!$A$8:$Q$29,11,1),"")</f>
        <v>-0.30202022484631097</v>
      </c>
      <c r="M441">
        <f>IFERROR(VLOOKUP($B441,'V12'!$A$8:$Q$29,12,1),"")</f>
        <v>-0.2013468165642073</v>
      </c>
      <c r="N441">
        <f>IFERROR(VLOOKUP($B441,'V12'!$A$8:$Q$29,13,1),"")</f>
        <v>-0.10067340828210365</v>
      </c>
      <c r="O441">
        <f>IFERROR(VLOOKUP($B441,'V12'!$A$8:$Q$29,14,1),"")</f>
        <v>0</v>
      </c>
      <c r="P441">
        <f>IFERROR(VLOOKUP($B441,'V12'!$A$8:$Q$29,15,1),"")</f>
        <v>0.10067340828210365</v>
      </c>
      <c r="Q441">
        <f>IFERROR(VLOOKUP($B441,'V12'!$A$8:$Q$29,16,1),"")</f>
        <v>0.2013468165642073</v>
      </c>
      <c r="R441">
        <f>IFERROR(VLOOKUP($B441,'V12'!$A$8:$Q$29,17,1),"")</f>
        <v>0.30202022484631097</v>
      </c>
      <c r="Z441" s="17"/>
      <c r="AY441" s="17"/>
    </row>
    <row r="442" spans="1:51" x14ac:dyDescent="0.25">
      <c r="A442" s="17"/>
      <c r="B442" s="2">
        <f t="shared" si="8"/>
        <v>45899</v>
      </c>
      <c r="C442">
        <f>IFERROR(VLOOKUP($B442,'V12'!$A$9:$J$1048576,2,1),"")</f>
        <v>1</v>
      </c>
      <c r="D442" s="1">
        <f>IFERROR(VLOOKUP($B442,'V12'!$A$8:$J$29,4,1),"")</f>
        <v>-1.0974178889440163</v>
      </c>
      <c r="E442" s="1">
        <f>IFERROR(VLOOKUP($B442,'V12'!$A$8:$J$29,5,1),"")</f>
        <v>-0.62634876806794071</v>
      </c>
      <c r="F442" s="1">
        <f>IFERROR(VLOOKUP($B442,'V12'!$A$8:$J$29,6,1),"")</f>
        <v>-0.1552796471918651</v>
      </c>
      <c r="G442" s="1">
        <f>IFERROR(VLOOKUP($B442,'V12'!$A$8:$J$29,7,1),"")</f>
        <v>0.31578947368421051</v>
      </c>
      <c r="H442" s="1">
        <f>IFERROR(VLOOKUP($B442,'V12'!$A$8:$J$29,8,1),"")</f>
        <v>0.78685859456028617</v>
      </c>
      <c r="I442" s="1">
        <f>IFERROR(VLOOKUP($B442,'V12'!$A$8:$J$29,9,1),"")</f>
        <v>1.2579277154363617</v>
      </c>
      <c r="J442" s="1">
        <f>IFERROR(VLOOKUP($B442,'V12'!$A$8:$J$29,10,1),"")</f>
        <v>1.7289968363124375</v>
      </c>
      <c r="K442">
        <f>IFERROR(VLOOKUP($B442,'V12'!$A$9:$Q$1048576,3,1),"")</f>
        <v>0</v>
      </c>
      <c r="L442">
        <f>IFERROR(VLOOKUP($B442,'V12'!$A$8:$Q$29,11,1),"")</f>
        <v>-0.30202022484631097</v>
      </c>
      <c r="M442">
        <f>IFERROR(VLOOKUP($B442,'V12'!$A$8:$Q$29,12,1),"")</f>
        <v>-0.2013468165642073</v>
      </c>
      <c r="N442">
        <f>IFERROR(VLOOKUP($B442,'V12'!$A$8:$Q$29,13,1),"")</f>
        <v>-0.10067340828210365</v>
      </c>
      <c r="O442">
        <f>IFERROR(VLOOKUP($B442,'V12'!$A$8:$Q$29,14,1),"")</f>
        <v>0</v>
      </c>
      <c r="P442">
        <f>IFERROR(VLOOKUP($B442,'V12'!$A$8:$Q$29,15,1),"")</f>
        <v>0.10067340828210365</v>
      </c>
      <c r="Q442">
        <f>IFERROR(VLOOKUP($B442,'V12'!$A$8:$Q$29,16,1),"")</f>
        <v>0.2013468165642073</v>
      </c>
      <c r="R442">
        <f>IFERROR(VLOOKUP($B442,'V12'!$A$8:$Q$29,17,1),"")</f>
        <v>0.30202022484631097</v>
      </c>
      <c r="Z442" s="17"/>
      <c r="AY442" s="17"/>
    </row>
    <row r="443" spans="1:51" x14ac:dyDescent="0.25">
      <c r="A443" s="17"/>
      <c r="B443" s="2">
        <f>EDATE(B444,-1)</f>
        <v>45930</v>
      </c>
      <c r="C443">
        <f>IFERROR(VLOOKUP($B443,'V12'!$A$9:$J$1048576,2,1),"")</f>
        <v>1</v>
      </c>
      <c r="D443" s="1">
        <f>IFERROR(VLOOKUP($B443,'V12'!$A$8:$J$29,4,1),"")</f>
        <v>-1.0974178889440163</v>
      </c>
      <c r="E443" s="1">
        <f>IFERROR(VLOOKUP($B443,'V12'!$A$8:$J$29,5,1),"")</f>
        <v>-0.62634876806794071</v>
      </c>
      <c r="F443" s="1">
        <f>IFERROR(VLOOKUP($B443,'V12'!$A$8:$J$29,6,1),"")</f>
        <v>-0.1552796471918651</v>
      </c>
      <c r="G443" s="1">
        <f>IFERROR(VLOOKUP($B443,'V12'!$A$8:$J$29,7,1),"")</f>
        <v>0.31578947368421051</v>
      </c>
      <c r="H443" s="1">
        <f>IFERROR(VLOOKUP($B443,'V12'!$A$8:$J$29,8,1),"")</f>
        <v>0.78685859456028617</v>
      </c>
      <c r="I443" s="1">
        <f>IFERROR(VLOOKUP($B443,'V12'!$A$8:$J$29,9,1),"")</f>
        <v>1.2579277154363617</v>
      </c>
      <c r="J443" s="1">
        <f>IFERROR(VLOOKUP($B443,'V12'!$A$8:$J$29,10,1),"")</f>
        <v>1.7289968363124375</v>
      </c>
      <c r="K443">
        <f>IFERROR(VLOOKUP($B443,'V12'!$A$9:$Q$1048576,3,1),"")</f>
        <v>0</v>
      </c>
      <c r="L443">
        <f>IFERROR(VLOOKUP($B443,'V12'!$A$8:$Q$29,11,1),"")</f>
        <v>-0.30202022484631097</v>
      </c>
      <c r="M443">
        <f>IFERROR(VLOOKUP($B443,'V12'!$A$8:$Q$29,12,1),"")</f>
        <v>-0.2013468165642073</v>
      </c>
      <c r="N443">
        <f>IFERROR(VLOOKUP($B443,'V12'!$A$8:$Q$29,13,1),"")</f>
        <v>-0.10067340828210365</v>
      </c>
      <c r="O443">
        <f>IFERROR(VLOOKUP($B443,'V12'!$A$8:$Q$29,14,1),"")</f>
        <v>0</v>
      </c>
      <c r="P443">
        <f>IFERROR(VLOOKUP($B443,'V12'!$A$8:$Q$29,15,1),"")</f>
        <v>0.10067340828210365</v>
      </c>
      <c r="Q443">
        <f>IFERROR(VLOOKUP($B443,'V12'!$A$8:$Q$29,16,1),"")</f>
        <v>0.2013468165642073</v>
      </c>
      <c r="R443">
        <f>IFERROR(VLOOKUP($B443,'V12'!$A$8:$Q$29,17,1),"")</f>
        <v>0.30202022484631097</v>
      </c>
      <c r="Z443" s="17"/>
      <c r="AY443" s="17"/>
    </row>
    <row r="444" spans="1:51" x14ac:dyDescent="0.25">
      <c r="A444" s="17"/>
      <c r="B444" s="2">
        <f>$E$409</f>
        <v>45961</v>
      </c>
      <c r="C444">
        <f>IFERROR(VLOOKUP($B444,'V12'!$A$9:$J$1048576,2,1),"")</f>
        <v>0</v>
      </c>
      <c r="D444" s="1">
        <f>IFERROR(VLOOKUP($B444,'V12'!$A$8:$J$29,4,1),"")</f>
        <v>-1.0974178889440163</v>
      </c>
      <c r="E444" s="1">
        <f>IFERROR(VLOOKUP($B444,'V12'!$A$8:$J$29,5,1),"")</f>
        <v>-0.62634876806794071</v>
      </c>
      <c r="F444" s="1">
        <f>IFERROR(VLOOKUP($B444,'V12'!$A$8:$J$29,6,1),"")</f>
        <v>-0.1552796471918651</v>
      </c>
      <c r="G444" s="1">
        <f>IFERROR(VLOOKUP($B444,'V12'!$A$8:$J$29,7,1),"")</f>
        <v>0.31578947368421051</v>
      </c>
      <c r="H444" s="1">
        <f>IFERROR(VLOOKUP($B444,'V12'!$A$8:$J$29,8,1),"")</f>
        <v>0.78685859456028617</v>
      </c>
      <c r="I444" s="1">
        <f>IFERROR(VLOOKUP($B444,'V12'!$A$8:$J$29,9,1),"")</f>
        <v>1.2579277154363617</v>
      </c>
      <c r="J444" s="1">
        <f>IFERROR(VLOOKUP($B444,'V12'!$A$8:$J$29,10,1),"")</f>
        <v>1.7289968363124375</v>
      </c>
      <c r="K444">
        <f>IFERROR(VLOOKUP($B444,'V12'!$A$9:$Q$1048576,3,1),"")</f>
        <v>-0.25</v>
      </c>
      <c r="L444">
        <f>IFERROR(VLOOKUP($B444,'V12'!$A$8:$Q$29,11,1),"")</f>
        <v>-0.30202022484631097</v>
      </c>
      <c r="M444">
        <f>IFERROR(VLOOKUP($B444,'V12'!$A$8:$Q$29,12,1),"")</f>
        <v>-0.2013468165642073</v>
      </c>
      <c r="N444">
        <f>IFERROR(VLOOKUP($B444,'V12'!$A$8:$Q$29,13,1),"")</f>
        <v>-0.10067340828210365</v>
      </c>
      <c r="O444">
        <f>IFERROR(VLOOKUP($B444,'V12'!$A$8:$Q$29,14,1),"")</f>
        <v>0</v>
      </c>
      <c r="P444">
        <f>IFERROR(VLOOKUP($B444,'V12'!$A$8:$Q$29,15,1),"")</f>
        <v>0.10067340828210365</v>
      </c>
      <c r="Q444">
        <f>IFERROR(VLOOKUP($B444,'V12'!$A$8:$Q$29,16,1),"")</f>
        <v>0.2013468165642073</v>
      </c>
      <c r="R444">
        <f>IFERROR(VLOOKUP($B444,'V12'!$A$8:$Q$29,17,1),"")</f>
        <v>0.30202022484631097</v>
      </c>
      <c r="Z444" s="17"/>
      <c r="AY444" s="17"/>
    </row>
    <row r="445" spans="1:5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</row>
    <row r="446" spans="1:51" ht="50.1" customHeight="1" x14ac:dyDescent="0.25">
      <c r="A446" s="17"/>
      <c r="B446" s="39" t="s">
        <v>64</v>
      </c>
      <c r="C446" s="39"/>
      <c r="D446" s="39"/>
      <c r="E446" s="40">
        <v>45961</v>
      </c>
      <c r="F446" s="40"/>
      <c r="G446" s="40"/>
      <c r="H446" s="40"/>
      <c r="I446" s="40"/>
      <c r="J446" s="40"/>
      <c r="K446" s="40"/>
      <c r="L446" s="40"/>
      <c r="M446" s="40"/>
      <c r="N446" s="44" t="s">
        <v>82</v>
      </c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6"/>
      <c r="AY446" s="17"/>
    </row>
    <row r="447" spans="1:51" ht="50.1" customHeight="1" x14ac:dyDescent="0.25">
      <c r="A447" s="17"/>
      <c r="B447" s="39" t="s">
        <v>37</v>
      </c>
      <c r="C447" s="39"/>
      <c r="D447" s="39"/>
      <c r="E447" s="43"/>
      <c r="F447" s="43"/>
      <c r="G447" s="43"/>
      <c r="H447" s="39" t="s">
        <v>25</v>
      </c>
      <c r="I447" s="39"/>
      <c r="J447" s="39"/>
      <c r="K447" s="42"/>
      <c r="L447" s="42"/>
      <c r="M447" s="42"/>
      <c r="N447" s="47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9"/>
      <c r="AY447" s="17"/>
    </row>
    <row r="448" spans="1:51" ht="50.1" customHeight="1" x14ac:dyDescent="0.25">
      <c r="A448" s="17"/>
      <c r="B448" s="39" t="s">
        <v>66</v>
      </c>
      <c r="C448" s="39"/>
      <c r="D448" s="39"/>
      <c r="E448" s="43"/>
      <c r="F448" s="43"/>
      <c r="G448" s="43"/>
      <c r="H448" s="39" t="s">
        <v>26</v>
      </c>
      <c r="I448" s="39"/>
      <c r="J448" s="39"/>
      <c r="K448" s="42"/>
      <c r="L448" s="42"/>
      <c r="M448" s="42"/>
      <c r="N448" s="50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2"/>
      <c r="AY448" s="17"/>
    </row>
    <row r="449" spans="1:5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</row>
    <row r="450" spans="1:51" x14ac:dyDescent="0.25">
      <c r="A450" s="17"/>
      <c r="B450" t="s">
        <v>67</v>
      </c>
      <c r="K450" t="s">
        <v>68</v>
      </c>
      <c r="Z450" s="17"/>
      <c r="AY450" s="17"/>
    </row>
    <row r="451" spans="1:51" x14ac:dyDescent="0.25">
      <c r="A451" s="17"/>
      <c r="B451" s="6" t="s">
        <v>69</v>
      </c>
      <c r="C451" s="6" t="s">
        <v>70</v>
      </c>
      <c r="D451" s="6" t="s">
        <v>34</v>
      </c>
      <c r="E451" s="6" t="s">
        <v>35</v>
      </c>
      <c r="F451" s="6" t="s">
        <v>36</v>
      </c>
      <c r="G451" s="6" t="s">
        <v>37</v>
      </c>
      <c r="H451" s="6" t="s">
        <v>38</v>
      </c>
      <c r="I451" s="6" t="s">
        <v>39</v>
      </c>
      <c r="J451" s="6" t="s">
        <v>40</v>
      </c>
      <c r="K451" s="6" t="s">
        <v>70</v>
      </c>
      <c r="L451" t="s">
        <v>34</v>
      </c>
      <c r="M451" t="s">
        <v>35</v>
      </c>
      <c r="N451" t="s">
        <v>36</v>
      </c>
      <c r="O451" t="s">
        <v>37</v>
      </c>
      <c r="P451" t="s">
        <v>38</v>
      </c>
      <c r="Q451" t="s">
        <v>39</v>
      </c>
      <c r="R451" t="s">
        <v>40</v>
      </c>
      <c r="Z451" s="17"/>
      <c r="AY451" s="17"/>
    </row>
    <row r="452" spans="1:51" x14ac:dyDescent="0.25">
      <c r="A452" s="17"/>
      <c r="B452" s="2">
        <f t="shared" ref="B452:B479" si="9">EDATE(B453,-1)</f>
        <v>45074</v>
      </c>
      <c r="C452">
        <f>IFERROR(VLOOKUP($B452,'V13'!$A$9:$J$1048576,2,1),"")</f>
        <v>18</v>
      </c>
      <c r="D452" s="1">
        <f>IFERROR(VLOOKUP($B452,'V13'!$A$8:$J$29,4,1),"")</f>
        <v>-5.1383866155474749</v>
      </c>
      <c r="E452" s="1">
        <f>IFERROR(VLOOKUP($B452,'V13'!$A$8:$J$29,5,1),"")</f>
        <v>1.6972159405122103</v>
      </c>
      <c r="F452" s="1">
        <f>IFERROR(VLOOKUP($B452,'V13'!$A$8:$J$29,6,1),"")</f>
        <v>8.5328184965718954</v>
      </c>
      <c r="G452" s="1">
        <f>IFERROR(VLOOKUP($B452,'V13'!$A$8:$J$29,7,1),"")</f>
        <v>15.368421052631579</v>
      </c>
      <c r="H452" s="1">
        <f>IFERROR(VLOOKUP($B452,'V13'!$A$8:$J$29,8,1),"")</f>
        <v>22.204023608691262</v>
      </c>
      <c r="I452" s="1">
        <f>IFERROR(VLOOKUP($B452,'V13'!$A$8:$J$29,9,1),"")</f>
        <v>29.039626164750949</v>
      </c>
      <c r="J452" s="1">
        <f>IFERROR(VLOOKUP($B452,'V13'!$A$8:$J$29,10,1),"")</f>
        <v>35.875228720810632</v>
      </c>
      <c r="K452">
        <f>IFERROR(VLOOKUP($B452,'V13'!$A$9:$Q$1048576,3,1),"")</f>
        <v>0.5</v>
      </c>
      <c r="L452">
        <f>IFERROR(VLOOKUP($B452,'V13'!$A$8:$Q$29,11,1),"")</f>
        <v>-2.5194179197345665</v>
      </c>
      <c r="M452">
        <f>IFERROR(VLOOKUP($B452,'V13'!$A$8:$Q$29,12,1),"")</f>
        <v>-1.6752259815774304</v>
      </c>
      <c r="N452">
        <f>IFERROR(VLOOKUP($B452,'V13'!$A$8:$Q$29,13,1),"")</f>
        <v>-0.83103404342029408</v>
      </c>
      <c r="O452">
        <f>IFERROR(VLOOKUP($B452,'V13'!$A$8:$Q$29,14,1),"")</f>
        <v>1.3157894736842105E-2</v>
      </c>
      <c r="P452">
        <f>IFERROR(VLOOKUP($B452,'V13'!$A$8:$Q$29,15,1),"")</f>
        <v>0.85734983289397837</v>
      </c>
      <c r="Q452">
        <f>IFERROR(VLOOKUP($B452,'V13'!$A$8:$Q$29,16,1),"")</f>
        <v>1.7015417710511145</v>
      </c>
      <c r="R452">
        <f>IFERROR(VLOOKUP($B452,'V13'!$A$8:$Q$29,17,1),"")</f>
        <v>2.5457337092082506</v>
      </c>
      <c r="Z452" s="17"/>
      <c r="AY452" s="17"/>
    </row>
    <row r="453" spans="1:51" x14ac:dyDescent="0.25">
      <c r="A453" s="17"/>
      <c r="B453" s="2">
        <f t="shared" si="9"/>
        <v>45105</v>
      </c>
      <c r="C453">
        <f>IFERROR(VLOOKUP($B453,'V13'!$A$9:$J$1048576,2,1),"")</f>
        <v>23</v>
      </c>
      <c r="D453" s="1">
        <f>IFERROR(VLOOKUP($B453,'V13'!$A$8:$J$29,4,1),"")</f>
        <v>-5.1383866155474749</v>
      </c>
      <c r="E453" s="1">
        <f>IFERROR(VLOOKUP($B453,'V13'!$A$8:$J$29,5,1),"")</f>
        <v>1.6972159405122103</v>
      </c>
      <c r="F453" s="1">
        <f>IFERROR(VLOOKUP($B453,'V13'!$A$8:$J$29,6,1),"")</f>
        <v>8.5328184965718954</v>
      </c>
      <c r="G453" s="1">
        <f>IFERROR(VLOOKUP($B453,'V13'!$A$8:$J$29,7,1),"")</f>
        <v>15.368421052631579</v>
      </c>
      <c r="H453" s="1">
        <f>IFERROR(VLOOKUP($B453,'V13'!$A$8:$J$29,8,1),"")</f>
        <v>22.204023608691262</v>
      </c>
      <c r="I453" s="1">
        <f>IFERROR(VLOOKUP($B453,'V13'!$A$8:$J$29,9,1),"")</f>
        <v>29.039626164750949</v>
      </c>
      <c r="J453" s="1">
        <f>IFERROR(VLOOKUP($B453,'V13'!$A$8:$J$29,10,1),"")</f>
        <v>35.875228720810632</v>
      </c>
      <c r="K453">
        <f>IFERROR(VLOOKUP($B453,'V13'!$A$9:$Q$1048576,3,1),"")</f>
        <v>1.25</v>
      </c>
      <c r="L453">
        <f>IFERROR(VLOOKUP($B453,'V13'!$A$8:$Q$29,11,1),"")</f>
        <v>-2.5194179197345665</v>
      </c>
      <c r="M453">
        <f>IFERROR(VLOOKUP($B453,'V13'!$A$8:$Q$29,12,1),"")</f>
        <v>-1.6752259815774304</v>
      </c>
      <c r="N453">
        <f>IFERROR(VLOOKUP($B453,'V13'!$A$8:$Q$29,13,1),"")</f>
        <v>-0.83103404342029408</v>
      </c>
      <c r="O453">
        <f>IFERROR(VLOOKUP($B453,'V13'!$A$8:$Q$29,14,1),"")</f>
        <v>1.3157894736842105E-2</v>
      </c>
      <c r="P453">
        <f>IFERROR(VLOOKUP($B453,'V13'!$A$8:$Q$29,15,1),"")</f>
        <v>0.85734983289397837</v>
      </c>
      <c r="Q453">
        <f>IFERROR(VLOOKUP($B453,'V13'!$A$8:$Q$29,16,1),"")</f>
        <v>1.7015417710511145</v>
      </c>
      <c r="R453">
        <f>IFERROR(VLOOKUP($B453,'V13'!$A$8:$Q$29,17,1),"")</f>
        <v>2.5457337092082506</v>
      </c>
      <c r="Z453" s="17"/>
      <c r="AY453" s="17"/>
    </row>
    <row r="454" spans="1:51" x14ac:dyDescent="0.25">
      <c r="A454" s="17"/>
      <c r="B454" s="2">
        <f t="shared" si="9"/>
        <v>45135</v>
      </c>
      <c r="C454">
        <f>IFERROR(VLOOKUP($B454,'V13'!$A$9:$J$1048576,2,1),"")</f>
        <v>20</v>
      </c>
      <c r="D454" s="1">
        <f>IFERROR(VLOOKUP($B454,'V13'!$A$8:$J$29,4,1),"")</f>
        <v>-5.1383866155474749</v>
      </c>
      <c r="E454" s="1">
        <f>IFERROR(VLOOKUP($B454,'V13'!$A$8:$J$29,5,1),"")</f>
        <v>1.6972159405122103</v>
      </c>
      <c r="F454" s="1">
        <f>IFERROR(VLOOKUP($B454,'V13'!$A$8:$J$29,6,1),"")</f>
        <v>8.5328184965718954</v>
      </c>
      <c r="G454" s="1">
        <f>IFERROR(VLOOKUP($B454,'V13'!$A$8:$J$29,7,1),"")</f>
        <v>15.368421052631579</v>
      </c>
      <c r="H454" s="1">
        <f>IFERROR(VLOOKUP($B454,'V13'!$A$8:$J$29,8,1),"")</f>
        <v>22.204023608691262</v>
      </c>
      <c r="I454" s="1">
        <f>IFERROR(VLOOKUP($B454,'V13'!$A$8:$J$29,9,1),"")</f>
        <v>29.039626164750949</v>
      </c>
      <c r="J454" s="1">
        <f>IFERROR(VLOOKUP($B454,'V13'!$A$8:$J$29,10,1),"")</f>
        <v>35.875228720810632</v>
      </c>
      <c r="K454">
        <f>IFERROR(VLOOKUP($B454,'V13'!$A$9:$Q$1048576,3,1),"")</f>
        <v>-0.75</v>
      </c>
      <c r="L454">
        <f>IFERROR(VLOOKUP($B454,'V13'!$A$8:$Q$29,11,1),"")</f>
        <v>-2.5194179197345665</v>
      </c>
      <c r="M454">
        <f>IFERROR(VLOOKUP($B454,'V13'!$A$8:$Q$29,12,1),"")</f>
        <v>-1.6752259815774304</v>
      </c>
      <c r="N454">
        <f>IFERROR(VLOOKUP($B454,'V13'!$A$8:$Q$29,13,1),"")</f>
        <v>-0.83103404342029408</v>
      </c>
      <c r="O454">
        <f>IFERROR(VLOOKUP($B454,'V13'!$A$8:$Q$29,14,1),"")</f>
        <v>1.3157894736842105E-2</v>
      </c>
      <c r="P454">
        <f>IFERROR(VLOOKUP($B454,'V13'!$A$8:$Q$29,15,1),"")</f>
        <v>0.85734983289397837</v>
      </c>
      <c r="Q454">
        <f>IFERROR(VLOOKUP($B454,'V13'!$A$8:$Q$29,16,1),"")</f>
        <v>1.7015417710511145</v>
      </c>
      <c r="R454">
        <f>IFERROR(VLOOKUP($B454,'V13'!$A$8:$Q$29,17,1),"")</f>
        <v>2.5457337092082506</v>
      </c>
      <c r="Z454" s="17"/>
      <c r="AY454" s="17"/>
    </row>
    <row r="455" spans="1:51" x14ac:dyDescent="0.25">
      <c r="A455" s="17"/>
      <c r="B455" s="2">
        <f t="shared" si="9"/>
        <v>45166</v>
      </c>
      <c r="C455">
        <f>IFERROR(VLOOKUP($B455,'V13'!$A$9:$J$1048576,2,1),"")</f>
        <v>22</v>
      </c>
      <c r="D455" s="1">
        <f>IFERROR(VLOOKUP($B455,'V13'!$A$8:$J$29,4,1),"")</f>
        <v>-5.1383866155474749</v>
      </c>
      <c r="E455" s="1">
        <f>IFERROR(VLOOKUP($B455,'V13'!$A$8:$J$29,5,1),"")</f>
        <v>1.6972159405122103</v>
      </c>
      <c r="F455" s="1">
        <f>IFERROR(VLOOKUP($B455,'V13'!$A$8:$J$29,6,1),"")</f>
        <v>8.5328184965718954</v>
      </c>
      <c r="G455" s="1">
        <f>IFERROR(VLOOKUP($B455,'V13'!$A$8:$J$29,7,1),"")</f>
        <v>15.368421052631579</v>
      </c>
      <c r="H455" s="1">
        <f>IFERROR(VLOOKUP($B455,'V13'!$A$8:$J$29,8,1),"")</f>
        <v>22.204023608691262</v>
      </c>
      <c r="I455" s="1">
        <f>IFERROR(VLOOKUP($B455,'V13'!$A$8:$J$29,9,1),"")</f>
        <v>29.039626164750949</v>
      </c>
      <c r="J455" s="1">
        <f>IFERROR(VLOOKUP($B455,'V13'!$A$8:$J$29,10,1),"")</f>
        <v>35.875228720810632</v>
      </c>
      <c r="K455">
        <f>IFERROR(VLOOKUP($B455,'V13'!$A$9:$Q$1048576,3,1),"")</f>
        <v>0.5</v>
      </c>
      <c r="L455">
        <f>IFERROR(VLOOKUP($B455,'V13'!$A$8:$Q$29,11,1),"")</f>
        <v>-2.5194179197345665</v>
      </c>
      <c r="M455">
        <f>IFERROR(VLOOKUP($B455,'V13'!$A$8:$Q$29,12,1),"")</f>
        <v>-1.6752259815774304</v>
      </c>
      <c r="N455">
        <f>IFERROR(VLOOKUP($B455,'V13'!$A$8:$Q$29,13,1),"")</f>
        <v>-0.83103404342029408</v>
      </c>
      <c r="O455">
        <f>IFERROR(VLOOKUP($B455,'V13'!$A$8:$Q$29,14,1),"")</f>
        <v>1.3157894736842105E-2</v>
      </c>
      <c r="P455">
        <f>IFERROR(VLOOKUP($B455,'V13'!$A$8:$Q$29,15,1),"")</f>
        <v>0.85734983289397837</v>
      </c>
      <c r="Q455">
        <f>IFERROR(VLOOKUP($B455,'V13'!$A$8:$Q$29,16,1),"")</f>
        <v>1.7015417710511145</v>
      </c>
      <c r="R455">
        <f>IFERROR(VLOOKUP($B455,'V13'!$A$8:$Q$29,17,1),"")</f>
        <v>2.5457337092082506</v>
      </c>
      <c r="Z455" s="17"/>
      <c r="AY455" s="17"/>
    </row>
    <row r="456" spans="1:51" x14ac:dyDescent="0.25">
      <c r="A456" s="17"/>
      <c r="B456" s="2">
        <f t="shared" si="9"/>
        <v>45197</v>
      </c>
      <c r="C456">
        <f>IFERROR(VLOOKUP($B456,'V13'!$A$9:$J$1048576,2,1),"")</f>
        <v>23</v>
      </c>
      <c r="D456" s="1">
        <f>IFERROR(VLOOKUP($B456,'V13'!$A$8:$J$29,4,1),"")</f>
        <v>-5.1383866155474749</v>
      </c>
      <c r="E456" s="1">
        <f>IFERROR(VLOOKUP($B456,'V13'!$A$8:$J$29,5,1),"")</f>
        <v>1.6972159405122103</v>
      </c>
      <c r="F456" s="1">
        <f>IFERROR(VLOOKUP($B456,'V13'!$A$8:$J$29,6,1),"")</f>
        <v>8.5328184965718954</v>
      </c>
      <c r="G456" s="1">
        <f>IFERROR(VLOOKUP($B456,'V13'!$A$8:$J$29,7,1),"")</f>
        <v>15.368421052631579</v>
      </c>
      <c r="H456" s="1">
        <f>IFERROR(VLOOKUP($B456,'V13'!$A$8:$J$29,8,1),"")</f>
        <v>22.204023608691262</v>
      </c>
      <c r="I456" s="1">
        <f>IFERROR(VLOOKUP($B456,'V13'!$A$8:$J$29,9,1),"")</f>
        <v>29.039626164750949</v>
      </c>
      <c r="J456" s="1">
        <f>IFERROR(VLOOKUP($B456,'V13'!$A$8:$J$29,10,1),"")</f>
        <v>35.875228720810632</v>
      </c>
      <c r="K456">
        <f>IFERROR(VLOOKUP($B456,'V13'!$A$9:$Q$1048576,3,1),"")</f>
        <v>0.25</v>
      </c>
      <c r="L456">
        <f>IFERROR(VLOOKUP($B456,'V13'!$A$8:$Q$29,11,1),"")</f>
        <v>-2.5194179197345665</v>
      </c>
      <c r="M456">
        <f>IFERROR(VLOOKUP($B456,'V13'!$A$8:$Q$29,12,1),"")</f>
        <v>-1.6752259815774304</v>
      </c>
      <c r="N456">
        <f>IFERROR(VLOOKUP($B456,'V13'!$A$8:$Q$29,13,1),"")</f>
        <v>-0.83103404342029408</v>
      </c>
      <c r="O456">
        <f>IFERROR(VLOOKUP($B456,'V13'!$A$8:$Q$29,14,1),"")</f>
        <v>1.3157894736842105E-2</v>
      </c>
      <c r="P456">
        <f>IFERROR(VLOOKUP($B456,'V13'!$A$8:$Q$29,15,1),"")</f>
        <v>0.85734983289397837</v>
      </c>
      <c r="Q456">
        <f>IFERROR(VLOOKUP($B456,'V13'!$A$8:$Q$29,16,1),"")</f>
        <v>1.7015417710511145</v>
      </c>
      <c r="R456">
        <f>IFERROR(VLOOKUP($B456,'V13'!$A$8:$Q$29,17,1),"")</f>
        <v>2.5457337092082506</v>
      </c>
      <c r="Z456" s="17"/>
      <c r="AY456" s="17"/>
    </row>
    <row r="457" spans="1:51" x14ac:dyDescent="0.25">
      <c r="A457" s="17"/>
      <c r="B457" s="2">
        <f t="shared" si="9"/>
        <v>45227</v>
      </c>
      <c r="C457">
        <f>IFERROR(VLOOKUP($B457,'V13'!$A$9:$J$1048576,2,1),"")</f>
        <v>25</v>
      </c>
      <c r="D457" s="1">
        <f>IFERROR(VLOOKUP($B457,'V13'!$A$8:$J$29,4,1),"")</f>
        <v>-5.1383866155474749</v>
      </c>
      <c r="E457" s="1">
        <f>IFERROR(VLOOKUP($B457,'V13'!$A$8:$J$29,5,1),"")</f>
        <v>1.6972159405122103</v>
      </c>
      <c r="F457" s="1">
        <f>IFERROR(VLOOKUP($B457,'V13'!$A$8:$J$29,6,1),"")</f>
        <v>8.5328184965718954</v>
      </c>
      <c r="G457" s="1">
        <f>IFERROR(VLOOKUP($B457,'V13'!$A$8:$J$29,7,1),"")</f>
        <v>15.368421052631579</v>
      </c>
      <c r="H457" s="1">
        <f>IFERROR(VLOOKUP($B457,'V13'!$A$8:$J$29,8,1),"")</f>
        <v>22.204023608691262</v>
      </c>
      <c r="I457" s="1">
        <f>IFERROR(VLOOKUP($B457,'V13'!$A$8:$J$29,9,1),"")</f>
        <v>29.039626164750949</v>
      </c>
      <c r="J457" s="1">
        <f>IFERROR(VLOOKUP($B457,'V13'!$A$8:$J$29,10,1),"")</f>
        <v>35.875228720810632</v>
      </c>
      <c r="K457">
        <f>IFERROR(VLOOKUP($B457,'V13'!$A$9:$Q$1048576,3,1),"")</f>
        <v>0.5</v>
      </c>
      <c r="L457">
        <f>IFERROR(VLOOKUP($B457,'V13'!$A$8:$Q$29,11,1),"")</f>
        <v>-2.5194179197345665</v>
      </c>
      <c r="M457">
        <f>IFERROR(VLOOKUP($B457,'V13'!$A$8:$Q$29,12,1),"")</f>
        <v>-1.6752259815774304</v>
      </c>
      <c r="N457">
        <f>IFERROR(VLOOKUP($B457,'V13'!$A$8:$Q$29,13,1),"")</f>
        <v>-0.83103404342029408</v>
      </c>
      <c r="O457">
        <f>IFERROR(VLOOKUP($B457,'V13'!$A$8:$Q$29,14,1),"")</f>
        <v>1.3157894736842105E-2</v>
      </c>
      <c r="P457">
        <f>IFERROR(VLOOKUP($B457,'V13'!$A$8:$Q$29,15,1),"")</f>
        <v>0.85734983289397837</v>
      </c>
      <c r="Q457">
        <f>IFERROR(VLOOKUP($B457,'V13'!$A$8:$Q$29,16,1),"")</f>
        <v>1.7015417710511145</v>
      </c>
      <c r="R457">
        <f>IFERROR(VLOOKUP($B457,'V13'!$A$8:$Q$29,17,1),"")</f>
        <v>2.5457337092082506</v>
      </c>
      <c r="Z457" s="17"/>
      <c r="AY457" s="17"/>
    </row>
    <row r="458" spans="1:51" x14ac:dyDescent="0.25">
      <c r="A458" s="17"/>
      <c r="B458" s="2">
        <f t="shared" si="9"/>
        <v>45258</v>
      </c>
      <c r="C458">
        <f>IFERROR(VLOOKUP($B458,'V13'!$A$9:$J$1048576,2,1),"")</f>
        <v>26</v>
      </c>
      <c r="D458" s="1">
        <f>IFERROR(VLOOKUP($B458,'V13'!$A$8:$J$29,4,1),"")</f>
        <v>-5.1383866155474749</v>
      </c>
      <c r="E458" s="1">
        <f>IFERROR(VLOOKUP($B458,'V13'!$A$8:$J$29,5,1),"")</f>
        <v>1.6972159405122103</v>
      </c>
      <c r="F458" s="1">
        <f>IFERROR(VLOOKUP($B458,'V13'!$A$8:$J$29,6,1),"")</f>
        <v>8.5328184965718954</v>
      </c>
      <c r="G458" s="1">
        <f>IFERROR(VLOOKUP($B458,'V13'!$A$8:$J$29,7,1),"")</f>
        <v>15.368421052631579</v>
      </c>
      <c r="H458" s="1">
        <f>IFERROR(VLOOKUP($B458,'V13'!$A$8:$J$29,8,1),"")</f>
        <v>22.204023608691262</v>
      </c>
      <c r="I458" s="1">
        <f>IFERROR(VLOOKUP($B458,'V13'!$A$8:$J$29,9,1),"")</f>
        <v>29.039626164750949</v>
      </c>
      <c r="J458" s="1">
        <f>IFERROR(VLOOKUP($B458,'V13'!$A$8:$J$29,10,1),"")</f>
        <v>35.875228720810632</v>
      </c>
      <c r="K458">
        <f>IFERROR(VLOOKUP($B458,'V13'!$A$9:$Q$1048576,3,1),"")</f>
        <v>0.25</v>
      </c>
      <c r="L458">
        <f>IFERROR(VLOOKUP($B458,'V13'!$A$8:$Q$29,11,1),"")</f>
        <v>-2.5194179197345665</v>
      </c>
      <c r="M458">
        <f>IFERROR(VLOOKUP($B458,'V13'!$A$8:$Q$29,12,1),"")</f>
        <v>-1.6752259815774304</v>
      </c>
      <c r="N458">
        <f>IFERROR(VLOOKUP($B458,'V13'!$A$8:$Q$29,13,1),"")</f>
        <v>-0.83103404342029408</v>
      </c>
      <c r="O458">
        <f>IFERROR(VLOOKUP($B458,'V13'!$A$8:$Q$29,14,1),"")</f>
        <v>1.3157894736842105E-2</v>
      </c>
      <c r="P458">
        <f>IFERROR(VLOOKUP($B458,'V13'!$A$8:$Q$29,15,1),"")</f>
        <v>0.85734983289397837</v>
      </c>
      <c r="Q458">
        <f>IFERROR(VLOOKUP($B458,'V13'!$A$8:$Q$29,16,1),"")</f>
        <v>1.7015417710511145</v>
      </c>
      <c r="R458">
        <f>IFERROR(VLOOKUP($B458,'V13'!$A$8:$Q$29,17,1),"")</f>
        <v>2.5457337092082506</v>
      </c>
      <c r="Z458" s="17"/>
      <c r="AY458" s="17"/>
    </row>
    <row r="459" spans="1:51" x14ac:dyDescent="0.25">
      <c r="A459" s="17"/>
      <c r="B459" s="2">
        <f t="shared" si="9"/>
        <v>45288</v>
      </c>
      <c r="C459">
        <f>IFERROR(VLOOKUP($B459,'V13'!$A$9:$J$1048576,2,1),"")</f>
        <v>27</v>
      </c>
      <c r="D459" s="1">
        <f>IFERROR(VLOOKUP($B459,'V13'!$A$8:$J$29,4,1),"")</f>
        <v>-5.1383866155474749</v>
      </c>
      <c r="E459" s="1">
        <f>IFERROR(VLOOKUP($B459,'V13'!$A$8:$J$29,5,1),"")</f>
        <v>1.6972159405122103</v>
      </c>
      <c r="F459" s="1">
        <f>IFERROR(VLOOKUP($B459,'V13'!$A$8:$J$29,6,1),"")</f>
        <v>8.5328184965718954</v>
      </c>
      <c r="G459" s="1">
        <f>IFERROR(VLOOKUP($B459,'V13'!$A$8:$J$29,7,1),"")</f>
        <v>15.368421052631579</v>
      </c>
      <c r="H459" s="1">
        <f>IFERROR(VLOOKUP($B459,'V13'!$A$8:$J$29,8,1),"")</f>
        <v>22.204023608691262</v>
      </c>
      <c r="I459" s="1">
        <f>IFERROR(VLOOKUP($B459,'V13'!$A$8:$J$29,9,1),"")</f>
        <v>29.039626164750949</v>
      </c>
      <c r="J459" s="1">
        <f>IFERROR(VLOOKUP($B459,'V13'!$A$8:$J$29,10,1),"")</f>
        <v>35.875228720810632</v>
      </c>
      <c r="K459">
        <f>IFERROR(VLOOKUP($B459,'V13'!$A$9:$Q$1048576,3,1),"")</f>
        <v>0.25</v>
      </c>
      <c r="L459">
        <f>IFERROR(VLOOKUP($B459,'V13'!$A$8:$Q$29,11,1),"")</f>
        <v>-2.5194179197345665</v>
      </c>
      <c r="M459">
        <f>IFERROR(VLOOKUP($B459,'V13'!$A$8:$Q$29,12,1),"")</f>
        <v>-1.6752259815774304</v>
      </c>
      <c r="N459">
        <f>IFERROR(VLOOKUP($B459,'V13'!$A$8:$Q$29,13,1),"")</f>
        <v>-0.83103404342029408</v>
      </c>
      <c r="O459">
        <f>IFERROR(VLOOKUP($B459,'V13'!$A$8:$Q$29,14,1),"")</f>
        <v>1.3157894736842105E-2</v>
      </c>
      <c r="P459">
        <f>IFERROR(VLOOKUP($B459,'V13'!$A$8:$Q$29,15,1),"")</f>
        <v>0.85734983289397837</v>
      </c>
      <c r="Q459">
        <f>IFERROR(VLOOKUP($B459,'V13'!$A$8:$Q$29,16,1),"")</f>
        <v>1.7015417710511145</v>
      </c>
      <c r="R459">
        <f>IFERROR(VLOOKUP($B459,'V13'!$A$8:$Q$29,17,1),"")</f>
        <v>2.5457337092082506</v>
      </c>
      <c r="Z459" s="17"/>
      <c r="AY459" s="17"/>
    </row>
    <row r="460" spans="1:51" x14ac:dyDescent="0.25">
      <c r="A460" s="17"/>
      <c r="B460" s="2">
        <f t="shared" si="9"/>
        <v>45319</v>
      </c>
      <c r="C460">
        <f>IFERROR(VLOOKUP($B460,'V13'!$A$9:$J$1048576,2,1),"")</f>
        <v>30</v>
      </c>
      <c r="D460" s="1">
        <f>IFERROR(VLOOKUP($B460,'V13'!$A$8:$J$29,4,1),"")</f>
        <v>-5.1383866155474749</v>
      </c>
      <c r="E460" s="1">
        <f>IFERROR(VLOOKUP($B460,'V13'!$A$8:$J$29,5,1),"")</f>
        <v>1.6972159405122103</v>
      </c>
      <c r="F460" s="1">
        <f>IFERROR(VLOOKUP($B460,'V13'!$A$8:$J$29,6,1),"")</f>
        <v>8.5328184965718954</v>
      </c>
      <c r="G460" s="1">
        <f>IFERROR(VLOOKUP($B460,'V13'!$A$8:$J$29,7,1),"")</f>
        <v>15.368421052631579</v>
      </c>
      <c r="H460" s="1">
        <f>IFERROR(VLOOKUP($B460,'V13'!$A$8:$J$29,8,1),"")</f>
        <v>22.204023608691262</v>
      </c>
      <c r="I460" s="1">
        <f>IFERROR(VLOOKUP($B460,'V13'!$A$8:$J$29,9,1),"")</f>
        <v>29.039626164750949</v>
      </c>
      <c r="J460" s="1">
        <f>IFERROR(VLOOKUP($B460,'V13'!$A$8:$J$29,10,1),"")</f>
        <v>35.875228720810632</v>
      </c>
      <c r="K460">
        <f>IFERROR(VLOOKUP($B460,'V13'!$A$9:$Q$1048576,3,1),"")</f>
        <v>0.75</v>
      </c>
      <c r="L460">
        <f>IFERROR(VLOOKUP($B460,'V13'!$A$8:$Q$29,11,1),"")</f>
        <v>-2.5194179197345665</v>
      </c>
      <c r="M460">
        <f>IFERROR(VLOOKUP($B460,'V13'!$A$8:$Q$29,12,1),"")</f>
        <v>-1.6752259815774304</v>
      </c>
      <c r="N460">
        <f>IFERROR(VLOOKUP($B460,'V13'!$A$8:$Q$29,13,1),"")</f>
        <v>-0.83103404342029408</v>
      </c>
      <c r="O460">
        <f>IFERROR(VLOOKUP($B460,'V13'!$A$8:$Q$29,14,1),"")</f>
        <v>1.3157894736842105E-2</v>
      </c>
      <c r="P460">
        <f>IFERROR(VLOOKUP($B460,'V13'!$A$8:$Q$29,15,1),"")</f>
        <v>0.85734983289397837</v>
      </c>
      <c r="Q460">
        <f>IFERROR(VLOOKUP($B460,'V13'!$A$8:$Q$29,16,1),"")</f>
        <v>1.7015417710511145</v>
      </c>
      <c r="R460">
        <f>IFERROR(VLOOKUP($B460,'V13'!$A$8:$Q$29,17,1),"")</f>
        <v>2.5457337092082506</v>
      </c>
      <c r="Z460" s="17"/>
      <c r="AY460" s="17"/>
    </row>
    <row r="461" spans="1:51" x14ac:dyDescent="0.25">
      <c r="A461" s="17"/>
      <c r="B461" s="2">
        <f t="shared" si="9"/>
        <v>45350</v>
      </c>
      <c r="C461">
        <f>IFERROR(VLOOKUP($B461,'V13'!$A$9:$J$1048576,2,1),"")</f>
        <v>23</v>
      </c>
      <c r="D461" s="1">
        <f>IFERROR(VLOOKUP($B461,'V13'!$A$8:$J$29,4,1),"")</f>
        <v>-5.1383866155474749</v>
      </c>
      <c r="E461" s="1">
        <f>IFERROR(VLOOKUP($B461,'V13'!$A$8:$J$29,5,1),"")</f>
        <v>1.6972159405122103</v>
      </c>
      <c r="F461" s="1">
        <f>IFERROR(VLOOKUP($B461,'V13'!$A$8:$J$29,6,1),"")</f>
        <v>8.5328184965718954</v>
      </c>
      <c r="G461" s="1">
        <f>IFERROR(VLOOKUP($B461,'V13'!$A$8:$J$29,7,1),"")</f>
        <v>15.368421052631579</v>
      </c>
      <c r="H461" s="1">
        <f>IFERROR(VLOOKUP($B461,'V13'!$A$8:$J$29,8,1),"")</f>
        <v>22.204023608691262</v>
      </c>
      <c r="I461" s="1">
        <f>IFERROR(VLOOKUP($B461,'V13'!$A$8:$J$29,9,1),"")</f>
        <v>29.039626164750949</v>
      </c>
      <c r="J461" s="1">
        <f>IFERROR(VLOOKUP($B461,'V13'!$A$8:$J$29,10,1),"")</f>
        <v>35.875228720810632</v>
      </c>
      <c r="K461">
        <f>IFERROR(VLOOKUP($B461,'V13'!$A$9:$Q$1048576,3,1),"")</f>
        <v>-1.75</v>
      </c>
      <c r="L461">
        <f>IFERROR(VLOOKUP($B461,'V13'!$A$8:$Q$29,11,1),"")</f>
        <v>-2.5194179197345665</v>
      </c>
      <c r="M461">
        <f>IFERROR(VLOOKUP($B461,'V13'!$A$8:$Q$29,12,1),"")</f>
        <v>-1.6752259815774304</v>
      </c>
      <c r="N461">
        <f>IFERROR(VLOOKUP($B461,'V13'!$A$8:$Q$29,13,1),"")</f>
        <v>-0.83103404342029408</v>
      </c>
      <c r="O461">
        <f>IFERROR(VLOOKUP($B461,'V13'!$A$8:$Q$29,14,1),"")</f>
        <v>1.3157894736842105E-2</v>
      </c>
      <c r="P461">
        <f>IFERROR(VLOOKUP($B461,'V13'!$A$8:$Q$29,15,1),"")</f>
        <v>0.85734983289397837</v>
      </c>
      <c r="Q461">
        <f>IFERROR(VLOOKUP($B461,'V13'!$A$8:$Q$29,16,1),"")</f>
        <v>1.7015417710511145</v>
      </c>
      <c r="R461">
        <f>IFERROR(VLOOKUP($B461,'V13'!$A$8:$Q$29,17,1),"")</f>
        <v>2.5457337092082506</v>
      </c>
      <c r="Z461" s="17"/>
      <c r="AY461" s="17"/>
    </row>
    <row r="462" spans="1:51" x14ac:dyDescent="0.25">
      <c r="A462" s="17"/>
      <c r="B462" s="2">
        <f t="shared" si="9"/>
        <v>45379</v>
      </c>
      <c r="C462">
        <f>IFERROR(VLOOKUP($B462,'V13'!$A$9:$J$1048576,2,1),"")</f>
        <v>21</v>
      </c>
      <c r="D462" s="1">
        <f>IFERROR(VLOOKUP($B462,'V13'!$A$8:$J$29,4,1),"")</f>
        <v>-5.1383866155474749</v>
      </c>
      <c r="E462" s="1">
        <f>IFERROR(VLOOKUP($B462,'V13'!$A$8:$J$29,5,1),"")</f>
        <v>1.6972159405122103</v>
      </c>
      <c r="F462" s="1">
        <f>IFERROR(VLOOKUP($B462,'V13'!$A$8:$J$29,6,1),"")</f>
        <v>8.5328184965718954</v>
      </c>
      <c r="G462" s="1">
        <f>IFERROR(VLOOKUP($B462,'V13'!$A$8:$J$29,7,1),"")</f>
        <v>15.368421052631579</v>
      </c>
      <c r="H462" s="1">
        <f>IFERROR(VLOOKUP($B462,'V13'!$A$8:$J$29,8,1),"")</f>
        <v>22.204023608691262</v>
      </c>
      <c r="I462" s="1">
        <f>IFERROR(VLOOKUP($B462,'V13'!$A$8:$J$29,9,1),"")</f>
        <v>29.039626164750949</v>
      </c>
      <c r="J462" s="1">
        <f>IFERROR(VLOOKUP($B462,'V13'!$A$8:$J$29,10,1),"")</f>
        <v>35.875228720810632</v>
      </c>
      <c r="K462">
        <f>IFERROR(VLOOKUP($B462,'V13'!$A$9:$Q$1048576,3,1),"")</f>
        <v>-0.5</v>
      </c>
      <c r="L462">
        <f>IFERROR(VLOOKUP($B462,'V13'!$A$8:$Q$29,11,1),"")</f>
        <v>-2.5194179197345665</v>
      </c>
      <c r="M462">
        <f>IFERROR(VLOOKUP($B462,'V13'!$A$8:$Q$29,12,1),"")</f>
        <v>-1.6752259815774304</v>
      </c>
      <c r="N462">
        <f>IFERROR(VLOOKUP($B462,'V13'!$A$8:$Q$29,13,1),"")</f>
        <v>-0.83103404342029408</v>
      </c>
      <c r="O462">
        <f>IFERROR(VLOOKUP($B462,'V13'!$A$8:$Q$29,14,1),"")</f>
        <v>1.3157894736842105E-2</v>
      </c>
      <c r="P462">
        <f>IFERROR(VLOOKUP($B462,'V13'!$A$8:$Q$29,15,1),"")</f>
        <v>0.85734983289397837</v>
      </c>
      <c r="Q462">
        <f>IFERROR(VLOOKUP($B462,'V13'!$A$8:$Q$29,16,1),"")</f>
        <v>1.7015417710511145</v>
      </c>
      <c r="R462">
        <f>IFERROR(VLOOKUP($B462,'V13'!$A$8:$Q$29,17,1),"")</f>
        <v>2.5457337092082506</v>
      </c>
      <c r="Z462" s="17"/>
      <c r="AY462" s="17"/>
    </row>
    <row r="463" spans="1:51" x14ac:dyDescent="0.25">
      <c r="A463" s="17"/>
      <c r="B463" s="2">
        <f t="shared" si="9"/>
        <v>45410</v>
      </c>
      <c r="C463">
        <f>IFERROR(VLOOKUP($B463,'V13'!$A$9:$J$1048576,2,1),"")</f>
        <v>17</v>
      </c>
      <c r="D463" s="1">
        <f>IFERROR(VLOOKUP($B463,'V13'!$A$8:$J$29,4,1),"")</f>
        <v>-5.1383866155474749</v>
      </c>
      <c r="E463" s="1">
        <f>IFERROR(VLOOKUP($B463,'V13'!$A$8:$J$29,5,1),"")</f>
        <v>1.6972159405122103</v>
      </c>
      <c r="F463" s="1">
        <f>IFERROR(VLOOKUP($B463,'V13'!$A$8:$J$29,6,1),"")</f>
        <v>8.5328184965718954</v>
      </c>
      <c r="G463" s="1">
        <f>IFERROR(VLOOKUP($B463,'V13'!$A$8:$J$29,7,1),"")</f>
        <v>15.368421052631579</v>
      </c>
      <c r="H463" s="1">
        <f>IFERROR(VLOOKUP($B463,'V13'!$A$8:$J$29,8,1),"")</f>
        <v>22.204023608691262</v>
      </c>
      <c r="I463" s="1">
        <f>IFERROR(VLOOKUP($B463,'V13'!$A$8:$J$29,9,1),"")</f>
        <v>29.039626164750949</v>
      </c>
      <c r="J463" s="1">
        <f>IFERROR(VLOOKUP($B463,'V13'!$A$8:$J$29,10,1),"")</f>
        <v>35.875228720810632</v>
      </c>
      <c r="K463">
        <f>IFERROR(VLOOKUP($B463,'V13'!$A$9:$Q$1048576,3,1),"")</f>
        <v>-1</v>
      </c>
      <c r="L463">
        <f>IFERROR(VLOOKUP($B463,'V13'!$A$8:$Q$29,11,1),"")</f>
        <v>-2.5194179197345665</v>
      </c>
      <c r="M463">
        <f>IFERROR(VLOOKUP($B463,'V13'!$A$8:$Q$29,12,1),"")</f>
        <v>-1.6752259815774304</v>
      </c>
      <c r="N463">
        <f>IFERROR(VLOOKUP($B463,'V13'!$A$8:$Q$29,13,1),"")</f>
        <v>-0.83103404342029408</v>
      </c>
      <c r="O463">
        <f>IFERROR(VLOOKUP($B463,'V13'!$A$8:$Q$29,14,1),"")</f>
        <v>1.3157894736842105E-2</v>
      </c>
      <c r="P463">
        <f>IFERROR(VLOOKUP($B463,'V13'!$A$8:$Q$29,15,1),"")</f>
        <v>0.85734983289397837</v>
      </c>
      <c r="Q463">
        <f>IFERROR(VLOOKUP($B463,'V13'!$A$8:$Q$29,16,1),"")</f>
        <v>1.7015417710511145</v>
      </c>
      <c r="R463">
        <f>IFERROR(VLOOKUP($B463,'V13'!$A$8:$Q$29,17,1),"")</f>
        <v>2.5457337092082506</v>
      </c>
      <c r="Z463" s="17"/>
      <c r="AY463" s="17"/>
    </row>
    <row r="464" spans="1:51" x14ac:dyDescent="0.25">
      <c r="A464" s="17"/>
      <c r="B464" s="2">
        <f t="shared" si="9"/>
        <v>45440</v>
      </c>
      <c r="C464">
        <f>IFERROR(VLOOKUP($B464,'V13'!$A$9:$J$1048576,2,1),"")</f>
        <v>15</v>
      </c>
      <c r="D464" s="1">
        <f>IFERROR(VLOOKUP($B464,'V13'!$A$8:$J$29,4,1),"")</f>
        <v>-5.1383866155474749</v>
      </c>
      <c r="E464" s="1">
        <f>IFERROR(VLOOKUP($B464,'V13'!$A$8:$J$29,5,1),"")</f>
        <v>1.6972159405122103</v>
      </c>
      <c r="F464" s="1">
        <f>IFERROR(VLOOKUP($B464,'V13'!$A$8:$J$29,6,1),"")</f>
        <v>8.5328184965718954</v>
      </c>
      <c r="G464" s="1">
        <f>IFERROR(VLOOKUP($B464,'V13'!$A$8:$J$29,7,1),"")</f>
        <v>15.368421052631579</v>
      </c>
      <c r="H464" s="1">
        <f>IFERROR(VLOOKUP($B464,'V13'!$A$8:$J$29,8,1),"")</f>
        <v>22.204023608691262</v>
      </c>
      <c r="I464" s="1">
        <f>IFERROR(VLOOKUP($B464,'V13'!$A$8:$J$29,9,1),"")</f>
        <v>29.039626164750949</v>
      </c>
      <c r="J464" s="1">
        <f>IFERROR(VLOOKUP($B464,'V13'!$A$8:$J$29,10,1),"")</f>
        <v>35.875228720810632</v>
      </c>
      <c r="K464">
        <f>IFERROR(VLOOKUP($B464,'V13'!$A$9:$Q$1048576,3,1),"")</f>
        <v>-0.5</v>
      </c>
      <c r="L464">
        <f>IFERROR(VLOOKUP($B464,'V13'!$A$8:$Q$29,11,1),"")</f>
        <v>-2.5194179197345665</v>
      </c>
      <c r="M464">
        <f>IFERROR(VLOOKUP($B464,'V13'!$A$8:$Q$29,12,1),"")</f>
        <v>-1.6752259815774304</v>
      </c>
      <c r="N464">
        <f>IFERROR(VLOOKUP($B464,'V13'!$A$8:$Q$29,13,1),"")</f>
        <v>-0.83103404342029408</v>
      </c>
      <c r="O464">
        <f>IFERROR(VLOOKUP($B464,'V13'!$A$8:$Q$29,14,1),"")</f>
        <v>1.3157894736842105E-2</v>
      </c>
      <c r="P464">
        <f>IFERROR(VLOOKUP($B464,'V13'!$A$8:$Q$29,15,1),"")</f>
        <v>0.85734983289397837</v>
      </c>
      <c r="Q464">
        <f>IFERROR(VLOOKUP($B464,'V13'!$A$8:$Q$29,16,1),"")</f>
        <v>1.7015417710511145</v>
      </c>
      <c r="R464">
        <f>IFERROR(VLOOKUP($B464,'V13'!$A$8:$Q$29,17,1),"")</f>
        <v>2.5457337092082506</v>
      </c>
      <c r="Z464" s="17"/>
      <c r="AY464" s="17"/>
    </row>
    <row r="465" spans="1:51" x14ac:dyDescent="0.25">
      <c r="A465" s="17"/>
      <c r="B465" s="2">
        <f t="shared" si="9"/>
        <v>45471</v>
      </c>
      <c r="C465">
        <f>IFERROR(VLOOKUP($B465,'V13'!$A$9:$J$1048576,2,1),"")</f>
        <v>16</v>
      </c>
      <c r="D465" s="1">
        <f>IFERROR(VLOOKUP($B465,'V13'!$A$8:$J$29,4,1),"")</f>
        <v>-5.1383866155474749</v>
      </c>
      <c r="E465" s="1">
        <f>IFERROR(VLOOKUP($B465,'V13'!$A$8:$J$29,5,1),"")</f>
        <v>1.6972159405122103</v>
      </c>
      <c r="F465" s="1">
        <f>IFERROR(VLOOKUP($B465,'V13'!$A$8:$J$29,6,1),"")</f>
        <v>8.5328184965718954</v>
      </c>
      <c r="G465" s="1">
        <f>IFERROR(VLOOKUP($B465,'V13'!$A$8:$J$29,7,1),"")</f>
        <v>15.368421052631579</v>
      </c>
      <c r="H465" s="1">
        <f>IFERROR(VLOOKUP($B465,'V13'!$A$8:$J$29,8,1),"")</f>
        <v>22.204023608691262</v>
      </c>
      <c r="I465" s="1">
        <f>IFERROR(VLOOKUP($B465,'V13'!$A$8:$J$29,9,1),"")</f>
        <v>29.039626164750949</v>
      </c>
      <c r="J465" s="1">
        <f>IFERROR(VLOOKUP($B465,'V13'!$A$8:$J$29,10,1),"")</f>
        <v>35.875228720810632</v>
      </c>
      <c r="K465">
        <f>IFERROR(VLOOKUP($B465,'V13'!$A$9:$Q$1048576,3,1),"")</f>
        <v>0.25</v>
      </c>
      <c r="L465">
        <f>IFERROR(VLOOKUP($B465,'V13'!$A$8:$Q$29,11,1),"")</f>
        <v>-2.5194179197345665</v>
      </c>
      <c r="M465">
        <f>IFERROR(VLOOKUP($B465,'V13'!$A$8:$Q$29,12,1),"")</f>
        <v>-1.6752259815774304</v>
      </c>
      <c r="N465">
        <f>IFERROR(VLOOKUP($B465,'V13'!$A$8:$Q$29,13,1),"")</f>
        <v>-0.83103404342029408</v>
      </c>
      <c r="O465">
        <f>IFERROR(VLOOKUP($B465,'V13'!$A$8:$Q$29,14,1),"")</f>
        <v>1.3157894736842105E-2</v>
      </c>
      <c r="P465">
        <f>IFERROR(VLOOKUP($B465,'V13'!$A$8:$Q$29,15,1),"")</f>
        <v>0.85734983289397837</v>
      </c>
      <c r="Q465">
        <f>IFERROR(VLOOKUP($B465,'V13'!$A$8:$Q$29,16,1),"")</f>
        <v>1.7015417710511145</v>
      </c>
      <c r="R465">
        <f>IFERROR(VLOOKUP($B465,'V13'!$A$8:$Q$29,17,1),"")</f>
        <v>2.5457337092082506</v>
      </c>
      <c r="Z465" s="17"/>
      <c r="AY465" s="17"/>
    </row>
    <row r="466" spans="1:51" x14ac:dyDescent="0.25">
      <c r="A466" s="17"/>
      <c r="B466" s="2">
        <f t="shared" si="9"/>
        <v>45501</v>
      </c>
      <c r="C466">
        <f>IFERROR(VLOOKUP($B466,'V13'!$A$9:$J$1048576,2,1),"")</f>
        <v>15</v>
      </c>
      <c r="D466" s="1">
        <f>IFERROR(VLOOKUP($B466,'V13'!$A$8:$J$29,4,1),"")</f>
        <v>-5.1383866155474749</v>
      </c>
      <c r="E466" s="1">
        <f>IFERROR(VLOOKUP($B466,'V13'!$A$8:$J$29,5,1),"")</f>
        <v>1.6972159405122103</v>
      </c>
      <c r="F466" s="1">
        <f>IFERROR(VLOOKUP($B466,'V13'!$A$8:$J$29,6,1),"")</f>
        <v>8.5328184965718954</v>
      </c>
      <c r="G466" s="1">
        <f>IFERROR(VLOOKUP($B466,'V13'!$A$8:$J$29,7,1),"")</f>
        <v>15.368421052631579</v>
      </c>
      <c r="H466" s="1">
        <f>IFERROR(VLOOKUP($B466,'V13'!$A$8:$J$29,8,1),"")</f>
        <v>22.204023608691262</v>
      </c>
      <c r="I466" s="1">
        <f>IFERROR(VLOOKUP($B466,'V13'!$A$8:$J$29,9,1),"")</f>
        <v>29.039626164750949</v>
      </c>
      <c r="J466" s="1">
        <f>IFERROR(VLOOKUP($B466,'V13'!$A$8:$J$29,10,1),"")</f>
        <v>35.875228720810632</v>
      </c>
      <c r="K466">
        <f>IFERROR(VLOOKUP($B466,'V13'!$A$9:$Q$1048576,3,1),"")</f>
        <v>-0.25</v>
      </c>
      <c r="L466">
        <f>IFERROR(VLOOKUP($B466,'V13'!$A$8:$Q$29,11,1),"")</f>
        <v>-2.5194179197345665</v>
      </c>
      <c r="M466">
        <f>IFERROR(VLOOKUP($B466,'V13'!$A$8:$Q$29,12,1),"")</f>
        <v>-1.6752259815774304</v>
      </c>
      <c r="N466">
        <f>IFERROR(VLOOKUP($B466,'V13'!$A$8:$Q$29,13,1),"")</f>
        <v>-0.83103404342029408</v>
      </c>
      <c r="O466">
        <f>IFERROR(VLOOKUP($B466,'V13'!$A$8:$Q$29,14,1),"")</f>
        <v>1.3157894736842105E-2</v>
      </c>
      <c r="P466">
        <f>IFERROR(VLOOKUP($B466,'V13'!$A$8:$Q$29,15,1),"")</f>
        <v>0.85734983289397837</v>
      </c>
      <c r="Q466">
        <f>IFERROR(VLOOKUP($B466,'V13'!$A$8:$Q$29,16,1),"")</f>
        <v>1.7015417710511145</v>
      </c>
      <c r="R466">
        <f>IFERROR(VLOOKUP($B466,'V13'!$A$8:$Q$29,17,1),"")</f>
        <v>2.5457337092082506</v>
      </c>
      <c r="Z466" s="17"/>
      <c r="AY466" s="17"/>
    </row>
    <row r="467" spans="1:51" x14ac:dyDescent="0.25">
      <c r="A467" s="17"/>
      <c r="B467" s="2">
        <f t="shared" si="9"/>
        <v>45532</v>
      </c>
      <c r="C467">
        <f>IFERROR(VLOOKUP($B467,'V13'!$A$9:$J$1048576,2,1),"")</f>
        <v>15</v>
      </c>
      <c r="D467" s="1">
        <f>IFERROR(VLOOKUP($B467,'V13'!$A$8:$J$29,4,1),"")</f>
        <v>-5.1383866155474749</v>
      </c>
      <c r="E467" s="1">
        <f>IFERROR(VLOOKUP($B467,'V13'!$A$8:$J$29,5,1),"")</f>
        <v>1.6972159405122103</v>
      </c>
      <c r="F467" s="1">
        <f>IFERROR(VLOOKUP($B467,'V13'!$A$8:$J$29,6,1),"")</f>
        <v>8.5328184965718954</v>
      </c>
      <c r="G467" s="1">
        <f>IFERROR(VLOOKUP($B467,'V13'!$A$8:$J$29,7,1),"")</f>
        <v>15.368421052631579</v>
      </c>
      <c r="H467" s="1">
        <f>IFERROR(VLOOKUP($B467,'V13'!$A$8:$J$29,8,1),"")</f>
        <v>22.204023608691262</v>
      </c>
      <c r="I467" s="1">
        <f>IFERROR(VLOOKUP($B467,'V13'!$A$8:$J$29,9,1),"")</f>
        <v>29.039626164750949</v>
      </c>
      <c r="J467" s="1">
        <f>IFERROR(VLOOKUP($B467,'V13'!$A$8:$J$29,10,1),"")</f>
        <v>35.875228720810632</v>
      </c>
      <c r="K467">
        <f>IFERROR(VLOOKUP($B467,'V13'!$A$9:$Q$1048576,3,1),"")</f>
        <v>0</v>
      </c>
      <c r="L467">
        <f>IFERROR(VLOOKUP($B467,'V13'!$A$8:$Q$29,11,1),"")</f>
        <v>-2.5194179197345665</v>
      </c>
      <c r="M467">
        <f>IFERROR(VLOOKUP($B467,'V13'!$A$8:$Q$29,12,1),"")</f>
        <v>-1.6752259815774304</v>
      </c>
      <c r="N467">
        <f>IFERROR(VLOOKUP($B467,'V13'!$A$8:$Q$29,13,1),"")</f>
        <v>-0.83103404342029408</v>
      </c>
      <c r="O467">
        <f>IFERROR(VLOOKUP($B467,'V13'!$A$8:$Q$29,14,1),"")</f>
        <v>1.3157894736842105E-2</v>
      </c>
      <c r="P467">
        <f>IFERROR(VLOOKUP($B467,'V13'!$A$8:$Q$29,15,1),"")</f>
        <v>0.85734983289397837</v>
      </c>
      <c r="Q467">
        <f>IFERROR(VLOOKUP($B467,'V13'!$A$8:$Q$29,16,1),"")</f>
        <v>1.7015417710511145</v>
      </c>
      <c r="R467">
        <f>IFERROR(VLOOKUP($B467,'V13'!$A$8:$Q$29,17,1),"")</f>
        <v>2.5457337092082506</v>
      </c>
      <c r="Z467" s="17"/>
      <c r="AY467" s="17"/>
    </row>
    <row r="468" spans="1:51" x14ac:dyDescent="0.25">
      <c r="A468" s="17"/>
      <c r="B468" s="2">
        <f t="shared" si="9"/>
        <v>45563</v>
      </c>
      <c r="C468">
        <f>IFERROR(VLOOKUP($B468,'V13'!$A$9:$J$1048576,2,1),"")</f>
        <v>12</v>
      </c>
      <c r="D468" s="1">
        <f>IFERROR(VLOOKUP($B468,'V13'!$A$8:$J$29,4,1),"")</f>
        <v>-5.1383866155474749</v>
      </c>
      <c r="E468" s="1">
        <f>IFERROR(VLOOKUP($B468,'V13'!$A$8:$J$29,5,1),"")</f>
        <v>1.6972159405122103</v>
      </c>
      <c r="F468" s="1">
        <f>IFERROR(VLOOKUP($B468,'V13'!$A$8:$J$29,6,1),"")</f>
        <v>8.5328184965718954</v>
      </c>
      <c r="G468" s="1">
        <f>IFERROR(VLOOKUP($B468,'V13'!$A$8:$J$29,7,1),"")</f>
        <v>15.368421052631579</v>
      </c>
      <c r="H468" s="1">
        <f>IFERROR(VLOOKUP($B468,'V13'!$A$8:$J$29,8,1),"")</f>
        <v>22.204023608691262</v>
      </c>
      <c r="I468" s="1">
        <f>IFERROR(VLOOKUP($B468,'V13'!$A$8:$J$29,9,1),"")</f>
        <v>29.039626164750949</v>
      </c>
      <c r="J468" s="1">
        <f>IFERROR(VLOOKUP($B468,'V13'!$A$8:$J$29,10,1),"")</f>
        <v>35.875228720810632</v>
      </c>
      <c r="K468">
        <f>IFERROR(VLOOKUP($B468,'V13'!$A$9:$Q$1048576,3,1),"")</f>
        <v>-0.75</v>
      </c>
      <c r="L468">
        <f>IFERROR(VLOOKUP($B468,'V13'!$A$8:$Q$29,11,1),"")</f>
        <v>-2.5194179197345665</v>
      </c>
      <c r="M468">
        <f>IFERROR(VLOOKUP($B468,'V13'!$A$8:$Q$29,12,1),"")</f>
        <v>-1.6752259815774304</v>
      </c>
      <c r="N468">
        <f>IFERROR(VLOOKUP($B468,'V13'!$A$8:$Q$29,13,1),"")</f>
        <v>-0.83103404342029408</v>
      </c>
      <c r="O468">
        <f>IFERROR(VLOOKUP($B468,'V13'!$A$8:$Q$29,14,1),"")</f>
        <v>1.3157894736842105E-2</v>
      </c>
      <c r="P468">
        <f>IFERROR(VLOOKUP($B468,'V13'!$A$8:$Q$29,15,1),"")</f>
        <v>0.85734983289397837</v>
      </c>
      <c r="Q468">
        <f>IFERROR(VLOOKUP($B468,'V13'!$A$8:$Q$29,16,1),"")</f>
        <v>1.7015417710511145</v>
      </c>
      <c r="R468">
        <f>IFERROR(VLOOKUP($B468,'V13'!$A$8:$Q$29,17,1),"")</f>
        <v>2.5457337092082506</v>
      </c>
      <c r="Z468" s="17"/>
      <c r="AY468" s="17"/>
    </row>
    <row r="469" spans="1:51" x14ac:dyDescent="0.25">
      <c r="A469" s="17"/>
      <c r="B469" s="2">
        <f t="shared" si="9"/>
        <v>45593</v>
      </c>
      <c r="C469">
        <f>IFERROR(VLOOKUP($B469,'V13'!$A$9:$J$1048576,2,1),"")</f>
        <v>10</v>
      </c>
      <c r="D469" s="1">
        <f>IFERROR(VLOOKUP($B469,'V13'!$A$8:$J$29,4,1),"")</f>
        <v>-5.1383866155474749</v>
      </c>
      <c r="E469" s="1">
        <f>IFERROR(VLOOKUP($B469,'V13'!$A$8:$J$29,5,1),"")</f>
        <v>1.6972159405122103</v>
      </c>
      <c r="F469" s="1">
        <f>IFERROR(VLOOKUP($B469,'V13'!$A$8:$J$29,6,1),"")</f>
        <v>8.5328184965718954</v>
      </c>
      <c r="G469" s="1">
        <f>IFERROR(VLOOKUP($B469,'V13'!$A$8:$J$29,7,1),"")</f>
        <v>15.368421052631579</v>
      </c>
      <c r="H469" s="1">
        <f>IFERROR(VLOOKUP($B469,'V13'!$A$8:$J$29,8,1),"")</f>
        <v>22.204023608691262</v>
      </c>
      <c r="I469" s="1">
        <f>IFERROR(VLOOKUP($B469,'V13'!$A$8:$J$29,9,1),"")</f>
        <v>29.039626164750949</v>
      </c>
      <c r="J469" s="1">
        <f>IFERROR(VLOOKUP($B469,'V13'!$A$8:$J$29,10,1),"")</f>
        <v>35.875228720810632</v>
      </c>
      <c r="K469">
        <f>IFERROR(VLOOKUP($B469,'V13'!$A$9:$Q$1048576,3,1),"")</f>
        <v>-0.5</v>
      </c>
      <c r="L469">
        <f>IFERROR(VLOOKUP($B469,'V13'!$A$8:$Q$29,11,1),"")</f>
        <v>-2.5194179197345665</v>
      </c>
      <c r="M469">
        <f>IFERROR(VLOOKUP($B469,'V13'!$A$8:$Q$29,12,1),"")</f>
        <v>-1.6752259815774304</v>
      </c>
      <c r="N469">
        <f>IFERROR(VLOOKUP($B469,'V13'!$A$8:$Q$29,13,1),"")</f>
        <v>-0.83103404342029408</v>
      </c>
      <c r="O469">
        <f>IFERROR(VLOOKUP($B469,'V13'!$A$8:$Q$29,14,1),"")</f>
        <v>1.3157894736842105E-2</v>
      </c>
      <c r="P469">
        <f>IFERROR(VLOOKUP($B469,'V13'!$A$8:$Q$29,15,1),"")</f>
        <v>0.85734983289397837</v>
      </c>
      <c r="Q469">
        <f>IFERROR(VLOOKUP($B469,'V13'!$A$8:$Q$29,16,1),"")</f>
        <v>1.7015417710511145</v>
      </c>
      <c r="R469">
        <f>IFERROR(VLOOKUP($B469,'V13'!$A$8:$Q$29,17,1),"")</f>
        <v>2.5457337092082506</v>
      </c>
      <c r="Z469" s="17"/>
      <c r="AY469" s="17"/>
    </row>
    <row r="470" spans="1:51" x14ac:dyDescent="0.25">
      <c r="A470" s="17"/>
      <c r="B470" s="2">
        <f t="shared" si="9"/>
        <v>45624</v>
      </c>
      <c r="C470">
        <f>IFERROR(VLOOKUP($B470,'V13'!$A$9:$J$1048576,2,1),"")</f>
        <v>8</v>
      </c>
      <c r="D470" s="1">
        <f>IFERROR(VLOOKUP($B470,'V13'!$A$8:$J$29,4,1),"")</f>
        <v>-5.1383866155474749</v>
      </c>
      <c r="E470" s="1">
        <f>IFERROR(VLOOKUP($B470,'V13'!$A$8:$J$29,5,1),"")</f>
        <v>1.6972159405122103</v>
      </c>
      <c r="F470" s="1">
        <f>IFERROR(VLOOKUP($B470,'V13'!$A$8:$J$29,6,1),"")</f>
        <v>8.5328184965718954</v>
      </c>
      <c r="G470" s="1">
        <f>IFERROR(VLOOKUP($B470,'V13'!$A$8:$J$29,7,1),"")</f>
        <v>15.368421052631579</v>
      </c>
      <c r="H470" s="1">
        <f>IFERROR(VLOOKUP($B470,'V13'!$A$8:$J$29,8,1),"")</f>
        <v>22.204023608691262</v>
      </c>
      <c r="I470" s="1">
        <f>IFERROR(VLOOKUP($B470,'V13'!$A$8:$J$29,9,1),"")</f>
        <v>29.039626164750949</v>
      </c>
      <c r="J470" s="1">
        <f>IFERROR(VLOOKUP($B470,'V13'!$A$8:$J$29,10,1),"")</f>
        <v>35.875228720810632</v>
      </c>
      <c r="K470">
        <f>IFERROR(VLOOKUP($B470,'V13'!$A$9:$Q$1048576,3,1),"")</f>
        <v>-0.5</v>
      </c>
      <c r="L470">
        <f>IFERROR(VLOOKUP($B470,'V13'!$A$8:$Q$29,11,1),"")</f>
        <v>-2.5194179197345665</v>
      </c>
      <c r="M470">
        <f>IFERROR(VLOOKUP($B470,'V13'!$A$8:$Q$29,12,1),"")</f>
        <v>-1.6752259815774304</v>
      </c>
      <c r="N470">
        <f>IFERROR(VLOOKUP($B470,'V13'!$A$8:$Q$29,13,1),"")</f>
        <v>-0.83103404342029408</v>
      </c>
      <c r="O470">
        <f>IFERROR(VLOOKUP($B470,'V13'!$A$8:$Q$29,14,1),"")</f>
        <v>1.3157894736842105E-2</v>
      </c>
      <c r="P470">
        <f>IFERROR(VLOOKUP($B470,'V13'!$A$8:$Q$29,15,1),"")</f>
        <v>0.85734983289397837</v>
      </c>
      <c r="Q470">
        <f>IFERROR(VLOOKUP($B470,'V13'!$A$8:$Q$29,16,1),"")</f>
        <v>1.7015417710511145</v>
      </c>
      <c r="R470">
        <f>IFERROR(VLOOKUP($B470,'V13'!$A$8:$Q$29,17,1),"")</f>
        <v>2.5457337092082506</v>
      </c>
      <c r="Z470" s="17"/>
      <c r="AY470" s="17"/>
    </row>
    <row r="471" spans="1:51" x14ac:dyDescent="0.25">
      <c r="A471" s="17"/>
      <c r="B471" s="2">
        <f t="shared" si="9"/>
        <v>45654</v>
      </c>
      <c r="C471">
        <f>IFERROR(VLOOKUP($B471,'V13'!$A$9:$J$1048576,2,1),"")</f>
        <v>5</v>
      </c>
      <c r="D471" s="1">
        <f>IFERROR(VLOOKUP($B471,'V13'!$A$8:$J$29,4,1),"")</f>
        <v>-5.1383866155474749</v>
      </c>
      <c r="E471" s="1">
        <f>IFERROR(VLOOKUP($B471,'V13'!$A$8:$J$29,5,1),"")</f>
        <v>1.6972159405122103</v>
      </c>
      <c r="F471" s="1">
        <f>IFERROR(VLOOKUP($B471,'V13'!$A$8:$J$29,6,1),"")</f>
        <v>8.5328184965718954</v>
      </c>
      <c r="G471" s="1">
        <f>IFERROR(VLOOKUP($B471,'V13'!$A$8:$J$29,7,1),"")</f>
        <v>15.368421052631579</v>
      </c>
      <c r="H471" s="1">
        <f>IFERROR(VLOOKUP($B471,'V13'!$A$8:$J$29,8,1),"")</f>
        <v>22.204023608691262</v>
      </c>
      <c r="I471" s="1">
        <f>IFERROR(VLOOKUP($B471,'V13'!$A$8:$J$29,9,1),"")</f>
        <v>29.039626164750949</v>
      </c>
      <c r="J471" s="1">
        <f>IFERROR(VLOOKUP($B471,'V13'!$A$8:$J$29,10,1),"")</f>
        <v>35.875228720810632</v>
      </c>
      <c r="K471">
        <f>IFERROR(VLOOKUP($B471,'V13'!$A$9:$Q$1048576,3,1),"")</f>
        <v>-0.75</v>
      </c>
      <c r="L471">
        <f>IFERROR(VLOOKUP($B471,'V13'!$A$8:$Q$29,11,1),"")</f>
        <v>-2.5194179197345665</v>
      </c>
      <c r="M471">
        <f>IFERROR(VLOOKUP($B471,'V13'!$A$8:$Q$29,12,1),"")</f>
        <v>-1.6752259815774304</v>
      </c>
      <c r="N471">
        <f>IFERROR(VLOOKUP($B471,'V13'!$A$8:$Q$29,13,1),"")</f>
        <v>-0.83103404342029408</v>
      </c>
      <c r="O471">
        <f>IFERROR(VLOOKUP($B471,'V13'!$A$8:$Q$29,14,1),"")</f>
        <v>1.3157894736842105E-2</v>
      </c>
      <c r="P471">
        <f>IFERROR(VLOOKUP($B471,'V13'!$A$8:$Q$29,15,1),"")</f>
        <v>0.85734983289397837</v>
      </c>
      <c r="Q471">
        <f>IFERROR(VLOOKUP($B471,'V13'!$A$8:$Q$29,16,1),"")</f>
        <v>1.7015417710511145</v>
      </c>
      <c r="R471">
        <f>IFERROR(VLOOKUP($B471,'V13'!$A$8:$Q$29,17,1),"")</f>
        <v>2.5457337092082506</v>
      </c>
      <c r="Z471" s="17"/>
      <c r="AY471" s="17"/>
    </row>
    <row r="472" spans="1:51" x14ac:dyDescent="0.25">
      <c r="A472" s="17"/>
      <c r="B472" s="2">
        <f t="shared" si="9"/>
        <v>45685</v>
      </c>
      <c r="C472">
        <f>IFERROR(VLOOKUP($B472,'V13'!$A$9:$J$1048576,2,1),"")</f>
        <v>11</v>
      </c>
      <c r="D472" s="1">
        <f>IFERROR(VLOOKUP($B472,'V13'!$A$8:$J$29,4,1),"")</f>
        <v>-5.1383866155474749</v>
      </c>
      <c r="E472" s="1">
        <f>IFERROR(VLOOKUP($B472,'V13'!$A$8:$J$29,5,1),"")</f>
        <v>1.6972159405122103</v>
      </c>
      <c r="F472" s="1">
        <f>IFERROR(VLOOKUP($B472,'V13'!$A$8:$J$29,6,1),"")</f>
        <v>8.5328184965718954</v>
      </c>
      <c r="G472" s="1">
        <f>IFERROR(VLOOKUP($B472,'V13'!$A$8:$J$29,7,1),"")</f>
        <v>15.368421052631579</v>
      </c>
      <c r="H472" s="1">
        <f>IFERROR(VLOOKUP($B472,'V13'!$A$8:$J$29,8,1),"")</f>
        <v>22.204023608691262</v>
      </c>
      <c r="I472" s="1">
        <f>IFERROR(VLOOKUP($B472,'V13'!$A$8:$J$29,9,1),"")</f>
        <v>29.039626164750949</v>
      </c>
      <c r="J472" s="1">
        <f>IFERROR(VLOOKUP($B472,'V13'!$A$8:$J$29,10,1),"")</f>
        <v>35.875228720810632</v>
      </c>
      <c r="K472">
        <f>IFERROR(VLOOKUP($B472,'V13'!$A$9:$Q$1048576,3,1),"")</f>
        <v>1.5</v>
      </c>
      <c r="L472">
        <f>IFERROR(VLOOKUP($B472,'V13'!$A$8:$Q$29,11,1),"")</f>
        <v>-2.5194179197345665</v>
      </c>
      <c r="M472">
        <f>IFERROR(VLOOKUP($B472,'V13'!$A$8:$Q$29,12,1),"")</f>
        <v>-1.6752259815774304</v>
      </c>
      <c r="N472">
        <f>IFERROR(VLOOKUP($B472,'V13'!$A$8:$Q$29,13,1),"")</f>
        <v>-0.83103404342029408</v>
      </c>
      <c r="O472">
        <f>IFERROR(VLOOKUP($B472,'V13'!$A$8:$Q$29,14,1),"")</f>
        <v>1.3157894736842105E-2</v>
      </c>
      <c r="P472">
        <f>IFERROR(VLOOKUP($B472,'V13'!$A$8:$Q$29,15,1),"")</f>
        <v>0.85734983289397837</v>
      </c>
      <c r="Q472">
        <f>IFERROR(VLOOKUP($B472,'V13'!$A$8:$Q$29,16,1),"")</f>
        <v>1.7015417710511145</v>
      </c>
      <c r="R472">
        <f>IFERROR(VLOOKUP($B472,'V13'!$A$8:$Q$29,17,1),"")</f>
        <v>2.5457337092082506</v>
      </c>
      <c r="Z472" s="17"/>
      <c r="AY472" s="17"/>
    </row>
    <row r="473" spans="1:51" x14ac:dyDescent="0.25">
      <c r="A473" s="17"/>
      <c r="B473" s="2">
        <f t="shared" si="9"/>
        <v>45716</v>
      </c>
      <c r="C473">
        <f>IFERROR(VLOOKUP($B473,'V13'!$A$9:$J$1048576,2,1),"")</f>
        <v>14</v>
      </c>
      <c r="D473" s="1">
        <f>IFERROR(VLOOKUP($B473,'V13'!$A$8:$J$29,4,1),"")</f>
        <v>-5.1383866155474749</v>
      </c>
      <c r="E473" s="1">
        <f>IFERROR(VLOOKUP($B473,'V13'!$A$8:$J$29,5,1),"")</f>
        <v>1.6972159405122103</v>
      </c>
      <c r="F473" s="1">
        <f>IFERROR(VLOOKUP($B473,'V13'!$A$8:$J$29,6,1),"")</f>
        <v>8.5328184965718954</v>
      </c>
      <c r="G473" s="1">
        <f>IFERROR(VLOOKUP($B473,'V13'!$A$8:$J$29,7,1),"")</f>
        <v>15.368421052631579</v>
      </c>
      <c r="H473" s="1">
        <f>IFERROR(VLOOKUP($B473,'V13'!$A$8:$J$29,8,1),"")</f>
        <v>22.204023608691262</v>
      </c>
      <c r="I473" s="1">
        <f>IFERROR(VLOOKUP($B473,'V13'!$A$8:$J$29,9,1),"")</f>
        <v>29.039626164750949</v>
      </c>
      <c r="J473" s="1">
        <f>IFERROR(VLOOKUP($B473,'V13'!$A$8:$J$29,10,1),"")</f>
        <v>35.875228720810632</v>
      </c>
      <c r="K473">
        <f>IFERROR(VLOOKUP($B473,'V13'!$A$9:$Q$1048576,3,1),"")</f>
        <v>0.75</v>
      </c>
      <c r="L473">
        <f>IFERROR(VLOOKUP($B473,'V13'!$A$8:$Q$29,11,1),"")</f>
        <v>-2.5194179197345665</v>
      </c>
      <c r="M473">
        <f>IFERROR(VLOOKUP($B473,'V13'!$A$8:$Q$29,12,1),"")</f>
        <v>-1.6752259815774304</v>
      </c>
      <c r="N473">
        <f>IFERROR(VLOOKUP($B473,'V13'!$A$8:$Q$29,13,1),"")</f>
        <v>-0.83103404342029408</v>
      </c>
      <c r="O473">
        <f>IFERROR(VLOOKUP($B473,'V13'!$A$8:$Q$29,14,1),"")</f>
        <v>1.3157894736842105E-2</v>
      </c>
      <c r="P473">
        <f>IFERROR(VLOOKUP($B473,'V13'!$A$8:$Q$29,15,1),"")</f>
        <v>0.85734983289397837</v>
      </c>
      <c r="Q473">
        <f>IFERROR(VLOOKUP($B473,'V13'!$A$8:$Q$29,16,1),"")</f>
        <v>1.7015417710511145</v>
      </c>
      <c r="R473">
        <f>IFERROR(VLOOKUP($B473,'V13'!$A$8:$Q$29,17,1),"")</f>
        <v>2.5457337092082506</v>
      </c>
      <c r="Z473" s="17"/>
      <c r="AY473" s="17"/>
    </row>
    <row r="474" spans="1:51" x14ac:dyDescent="0.25">
      <c r="A474" s="17"/>
      <c r="B474" s="2">
        <f t="shared" si="9"/>
        <v>45746</v>
      </c>
      <c r="C474">
        <f>IFERROR(VLOOKUP($B474,'V13'!$A$9:$J$1048576,2,1),"")</f>
        <v>15</v>
      </c>
      <c r="D474" s="1">
        <f>IFERROR(VLOOKUP($B474,'V13'!$A$8:$J$29,4,1),"")</f>
        <v>-5.1383866155474749</v>
      </c>
      <c r="E474" s="1">
        <f>IFERROR(VLOOKUP($B474,'V13'!$A$8:$J$29,5,1),"")</f>
        <v>1.6972159405122103</v>
      </c>
      <c r="F474" s="1">
        <f>IFERROR(VLOOKUP($B474,'V13'!$A$8:$J$29,6,1),"")</f>
        <v>8.5328184965718954</v>
      </c>
      <c r="G474" s="1">
        <f>IFERROR(VLOOKUP($B474,'V13'!$A$8:$J$29,7,1),"")</f>
        <v>15.368421052631579</v>
      </c>
      <c r="H474" s="1">
        <f>IFERROR(VLOOKUP($B474,'V13'!$A$8:$J$29,8,1),"")</f>
        <v>22.204023608691262</v>
      </c>
      <c r="I474" s="1">
        <f>IFERROR(VLOOKUP($B474,'V13'!$A$8:$J$29,9,1),"")</f>
        <v>29.039626164750949</v>
      </c>
      <c r="J474" s="1">
        <f>IFERROR(VLOOKUP($B474,'V13'!$A$8:$J$29,10,1),"")</f>
        <v>35.875228720810632</v>
      </c>
      <c r="K474">
        <f>IFERROR(VLOOKUP($B474,'V13'!$A$9:$Q$1048576,3,1),"")</f>
        <v>0.25</v>
      </c>
      <c r="L474">
        <f>IFERROR(VLOOKUP($B474,'V13'!$A$8:$Q$29,11,1),"")</f>
        <v>-2.5194179197345665</v>
      </c>
      <c r="M474">
        <f>IFERROR(VLOOKUP($B474,'V13'!$A$8:$Q$29,12,1),"")</f>
        <v>-1.6752259815774304</v>
      </c>
      <c r="N474">
        <f>IFERROR(VLOOKUP($B474,'V13'!$A$8:$Q$29,13,1),"")</f>
        <v>-0.83103404342029408</v>
      </c>
      <c r="O474">
        <f>IFERROR(VLOOKUP($B474,'V13'!$A$8:$Q$29,14,1),"")</f>
        <v>1.3157894736842105E-2</v>
      </c>
      <c r="P474">
        <f>IFERROR(VLOOKUP($B474,'V13'!$A$8:$Q$29,15,1),"")</f>
        <v>0.85734983289397837</v>
      </c>
      <c r="Q474">
        <f>IFERROR(VLOOKUP($B474,'V13'!$A$8:$Q$29,16,1),"")</f>
        <v>1.7015417710511145</v>
      </c>
      <c r="R474">
        <f>IFERROR(VLOOKUP($B474,'V13'!$A$8:$Q$29,17,1),"")</f>
        <v>2.5457337092082506</v>
      </c>
      <c r="Z474" s="17"/>
      <c r="AY474" s="17"/>
    </row>
    <row r="475" spans="1:51" x14ac:dyDescent="0.25">
      <c r="A475" s="17"/>
      <c r="B475" s="2">
        <f t="shared" si="9"/>
        <v>45777</v>
      </c>
      <c r="C475">
        <f>IFERROR(VLOOKUP($B475,'V13'!$A$9:$J$1048576,2,1),"")</f>
        <v>18</v>
      </c>
      <c r="D475" s="1">
        <f>IFERROR(VLOOKUP($B475,'V13'!$A$8:$J$29,4,1),"")</f>
        <v>-5.1383866155474749</v>
      </c>
      <c r="E475" s="1">
        <f>IFERROR(VLOOKUP($B475,'V13'!$A$8:$J$29,5,1),"")</f>
        <v>1.6972159405122103</v>
      </c>
      <c r="F475" s="1">
        <f>IFERROR(VLOOKUP($B475,'V13'!$A$8:$J$29,6,1),"")</f>
        <v>8.5328184965718954</v>
      </c>
      <c r="G475" s="1">
        <f>IFERROR(VLOOKUP($B475,'V13'!$A$8:$J$29,7,1),"")</f>
        <v>15.368421052631579</v>
      </c>
      <c r="H475" s="1">
        <f>IFERROR(VLOOKUP($B475,'V13'!$A$8:$J$29,8,1),"")</f>
        <v>22.204023608691262</v>
      </c>
      <c r="I475" s="1">
        <f>IFERROR(VLOOKUP($B475,'V13'!$A$8:$J$29,9,1),"")</f>
        <v>29.039626164750949</v>
      </c>
      <c r="J475" s="1">
        <f>IFERROR(VLOOKUP($B475,'V13'!$A$8:$J$29,10,1),"")</f>
        <v>35.875228720810632</v>
      </c>
      <c r="K475">
        <f>IFERROR(VLOOKUP($B475,'V13'!$A$9:$Q$1048576,3,1),"")</f>
        <v>0.75</v>
      </c>
      <c r="L475">
        <f>IFERROR(VLOOKUP($B475,'V13'!$A$8:$Q$29,11,1),"")</f>
        <v>-2.5194179197345665</v>
      </c>
      <c r="M475">
        <f>IFERROR(VLOOKUP($B475,'V13'!$A$8:$Q$29,12,1),"")</f>
        <v>-1.6752259815774304</v>
      </c>
      <c r="N475">
        <f>IFERROR(VLOOKUP($B475,'V13'!$A$8:$Q$29,13,1),"")</f>
        <v>-0.83103404342029408</v>
      </c>
      <c r="O475">
        <f>IFERROR(VLOOKUP($B475,'V13'!$A$8:$Q$29,14,1),"")</f>
        <v>1.3157894736842105E-2</v>
      </c>
      <c r="P475">
        <f>IFERROR(VLOOKUP($B475,'V13'!$A$8:$Q$29,15,1),"")</f>
        <v>0.85734983289397837</v>
      </c>
      <c r="Q475">
        <f>IFERROR(VLOOKUP($B475,'V13'!$A$8:$Q$29,16,1),"")</f>
        <v>1.7015417710511145</v>
      </c>
      <c r="R475">
        <f>IFERROR(VLOOKUP($B475,'V13'!$A$8:$Q$29,17,1),"")</f>
        <v>2.5457337092082506</v>
      </c>
      <c r="Z475" s="17"/>
      <c r="AY475" s="17"/>
    </row>
    <row r="476" spans="1:51" x14ac:dyDescent="0.25">
      <c r="A476" s="17"/>
      <c r="B476" s="2">
        <f t="shared" si="9"/>
        <v>45807</v>
      </c>
      <c r="C476">
        <f>IFERROR(VLOOKUP($B476,'V13'!$A$9:$J$1048576,2,1),"")</f>
        <v>12</v>
      </c>
      <c r="D476" s="1">
        <f>IFERROR(VLOOKUP($B476,'V13'!$A$8:$J$29,4,1),"")</f>
        <v>-5.1383866155474749</v>
      </c>
      <c r="E476" s="1">
        <f>IFERROR(VLOOKUP($B476,'V13'!$A$8:$J$29,5,1),"")</f>
        <v>1.6972159405122103</v>
      </c>
      <c r="F476" s="1">
        <f>IFERROR(VLOOKUP($B476,'V13'!$A$8:$J$29,6,1),"")</f>
        <v>8.5328184965718954</v>
      </c>
      <c r="G476" s="1">
        <f>IFERROR(VLOOKUP($B476,'V13'!$A$8:$J$29,7,1),"")</f>
        <v>15.368421052631579</v>
      </c>
      <c r="H476" s="1">
        <f>IFERROR(VLOOKUP($B476,'V13'!$A$8:$J$29,8,1),"")</f>
        <v>22.204023608691262</v>
      </c>
      <c r="I476" s="1">
        <f>IFERROR(VLOOKUP($B476,'V13'!$A$8:$J$29,9,1),"")</f>
        <v>29.039626164750949</v>
      </c>
      <c r="J476" s="1">
        <f>IFERROR(VLOOKUP($B476,'V13'!$A$8:$J$29,10,1),"")</f>
        <v>35.875228720810632</v>
      </c>
      <c r="K476">
        <f>IFERROR(VLOOKUP($B476,'V13'!$A$9:$Q$1048576,3,1),"")</f>
        <v>-1.5</v>
      </c>
      <c r="L476">
        <f>IFERROR(VLOOKUP($B476,'V13'!$A$8:$Q$29,11,1),"")</f>
        <v>-2.5194179197345665</v>
      </c>
      <c r="M476">
        <f>IFERROR(VLOOKUP($B476,'V13'!$A$8:$Q$29,12,1),"")</f>
        <v>-1.6752259815774304</v>
      </c>
      <c r="N476">
        <f>IFERROR(VLOOKUP($B476,'V13'!$A$8:$Q$29,13,1),"")</f>
        <v>-0.83103404342029408</v>
      </c>
      <c r="O476">
        <f>IFERROR(VLOOKUP($B476,'V13'!$A$8:$Q$29,14,1),"")</f>
        <v>1.3157894736842105E-2</v>
      </c>
      <c r="P476">
        <f>IFERROR(VLOOKUP($B476,'V13'!$A$8:$Q$29,15,1),"")</f>
        <v>0.85734983289397837</v>
      </c>
      <c r="Q476">
        <f>IFERROR(VLOOKUP($B476,'V13'!$A$8:$Q$29,16,1),"")</f>
        <v>1.7015417710511145</v>
      </c>
      <c r="R476">
        <f>IFERROR(VLOOKUP($B476,'V13'!$A$8:$Q$29,17,1),"")</f>
        <v>2.5457337092082506</v>
      </c>
      <c r="Z476" s="17"/>
      <c r="AY476" s="17"/>
    </row>
    <row r="477" spans="1:51" x14ac:dyDescent="0.25">
      <c r="A477" s="17"/>
      <c r="B477" s="2">
        <f t="shared" si="9"/>
        <v>45838</v>
      </c>
      <c r="C477">
        <f>IFERROR(VLOOKUP($B477,'V13'!$A$9:$J$1048576,2,1),"")</f>
        <v>9</v>
      </c>
      <c r="D477" s="1">
        <f>IFERROR(VLOOKUP($B477,'V13'!$A$8:$J$29,4,1),"")</f>
        <v>-5.1383866155474749</v>
      </c>
      <c r="E477" s="1">
        <f>IFERROR(VLOOKUP($B477,'V13'!$A$8:$J$29,5,1),"")</f>
        <v>1.6972159405122103</v>
      </c>
      <c r="F477" s="1">
        <f>IFERROR(VLOOKUP($B477,'V13'!$A$8:$J$29,6,1),"")</f>
        <v>8.5328184965718954</v>
      </c>
      <c r="G477" s="1">
        <f>IFERROR(VLOOKUP($B477,'V13'!$A$8:$J$29,7,1),"")</f>
        <v>15.368421052631579</v>
      </c>
      <c r="H477" s="1">
        <f>IFERROR(VLOOKUP($B477,'V13'!$A$8:$J$29,8,1),"")</f>
        <v>22.204023608691262</v>
      </c>
      <c r="I477" s="1">
        <f>IFERROR(VLOOKUP($B477,'V13'!$A$8:$J$29,9,1),"")</f>
        <v>29.039626164750949</v>
      </c>
      <c r="J477" s="1">
        <f>IFERROR(VLOOKUP($B477,'V13'!$A$8:$J$29,10,1),"")</f>
        <v>35.875228720810632</v>
      </c>
      <c r="K477">
        <f>IFERROR(VLOOKUP($B477,'V13'!$A$9:$Q$1048576,3,1),"")</f>
        <v>-0.75</v>
      </c>
      <c r="L477">
        <f>IFERROR(VLOOKUP($B477,'V13'!$A$8:$Q$29,11,1),"")</f>
        <v>-2.5194179197345665</v>
      </c>
      <c r="M477">
        <f>IFERROR(VLOOKUP($B477,'V13'!$A$8:$Q$29,12,1),"")</f>
        <v>-1.6752259815774304</v>
      </c>
      <c r="N477">
        <f>IFERROR(VLOOKUP($B477,'V13'!$A$8:$Q$29,13,1),"")</f>
        <v>-0.83103404342029408</v>
      </c>
      <c r="O477">
        <f>IFERROR(VLOOKUP($B477,'V13'!$A$8:$Q$29,14,1),"")</f>
        <v>1.3157894736842105E-2</v>
      </c>
      <c r="P477">
        <f>IFERROR(VLOOKUP($B477,'V13'!$A$8:$Q$29,15,1),"")</f>
        <v>0.85734983289397837</v>
      </c>
      <c r="Q477">
        <f>IFERROR(VLOOKUP($B477,'V13'!$A$8:$Q$29,16,1),"")</f>
        <v>1.7015417710511145</v>
      </c>
      <c r="R477">
        <f>IFERROR(VLOOKUP($B477,'V13'!$A$8:$Q$29,17,1),"")</f>
        <v>2.5457337092082506</v>
      </c>
      <c r="Z477" s="17"/>
      <c r="AY477" s="17"/>
    </row>
    <row r="478" spans="1:51" x14ac:dyDescent="0.25">
      <c r="A478" s="17"/>
      <c r="B478" s="2">
        <f t="shared" si="9"/>
        <v>45868</v>
      </c>
      <c r="C478">
        <f>IFERROR(VLOOKUP($B478,'V13'!$A$9:$J$1048576,2,1),"")</f>
        <v>9</v>
      </c>
      <c r="D478" s="1">
        <f>IFERROR(VLOOKUP($B478,'V13'!$A$8:$J$29,4,1),"")</f>
        <v>-5.1383866155474749</v>
      </c>
      <c r="E478" s="1">
        <f>IFERROR(VLOOKUP($B478,'V13'!$A$8:$J$29,5,1),"")</f>
        <v>1.6972159405122103</v>
      </c>
      <c r="F478" s="1">
        <f>IFERROR(VLOOKUP($B478,'V13'!$A$8:$J$29,6,1),"")</f>
        <v>8.5328184965718954</v>
      </c>
      <c r="G478" s="1">
        <f>IFERROR(VLOOKUP($B478,'V13'!$A$8:$J$29,7,1),"")</f>
        <v>15.368421052631579</v>
      </c>
      <c r="H478" s="1">
        <f>IFERROR(VLOOKUP($B478,'V13'!$A$8:$J$29,8,1),"")</f>
        <v>22.204023608691262</v>
      </c>
      <c r="I478" s="1">
        <f>IFERROR(VLOOKUP($B478,'V13'!$A$8:$J$29,9,1),"")</f>
        <v>29.039626164750949</v>
      </c>
      <c r="J478" s="1">
        <f>IFERROR(VLOOKUP($B478,'V13'!$A$8:$J$29,10,1),"")</f>
        <v>35.875228720810632</v>
      </c>
      <c r="K478">
        <f>IFERROR(VLOOKUP($B478,'V13'!$A$9:$Q$1048576,3,1),"")</f>
        <v>0</v>
      </c>
      <c r="L478">
        <f>IFERROR(VLOOKUP($B478,'V13'!$A$8:$Q$29,11,1),"")</f>
        <v>-2.5194179197345665</v>
      </c>
      <c r="M478">
        <f>IFERROR(VLOOKUP($B478,'V13'!$A$8:$Q$29,12,1),"")</f>
        <v>-1.6752259815774304</v>
      </c>
      <c r="N478">
        <f>IFERROR(VLOOKUP($B478,'V13'!$A$8:$Q$29,13,1),"")</f>
        <v>-0.83103404342029408</v>
      </c>
      <c r="O478">
        <f>IFERROR(VLOOKUP($B478,'V13'!$A$8:$Q$29,14,1),"")</f>
        <v>1.3157894736842105E-2</v>
      </c>
      <c r="P478">
        <f>IFERROR(VLOOKUP($B478,'V13'!$A$8:$Q$29,15,1),"")</f>
        <v>0.85734983289397837</v>
      </c>
      <c r="Q478">
        <f>IFERROR(VLOOKUP($B478,'V13'!$A$8:$Q$29,16,1),"")</f>
        <v>1.7015417710511145</v>
      </c>
      <c r="R478">
        <f>IFERROR(VLOOKUP($B478,'V13'!$A$8:$Q$29,17,1),"")</f>
        <v>2.5457337092082506</v>
      </c>
      <c r="Z478" s="17"/>
      <c r="AY478" s="17"/>
    </row>
    <row r="479" spans="1:51" x14ac:dyDescent="0.25">
      <c r="A479" s="17"/>
      <c r="B479" s="2">
        <f t="shared" si="9"/>
        <v>45899</v>
      </c>
      <c r="C479">
        <f>IFERROR(VLOOKUP($B479,'V13'!$A$9:$J$1048576,2,1),"")</f>
        <v>6</v>
      </c>
      <c r="D479" s="1">
        <f>IFERROR(VLOOKUP($B479,'V13'!$A$8:$J$29,4,1),"")</f>
        <v>-5.1383866155474749</v>
      </c>
      <c r="E479" s="1">
        <f>IFERROR(VLOOKUP($B479,'V13'!$A$8:$J$29,5,1),"")</f>
        <v>1.6972159405122103</v>
      </c>
      <c r="F479" s="1">
        <f>IFERROR(VLOOKUP($B479,'V13'!$A$8:$J$29,6,1),"")</f>
        <v>8.5328184965718954</v>
      </c>
      <c r="G479" s="1">
        <f>IFERROR(VLOOKUP($B479,'V13'!$A$8:$J$29,7,1),"")</f>
        <v>15.368421052631579</v>
      </c>
      <c r="H479" s="1">
        <f>IFERROR(VLOOKUP($B479,'V13'!$A$8:$J$29,8,1),"")</f>
        <v>22.204023608691262</v>
      </c>
      <c r="I479" s="1">
        <f>IFERROR(VLOOKUP($B479,'V13'!$A$8:$J$29,9,1),"")</f>
        <v>29.039626164750949</v>
      </c>
      <c r="J479" s="1">
        <f>IFERROR(VLOOKUP($B479,'V13'!$A$8:$J$29,10,1),"")</f>
        <v>35.875228720810632</v>
      </c>
      <c r="K479">
        <f>IFERROR(VLOOKUP($B479,'V13'!$A$9:$Q$1048576,3,1),"")</f>
        <v>-0.75</v>
      </c>
      <c r="L479">
        <f>IFERROR(VLOOKUP($B479,'V13'!$A$8:$Q$29,11,1),"")</f>
        <v>-2.5194179197345665</v>
      </c>
      <c r="M479">
        <f>IFERROR(VLOOKUP($B479,'V13'!$A$8:$Q$29,12,1),"")</f>
        <v>-1.6752259815774304</v>
      </c>
      <c r="N479">
        <f>IFERROR(VLOOKUP($B479,'V13'!$A$8:$Q$29,13,1),"")</f>
        <v>-0.83103404342029408</v>
      </c>
      <c r="O479">
        <f>IFERROR(VLOOKUP($B479,'V13'!$A$8:$Q$29,14,1),"")</f>
        <v>1.3157894736842105E-2</v>
      </c>
      <c r="P479">
        <f>IFERROR(VLOOKUP($B479,'V13'!$A$8:$Q$29,15,1),"")</f>
        <v>0.85734983289397837</v>
      </c>
      <c r="Q479">
        <f>IFERROR(VLOOKUP($B479,'V13'!$A$8:$Q$29,16,1),"")</f>
        <v>1.7015417710511145</v>
      </c>
      <c r="R479">
        <f>IFERROR(VLOOKUP($B479,'V13'!$A$8:$Q$29,17,1),"")</f>
        <v>2.5457337092082506</v>
      </c>
      <c r="Z479" s="17"/>
      <c r="AY479" s="17"/>
    </row>
    <row r="480" spans="1:51" x14ac:dyDescent="0.25">
      <c r="A480" s="17"/>
      <c r="B480" s="2">
        <f>EDATE(B481,-1)</f>
        <v>45930</v>
      </c>
      <c r="C480">
        <f>IFERROR(VLOOKUP($B480,'V13'!$A$9:$J$1048576,2,1),"")</f>
        <v>3</v>
      </c>
      <c r="D480" s="1">
        <f>IFERROR(VLOOKUP($B480,'V13'!$A$8:$J$29,4,1),"")</f>
        <v>-5.1383866155474749</v>
      </c>
      <c r="E480" s="1">
        <f>IFERROR(VLOOKUP($B480,'V13'!$A$8:$J$29,5,1),"")</f>
        <v>1.6972159405122103</v>
      </c>
      <c r="F480" s="1">
        <f>IFERROR(VLOOKUP($B480,'V13'!$A$8:$J$29,6,1),"")</f>
        <v>8.5328184965718954</v>
      </c>
      <c r="G480" s="1">
        <f>IFERROR(VLOOKUP($B480,'V13'!$A$8:$J$29,7,1),"")</f>
        <v>15.368421052631579</v>
      </c>
      <c r="H480" s="1">
        <f>IFERROR(VLOOKUP($B480,'V13'!$A$8:$J$29,8,1),"")</f>
        <v>22.204023608691262</v>
      </c>
      <c r="I480" s="1">
        <f>IFERROR(VLOOKUP($B480,'V13'!$A$8:$J$29,9,1),"")</f>
        <v>29.039626164750949</v>
      </c>
      <c r="J480" s="1">
        <f>IFERROR(VLOOKUP($B480,'V13'!$A$8:$J$29,10,1),"")</f>
        <v>35.875228720810632</v>
      </c>
      <c r="K480">
        <f>IFERROR(VLOOKUP($B480,'V13'!$A$9:$Q$1048576,3,1),"")</f>
        <v>-0.75</v>
      </c>
      <c r="L480">
        <f>IFERROR(VLOOKUP($B480,'V13'!$A$8:$Q$29,11,1),"")</f>
        <v>-2.5194179197345665</v>
      </c>
      <c r="M480">
        <f>IFERROR(VLOOKUP($B480,'V13'!$A$8:$Q$29,12,1),"")</f>
        <v>-1.6752259815774304</v>
      </c>
      <c r="N480">
        <f>IFERROR(VLOOKUP($B480,'V13'!$A$8:$Q$29,13,1),"")</f>
        <v>-0.83103404342029408</v>
      </c>
      <c r="O480">
        <f>IFERROR(VLOOKUP($B480,'V13'!$A$8:$Q$29,14,1),"")</f>
        <v>1.3157894736842105E-2</v>
      </c>
      <c r="P480">
        <f>IFERROR(VLOOKUP($B480,'V13'!$A$8:$Q$29,15,1),"")</f>
        <v>0.85734983289397837</v>
      </c>
      <c r="Q480">
        <f>IFERROR(VLOOKUP($B480,'V13'!$A$8:$Q$29,16,1),"")</f>
        <v>1.7015417710511145</v>
      </c>
      <c r="R480">
        <f>IFERROR(VLOOKUP($B480,'V13'!$A$8:$Q$29,17,1),"")</f>
        <v>2.5457337092082506</v>
      </c>
      <c r="Z480" s="17"/>
      <c r="AY480" s="17"/>
    </row>
    <row r="481" spans="1:51" x14ac:dyDescent="0.25">
      <c r="A481" s="17"/>
      <c r="B481" s="2">
        <f>$E$446</f>
        <v>45961</v>
      </c>
      <c r="C481">
        <f>IFERROR(VLOOKUP($B481,'V13'!$A$9:$J$1048576,2,1),"")</f>
        <v>2</v>
      </c>
      <c r="D481" s="1">
        <f>IFERROR(VLOOKUP($B481,'V13'!$A$8:$J$29,4,1),"")</f>
        <v>-5.1383866155474749</v>
      </c>
      <c r="E481" s="1">
        <f>IFERROR(VLOOKUP($B481,'V13'!$A$8:$J$29,5,1),"")</f>
        <v>1.6972159405122103</v>
      </c>
      <c r="F481" s="1">
        <f>IFERROR(VLOOKUP($B481,'V13'!$A$8:$J$29,6,1),"")</f>
        <v>8.5328184965718954</v>
      </c>
      <c r="G481" s="1">
        <f>IFERROR(VLOOKUP($B481,'V13'!$A$8:$J$29,7,1),"")</f>
        <v>15.368421052631579</v>
      </c>
      <c r="H481" s="1">
        <f>IFERROR(VLOOKUP($B481,'V13'!$A$8:$J$29,8,1),"")</f>
        <v>22.204023608691262</v>
      </c>
      <c r="I481" s="1">
        <f>IFERROR(VLOOKUP($B481,'V13'!$A$8:$J$29,9,1),"")</f>
        <v>29.039626164750949</v>
      </c>
      <c r="J481" s="1">
        <f>IFERROR(VLOOKUP($B481,'V13'!$A$8:$J$29,10,1),"")</f>
        <v>35.875228720810632</v>
      </c>
      <c r="K481">
        <f>IFERROR(VLOOKUP($B481,'V13'!$A$9:$Q$1048576,3,1),"")</f>
        <v>-0.25</v>
      </c>
      <c r="L481">
        <f>IFERROR(VLOOKUP($B481,'V13'!$A$8:$Q$29,11,1),"")</f>
        <v>-2.5194179197345665</v>
      </c>
      <c r="M481">
        <f>IFERROR(VLOOKUP($B481,'V13'!$A$8:$Q$29,12,1),"")</f>
        <v>-1.6752259815774304</v>
      </c>
      <c r="N481">
        <f>IFERROR(VLOOKUP($B481,'V13'!$A$8:$Q$29,13,1),"")</f>
        <v>-0.83103404342029408</v>
      </c>
      <c r="O481">
        <f>IFERROR(VLOOKUP($B481,'V13'!$A$8:$Q$29,14,1),"")</f>
        <v>1.3157894736842105E-2</v>
      </c>
      <c r="P481">
        <f>IFERROR(VLOOKUP($B481,'V13'!$A$8:$Q$29,15,1),"")</f>
        <v>0.85734983289397837</v>
      </c>
      <c r="Q481">
        <f>IFERROR(VLOOKUP($B481,'V13'!$A$8:$Q$29,16,1),"")</f>
        <v>1.7015417710511145</v>
      </c>
      <c r="R481">
        <f>IFERROR(VLOOKUP($B481,'V13'!$A$8:$Q$29,17,1),"")</f>
        <v>2.5457337092082506</v>
      </c>
      <c r="Z481" s="17"/>
      <c r="AY481" s="17"/>
    </row>
    <row r="482" spans="1:5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</row>
    <row r="483" spans="1:51" ht="50.1" customHeight="1" x14ac:dyDescent="0.25">
      <c r="A483" s="17"/>
      <c r="B483" s="39" t="s">
        <v>64</v>
      </c>
      <c r="C483" s="39"/>
      <c r="D483" s="39"/>
      <c r="E483" s="40">
        <v>45961</v>
      </c>
      <c r="F483" s="40"/>
      <c r="G483" s="40"/>
      <c r="H483" s="40"/>
      <c r="I483" s="40"/>
      <c r="J483" s="40"/>
      <c r="K483" s="40"/>
      <c r="L483" s="40"/>
      <c r="M483" s="40"/>
      <c r="N483" s="44" t="s">
        <v>83</v>
      </c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6"/>
      <c r="AY483" s="17"/>
    </row>
    <row r="484" spans="1:51" ht="50.1" customHeight="1" x14ac:dyDescent="0.25">
      <c r="A484" s="17"/>
      <c r="B484" s="39" t="s">
        <v>37</v>
      </c>
      <c r="C484" s="39"/>
      <c r="D484" s="39"/>
      <c r="E484" s="43"/>
      <c r="F484" s="43"/>
      <c r="G484" s="43"/>
      <c r="H484" s="39" t="s">
        <v>25</v>
      </c>
      <c r="I484" s="39"/>
      <c r="J484" s="39"/>
      <c r="K484" s="42"/>
      <c r="L484" s="42"/>
      <c r="M484" s="42"/>
      <c r="N484" s="47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9"/>
      <c r="AY484" s="17"/>
    </row>
    <row r="485" spans="1:51" ht="50.1" customHeight="1" x14ac:dyDescent="0.25">
      <c r="A485" s="17"/>
      <c r="B485" s="39" t="s">
        <v>66</v>
      </c>
      <c r="C485" s="39"/>
      <c r="D485" s="39"/>
      <c r="E485" s="43"/>
      <c r="F485" s="43"/>
      <c r="G485" s="43"/>
      <c r="H485" s="39" t="s">
        <v>26</v>
      </c>
      <c r="I485" s="39"/>
      <c r="J485" s="39"/>
      <c r="K485" s="42"/>
      <c r="L485" s="42"/>
      <c r="M485" s="42"/>
      <c r="N485" s="50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2"/>
      <c r="AY485" s="17"/>
    </row>
    <row r="486" spans="1:5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</row>
    <row r="487" spans="1:51" x14ac:dyDescent="0.25">
      <c r="A487" s="17"/>
      <c r="B487" t="s">
        <v>67</v>
      </c>
      <c r="K487" t="s">
        <v>68</v>
      </c>
      <c r="Z487" s="17"/>
      <c r="AY487" s="17"/>
    </row>
    <row r="488" spans="1:51" x14ac:dyDescent="0.25">
      <c r="A488" s="17"/>
      <c r="B488" s="6" t="s">
        <v>69</v>
      </c>
      <c r="C488" s="6" t="s">
        <v>70</v>
      </c>
      <c r="D488" s="6" t="s">
        <v>34</v>
      </c>
      <c r="E488" s="6" t="s">
        <v>35</v>
      </c>
      <c r="F488" s="6" t="s">
        <v>36</v>
      </c>
      <c r="G488" s="6" t="s">
        <v>37</v>
      </c>
      <c r="H488" s="6" t="s">
        <v>38</v>
      </c>
      <c r="I488" s="6" t="s">
        <v>39</v>
      </c>
      <c r="J488" s="6" t="s">
        <v>40</v>
      </c>
      <c r="K488" s="6" t="s">
        <v>70</v>
      </c>
      <c r="L488" t="s">
        <v>34</v>
      </c>
      <c r="M488" t="s">
        <v>35</v>
      </c>
      <c r="N488" t="s">
        <v>36</v>
      </c>
      <c r="O488" t="s">
        <v>37</v>
      </c>
      <c r="P488" t="s">
        <v>38</v>
      </c>
      <c r="Q488" t="s">
        <v>39</v>
      </c>
      <c r="R488" t="s">
        <v>40</v>
      </c>
      <c r="Z488" s="17"/>
      <c r="AY488" s="17"/>
    </row>
    <row r="489" spans="1:51" x14ac:dyDescent="0.25">
      <c r="A489" s="17"/>
      <c r="B489" s="2">
        <f t="shared" ref="B489:B516" si="10">EDATE(B490,-1)</f>
        <v>45074</v>
      </c>
      <c r="C489">
        <f>IFERROR(VLOOKUP($B489,'V14'!$A$9:$J$1048576,2,1),"")</f>
        <v>18</v>
      </c>
      <c r="D489" s="1">
        <f>IFERROR(VLOOKUP($B489,'V14'!$A$8:$J$29,4,1),"")</f>
        <v>-3.9331758027408288</v>
      </c>
      <c r="E489" s="1">
        <f>IFERROR(VLOOKUP($B489,'V14'!$A$8:$J$29,5,1),"")</f>
        <v>2.3954266578219023</v>
      </c>
      <c r="F489" s="1">
        <f>IFERROR(VLOOKUP($B489,'V14'!$A$8:$J$29,6,1),"")</f>
        <v>8.7240291183846352</v>
      </c>
      <c r="G489" s="1">
        <f>IFERROR(VLOOKUP($B489,'V14'!$A$8:$J$29,7,1),"")</f>
        <v>15.052631578947368</v>
      </c>
      <c r="H489" s="1">
        <f>IFERROR(VLOOKUP($B489,'V14'!$A$8:$J$29,8,1),"")</f>
        <v>21.381234039510101</v>
      </c>
      <c r="I489" s="1">
        <f>IFERROR(VLOOKUP($B489,'V14'!$A$8:$J$29,9,1),"")</f>
        <v>27.709836500072832</v>
      </c>
      <c r="J489" s="1">
        <f>IFERROR(VLOOKUP($B489,'V14'!$A$8:$J$29,10,1),"")</f>
        <v>34.038438960635567</v>
      </c>
      <c r="K489">
        <f>IFERROR(VLOOKUP($B489,'V14'!$A$9:$Q$1048576,3,1),"")</f>
        <v>0.5</v>
      </c>
      <c r="L489">
        <f>IFERROR(VLOOKUP($B489,'V14'!$A$8:$Q$29,11,1),"")</f>
        <v>-2.4089574944938654</v>
      </c>
      <c r="M489">
        <f>IFERROR(VLOOKUP($B489,'V14'!$A$8:$Q$29,12,1),"")</f>
        <v>-1.6015856980836296</v>
      </c>
      <c r="N489">
        <f>IFERROR(VLOOKUP($B489,'V14'!$A$8:$Q$29,13,1),"")</f>
        <v>-0.79421390167339367</v>
      </c>
      <c r="O489">
        <f>IFERROR(VLOOKUP($B489,'V14'!$A$8:$Q$29,14,1),"")</f>
        <v>1.3157894736842105E-2</v>
      </c>
      <c r="P489">
        <f>IFERROR(VLOOKUP($B489,'V14'!$A$8:$Q$29,15,1),"")</f>
        <v>0.82052969114707797</v>
      </c>
      <c r="Q489">
        <f>IFERROR(VLOOKUP($B489,'V14'!$A$8:$Q$29,16,1),"")</f>
        <v>1.6279014875573137</v>
      </c>
      <c r="R489">
        <f>IFERROR(VLOOKUP($B489,'V14'!$A$8:$Q$29,17,1),"")</f>
        <v>2.4352732839675495</v>
      </c>
      <c r="Z489" s="17"/>
      <c r="AY489" s="17"/>
    </row>
    <row r="490" spans="1:51" x14ac:dyDescent="0.25">
      <c r="A490" s="17"/>
      <c r="B490" s="2">
        <f t="shared" si="10"/>
        <v>45105</v>
      </c>
      <c r="C490">
        <f>IFERROR(VLOOKUP($B490,'V14'!$A$9:$J$1048576,2,1),"")</f>
        <v>23</v>
      </c>
      <c r="D490" s="1">
        <f>IFERROR(VLOOKUP($B490,'V14'!$A$8:$J$29,4,1),"")</f>
        <v>-3.9331758027408288</v>
      </c>
      <c r="E490" s="1">
        <f>IFERROR(VLOOKUP($B490,'V14'!$A$8:$J$29,5,1),"")</f>
        <v>2.3954266578219023</v>
      </c>
      <c r="F490" s="1">
        <f>IFERROR(VLOOKUP($B490,'V14'!$A$8:$J$29,6,1),"")</f>
        <v>8.7240291183846352</v>
      </c>
      <c r="G490" s="1">
        <f>IFERROR(VLOOKUP($B490,'V14'!$A$8:$J$29,7,1),"")</f>
        <v>15.052631578947368</v>
      </c>
      <c r="H490" s="1">
        <f>IFERROR(VLOOKUP($B490,'V14'!$A$8:$J$29,8,1),"")</f>
        <v>21.381234039510101</v>
      </c>
      <c r="I490" s="1">
        <f>IFERROR(VLOOKUP($B490,'V14'!$A$8:$J$29,9,1),"")</f>
        <v>27.709836500072832</v>
      </c>
      <c r="J490" s="1">
        <f>IFERROR(VLOOKUP($B490,'V14'!$A$8:$J$29,10,1),"")</f>
        <v>34.038438960635567</v>
      </c>
      <c r="K490">
        <f>IFERROR(VLOOKUP($B490,'V14'!$A$9:$Q$1048576,3,1),"")</f>
        <v>1.25</v>
      </c>
      <c r="L490">
        <f>IFERROR(VLOOKUP($B490,'V14'!$A$8:$Q$29,11,1),"")</f>
        <v>-2.4089574944938654</v>
      </c>
      <c r="M490">
        <f>IFERROR(VLOOKUP($B490,'V14'!$A$8:$Q$29,12,1),"")</f>
        <v>-1.6015856980836296</v>
      </c>
      <c r="N490">
        <f>IFERROR(VLOOKUP($B490,'V14'!$A$8:$Q$29,13,1),"")</f>
        <v>-0.79421390167339367</v>
      </c>
      <c r="O490">
        <f>IFERROR(VLOOKUP($B490,'V14'!$A$8:$Q$29,14,1),"")</f>
        <v>1.3157894736842105E-2</v>
      </c>
      <c r="P490">
        <f>IFERROR(VLOOKUP($B490,'V14'!$A$8:$Q$29,15,1),"")</f>
        <v>0.82052969114707797</v>
      </c>
      <c r="Q490">
        <f>IFERROR(VLOOKUP($B490,'V14'!$A$8:$Q$29,16,1),"")</f>
        <v>1.6279014875573137</v>
      </c>
      <c r="R490">
        <f>IFERROR(VLOOKUP($B490,'V14'!$A$8:$Q$29,17,1),"")</f>
        <v>2.4352732839675495</v>
      </c>
      <c r="Z490" s="17"/>
      <c r="AY490" s="17"/>
    </row>
    <row r="491" spans="1:51" x14ac:dyDescent="0.25">
      <c r="A491" s="17"/>
      <c r="B491" s="2">
        <f t="shared" si="10"/>
        <v>45135</v>
      </c>
      <c r="C491">
        <f>IFERROR(VLOOKUP($B491,'V14'!$A$9:$J$1048576,2,1),"")</f>
        <v>20</v>
      </c>
      <c r="D491" s="1">
        <f>IFERROR(VLOOKUP($B491,'V14'!$A$8:$J$29,4,1),"")</f>
        <v>-3.9331758027408288</v>
      </c>
      <c r="E491" s="1">
        <f>IFERROR(VLOOKUP($B491,'V14'!$A$8:$J$29,5,1),"")</f>
        <v>2.3954266578219023</v>
      </c>
      <c r="F491" s="1">
        <f>IFERROR(VLOOKUP($B491,'V14'!$A$8:$J$29,6,1),"")</f>
        <v>8.7240291183846352</v>
      </c>
      <c r="G491" s="1">
        <f>IFERROR(VLOOKUP($B491,'V14'!$A$8:$J$29,7,1),"")</f>
        <v>15.052631578947368</v>
      </c>
      <c r="H491" s="1">
        <f>IFERROR(VLOOKUP($B491,'V14'!$A$8:$J$29,8,1),"")</f>
        <v>21.381234039510101</v>
      </c>
      <c r="I491" s="1">
        <f>IFERROR(VLOOKUP($B491,'V14'!$A$8:$J$29,9,1),"")</f>
        <v>27.709836500072832</v>
      </c>
      <c r="J491" s="1">
        <f>IFERROR(VLOOKUP($B491,'V14'!$A$8:$J$29,10,1),"")</f>
        <v>34.038438960635567</v>
      </c>
      <c r="K491">
        <f>IFERROR(VLOOKUP($B491,'V14'!$A$9:$Q$1048576,3,1),"")</f>
        <v>-0.75</v>
      </c>
      <c r="L491">
        <f>IFERROR(VLOOKUP($B491,'V14'!$A$8:$Q$29,11,1),"")</f>
        <v>-2.4089574944938654</v>
      </c>
      <c r="M491">
        <f>IFERROR(VLOOKUP($B491,'V14'!$A$8:$Q$29,12,1),"")</f>
        <v>-1.6015856980836296</v>
      </c>
      <c r="N491">
        <f>IFERROR(VLOOKUP($B491,'V14'!$A$8:$Q$29,13,1),"")</f>
        <v>-0.79421390167339367</v>
      </c>
      <c r="O491">
        <f>IFERROR(VLOOKUP($B491,'V14'!$A$8:$Q$29,14,1),"")</f>
        <v>1.3157894736842105E-2</v>
      </c>
      <c r="P491">
        <f>IFERROR(VLOOKUP($B491,'V14'!$A$8:$Q$29,15,1),"")</f>
        <v>0.82052969114707797</v>
      </c>
      <c r="Q491">
        <f>IFERROR(VLOOKUP($B491,'V14'!$A$8:$Q$29,16,1),"")</f>
        <v>1.6279014875573137</v>
      </c>
      <c r="R491">
        <f>IFERROR(VLOOKUP($B491,'V14'!$A$8:$Q$29,17,1),"")</f>
        <v>2.4352732839675495</v>
      </c>
      <c r="Z491" s="17"/>
      <c r="AY491" s="17"/>
    </row>
    <row r="492" spans="1:51" x14ac:dyDescent="0.25">
      <c r="A492" s="17"/>
      <c r="B492" s="2">
        <f t="shared" si="10"/>
        <v>45166</v>
      </c>
      <c r="C492">
        <f>IFERROR(VLOOKUP($B492,'V14'!$A$9:$J$1048576,2,1),"")</f>
        <v>22</v>
      </c>
      <c r="D492" s="1">
        <f>IFERROR(VLOOKUP($B492,'V14'!$A$8:$J$29,4,1),"")</f>
        <v>-3.9331758027408288</v>
      </c>
      <c r="E492" s="1">
        <f>IFERROR(VLOOKUP($B492,'V14'!$A$8:$J$29,5,1),"")</f>
        <v>2.3954266578219023</v>
      </c>
      <c r="F492" s="1">
        <f>IFERROR(VLOOKUP($B492,'V14'!$A$8:$J$29,6,1),"")</f>
        <v>8.7240291183846352</v>
      </c>
      <c r="G492" s="1">
        <f>IFERROR(VLOOKUP($B492,'V14'!$A$8:$J$29,7,1),"")</f>
        <v>15.052631578947368</v>
      </c>
      <c r="H492" s="1">
        <f>IFERROR(VLOOKUP($B492,'V14'!$A$8:$J$29,8,1),"")</f>
        <v>21.381234039510101</v>
      </c>
      <c r="I492" s="1">
        <f>IFERROR(VLOOKUP($B492,'V14'!$A$8:$J$29,9,1),"")</f>
        <v>27.709836500072832</v>
      </c>
      <c r="J492" s="1">
        <f>IFERROR(VLOOKUP($B492,'V14'!$A$8:$J$29,10,1),"")</f>
        <v>34.038438960635567</v>
      </c>
      <c r="K492">
        <f>IFERROR(VLOOKUP($B492,'V14'!$A$9:$Q$1048576,3,1),"")</f>
        <v>0.5</v>
      </c>
      <c r="L492">
        <f>IFERROR(VLOOKUP($B492,'V14'!$A$8:$Q$29,11,1),"")</f>
        <v>-2.4089574944938654</v>
      </c>
      <c r="M492">
        <f>IFERROR(VLOOKUP($B492,'V14'!$A$8:$Q$29,12,1),"")</f>
        <v>-1.6015856980836296</v>
      </c>
      <c r="N492">
        <f>IFERROR(VLOOKUP($B492,'V14'!$A$8:$Q$29,13,1),"")</f>
        <v>-0.79421390167339367</v>
      </c>
      <c r="O492">
        <f>IFERROR(VLOOKUP($B492,'V14'!$A$8:$Q$29,14,1),"")</f>
        <v>1.3157894736842105E-2</v>
      </c>
      <c r="P492">
        <f>IFERROR(VLOOKUP($B492,'V14'!$A$8:$Q$29,15,1),"")</f>
        <v>0.82052969114707797</v>
      </c>
      <c r="Q492">
        <f>IFERROR(VLOOKUP($B492,'V14'!$A$8:$Q$29,16,1),"")</f>
        <v>1.6279014875573137</v>
      </c>
      <c r="R492">
        <f>IFERROR(VLOOKUP($B492,'V14'!$A$8:$Q$29,17,1),"")</f>
        <v>2.4352732839675495</v>
      </c>
      <c r="Z492" s="17"/>
      <c r="AY492" s="17"/>
    </row>
    <row r="493" spans="1:51" x14ac:dyDescent="0.25">
      <c r="A493" s="17"/>
      <c r="B493" s="2">
        <f t="shared" si="10"/>
        <v>45197</v>
      </c>
      <c r="C493">
        <f>IFERROR(VLOOKUP($B493,'V14'!$A$9:$J$1048576,2,1),"")</f>
        <v>23</v>
      </c>
      <c r="D493" s="1">
        <f>IFERROR(VLOOKUP($B493,'V14'!$A$8:$J$29,4,1),"")</f>
        <v>-3.9331758027408288</v>
      </c>
      <c r="E493" s="1">
        <f>IFERROR(VLOOKUP($B493,'V14'!$A$8:$J$29,5,1),"")</f>
        <v>2.3954266578219023</v>
      </c>
      <c r="F493" s="1">
        <f>IFERROR(VLOOKUP($B493,'V14'!$A$8:$J$29,6,1),"")</f>
        <v>8.7240291183846352</v>
      </c>
      <c r="G493" s="1">
        <f>IFERROR(VLOOKUP($B493,'V14'!$A$8:$J$29,7,1),"")</f>
        <v>15.052631578947368</v>
      </c>
      <c r="H493" s="1">
        <f>IFERROR(VLOOKUP($B493,'V14'!$A$8:$J$29,8,1),"")</f>
        <v>21.381234039510101</v>
      </c>
      <c r="I493" s="1">
        <f>IFERROR(VLOOKUP($B493,'V14'!$A$8:$J$29,9,1),"")</f>
        <v>27.709836500072832</v>
      </c>
      <c r="J493" s="1">
        <f>IFERROR(VLOOKUP($B493,'V14'!$A$8:$J$29,10,1),"")</f>
        <v>34.038438960635567</v>
      </c>
      <c r="K493">
        <f>IFERROR(VLOOKUP($B493,'V14'!$A$9:$Q$1048576,3,1),"")</f>
        <v>0.25</v>
      </c>
      <c r="L493">
        <f>IFERROR(VLOOKUP($B493,'V14'!$A$8:$Q$29,11,1),"")</f>
        <v>-2.4089574944938654</v>
      </c>
      <c r="M493">
        <f>IFERROR(VLOOKUP($B493,'V14'!$A$8:$Q$29,12,1),"")</f>
        <v>-1.6015856980836296</v>
      </c>
      <c r="N493">
        <f>IFERROR(VLOOKUP($B493,'V14'!$A$8:$Q$29,13,1),"")</f>
        <v>-0.79421390167339367</v>
      </c>
      <c r="O493">
        <f>IFERROR(VLOOKUP($B493,'V14'!$A$8:$Q$29,14,1),"")</f>
        <v>1.3157894736842105E-2</v>
      </c>
      <c r="P493">
        <f>IFERROR(VLOOKUP($B493,'V14'!$A$8:$Q$29,15,1),"")</f>
        <v>0.82052969114707797</v>
      </c>
      <c r="Q493">
        <f>IFERROR(VLOOKUP($B493,'V14'!$A$8:$Q$29,16,1),"")</f>
        <v>1.6279014875573137</v>
      </c>
      <c r="R493">
        <f>IFERROR(VLOOKUP($B493,'V14'!$A$8:$Q$29,17,1),"")</f>
        <v>2.4352732839675495</v>
      </c>
      <c r="Z493" s="17"/>
      <c r="AY493" s="17"/>
    </row>
    <row r="494" spans="1:51" x14ac:dyDescent="0.25">
      <c r="A494" s="17"/>
      <c r="B494" s="2">
        <f t="shared" si="10"/>
        <v>45227</v>
      </c>
      <c r="C494">
        <f>IFERROR(VLOOKUP($B494,'V14'!$A$9:$J$1048576,2,1),"")</f>
        <v>22</v>
      </c>
      <c r="D494" s="1">
        <f>IFERROR(VLOOKUP($B494,'V14'!$A$8:$J$29,4,1),"")</f>
        <v>-3.9331758027408288</v>
      </c>
      <c r="E494" s="1">
        <f>IFERROR(VLOOKUP($B494,'V14'!$A$8:$J$29,5,1),"")</f>
        <v>2.3954266578219023</v>
      </c>
      <c r="F494" s="1">
        <f>IFERROR(VLOOKUP($B494,'V14'!$A$8:$J$29,6,1),"")</f>
        <v>8.7240291183846352</v>
      </c>
      <c r="G494" s="1">
        <f>IFERROR(VLOOKUP($B494,'V14'!$A$8:$J$29,7,1),"")</f>
        <v>15.052631578947368</v>
      </c>
      <c r="H494" s="1">
        <f>IFERROR(VLOOKUP($B494,'V14'!$A$8:$J$29,8,1),"")</f>
        <v>21.381234039510101</v>
      </c>
      <c r="I494" s="1">
        <f>IFERROR(VLOOKUP($B494,'V14'!$A$8:$J$29,9,1),"")</f>
        <v>27.709836500072832</v>
      </c>
      <c r="J494" s="1">
        <f>IFERROR(VLOOKUP($B494,'V14'!$A$8:$J$29,10,1),"")</f>
        <v>34.038438960635567</v>
      </c>
      <c r="K494">
        <f>IFERROR(VLOOKUP($B494,'V14'!$A$9:$Q$1048576,3,1),"")</f>
        <v>-0.25</v>
      </c>
      <c r="L494">
        <f>IFERROR(VLOOKUP($B494,'V14'!$A$8:$Q$29,11,1),"")</f>
        <v>-2.4089574944938654</v>
      </c>
      <c r="M494">
        <f>IFERROR(VLOOKUP($B494,'V14'!$A$8:$Q$29,12,1),"")</f>
        <v>-1.6015856980836296</v>
      </c>
      <c r="N494">
        <f>IFERROR(VLOOKUP($B494,'V14'!$A$8:$Q$29,13,1),"")</f>
        <v>-0.79421390167339367</v>
      </c>
      <c r="O494">
        <f>IFERROR(VLOOKUP($B494,'V14'!$A$8:$Q$29,14,1),"")</f>
        <v>1.3157894736842105E-2</v>
      </c>
      <c r="P494">
        <f>IFERROR(VLOOKUP($B494,'V14'!$A$8:$Q$29,15,1),"")</f>
        <v>0.82052969114707797</v>
      </c>
      <c r="Q494">
        <f>IFERROR(VLOOKUP($B494,'V14'!$A$8:$Q$29,16,1),"")</f>
        <v>1.6279014875573137</v>
      </c>
      <c r="R494">
        <f>IFERROR(VLOOKUP($B494,'V14'!$A$8:$Q$29,17,1),"")</f>
        <v>2.4352732839675495</v>
      </c>
      <c r="Z494" s="17"/>
      <c r="AY494" s="17"/>
    </row>
    <row r="495" spans="1:51" x14ac:dyDescent="0.25">
      <c r="A495" s="17"/>
      <c r="B495" s="2">
        <f t="shared" si="10"/>
        <v>45258</v>
      </c>
      <c r="C495">
        <f>IFERROR(VLOOKUP($B495,'V14'!$A$9:$J$1048576,2,1),"")</f>
        <v>23</v>
      </c>
      <c r="D495" s="1">
        <f>IFERROR(VLOOKUP($B495,'V14'!$A$8:$J$29,4,1),"")</f>
        <v>-3.9331758027408288</v>
      </c>
      <c r="E495" s="1">
        <f>IFERROR(VLOOKUP($B495,'V14'!$A$8:$J$29,5,1),"")</f>
        <v>2.3954266578219023</v>
      </c>
      <c r="F495" s="1">
        <f>IFERROR(VLOOKUP($B495,'V14'!$A$8:$J$29,6,1),"")</f>
        <v>8.7240291183846352</v>
      </c>
      <c r="G495" s="1">
        <f>IFERROR(VLOOKUP($B495,'V14'!$A$8:$J$29,7,1),"")</f>
        <v>15.052631578947368</v>
      </c>
      <c r="H495" s="1">
        <f>IFERROR(VLOOKUP($B495,'V14'!$A$8:$J$29,8,1),"")</f>
        <v>21.381234039510101</v>
      </c>
      <c r="I495" s="1">
        <f>IFERROR(VLOOKUP($B495,'V14'!$A$8:$J$29,9,1),"")</f>
        <v>27.709836500072832</v>
      </c>
      <c r="J495" s="1">
        <f>IFERROR(VLOOKUP($B495,'V14'!$A$8:$J$29,10,1),"")</f>
        <v>34.038438960635567</v>
      </c>
      <c r="K495">
        <f>IFERROR(VLOOKUP($B495,'V14'!$A$9:$Q$1048576,3,1),"")</f>
        <v>0.25</v>
      </c>
      <c r="L495">
        <f>IFERROR(VLOOKUP($B495,'V14'!$A$8:$Q$29,11,1),"")</f>
        <v>-2.4089574944938654</v>
      </c>
      <c r="M495">
        <f>IFERROR(VLOOKUP($B495,'V14'!$A$8:$Q$29,12,1),"")</f>
        <v>-1.6015856980836296</v>
      </c>
      <c r="N495">
        <f>IFERROR(VLOOKUP($B495,'V14'!$A$8:$Q$29,13,1),"")</f>
        <v>-0.79421390167339367</v>
      </c>
      <c r="O495">
        <f>IFERROR(VLOOKUP($B495,'V14'!$A$8:$Q$29,14,1),"")</f>
        <v>1.3157894736842105E-2</v>
      </c>
      <c r="P495">
        <f>IFERROR(VLOOKUP($B495,'V14'!$A$8:$Q$29,15,1),"")</f>
        <v>0.82052969114707797</v>
      </c>
      <c r="Q495">
        <f>IFERROR(VLOOKUP($B495,'V14'!$A$8:$Q$29,16,1),"")</f>
        <v>1.6279014875573137</v>
      </c>
      <c r="R495">
        <f>IFERROR(VLOOKUP($B495,'V14'!$A$8:$Q$29,17,1),"")</f>
        <v>2.4352732839675495</v>
      </c>
      <c r="Z495" s="17"/>
      <c r="AY495" s="17"/>
    </row>
    <row r="496" spans="1:51" x14ac:dyDescent="0.25">
      <c r="A496" s="17"/>
      <c r="B496" s="2">
        <f t="shared" si="10"/>
        <v>45288</v>
      </c>
      <c r="C496">
        <f>IFERROR(VLOOKUP($B496,'V14'!$A$9:$J$1048576,2,1),"")</f>
        <v>24</v>
      </c>
      <c r="D496" s="1">
        <f>IFERROR(VLOOKUP($B496,'V14'!$A$8:$J$29,4,1),"")</f>
        <v>-3.9331758027408288</v>
      </c>
      <c r="E496" s="1">
        <f>IFERROR(VLOOKUP($B496,'V14'!$A$8:$J$29,5,1),"")</f>
        <v>2.3954266578219023</v>
      </c>
      <c r="F496" s="1">
        <f>IFERROR(VLOOKUP($B496,'V14'!$A$8:$J$29,6,1),"")</f>
        <v>8.7240291183846352</v>
      </c>
      <c r="G496" s="1">
        <f>IFERROR(VLOOKUP($B496,'V14'!$A$8:$J$29,7,1),"")</f>
        <v>15.052631578947368</v>
      </c>
      <c r="H496" s="1">
        <f>IFERROR(VLOOKUP($B496,'V14'!$A$8:$J$29,8,1),"")</f>
        <v>21.381234039510101</v>
      </c>
      <c r="I496" s="1">
        <f>IFERROR(VLOOKUP($B496,'V14'!$A$8:$J$29,9,1),"")</f>
        <v>27.709836500072832</v>
      </c>
      <c r="J496" s="1">
        <f>IFERROR(VLOOKUP($B496,'V14'!$A$8:$J$29,10,1),"")</f>
        <v>34.038438960635567</v>
      </c>
      <c r="K496">
        <f>IFERROR(VLOOKUP($B496,'V14'!$A$9:$Q$1048576,3,1),"")</f>
        <v>0.25</v>
      </c>
      <c r="L496">
        <f>IFERROR(VLOOKUP($B496,'V14'!$A$8:$Q$29,11,1),"")</f>
        <v>-2.4089574944938654</v>
      </c>
      <c r="M496">
        <f>IFERROR(VLOOKUP($B496,'V14'!$A$8:$Q$29,12,1),"")</f>
        <v>-1.6015856980836296</v>
      </c>
      <c r="N496">
        <f>IFERROR(VLOOKUP($B496,'V14'!$A$8:$Q$29,13,1),"")</f>
        <v>-0.79421390167339367</v>
      </c>
      <c r="O496">
        <f>IFERROR(VLOOKUP($B496,'V14'!$A$8:$Q$29,14,1),"")</f>
        <v>1.3157894736842105E-2</v>
      </c>
      <c r="P496">
        <f>IFERROR(VLOOKUP($B496,'V14'!$A$8:$Q$29,15,1),"")</f>
        <v>0.82052969114707797</v>
      </c>
      <c r="Q496">
        <f>IFERROR(VLOOKUP($B496,'V14'!$A$8:$Q$29,16,1),"")</f>
        <v>1.6279014875573137</v>
      </c>
      <c r="R496">
        <f>IFERROR(VLOOKUP($B496,'V14'!$A$8:$Q$29,17,1),"")</f>
        <v>2.4352732839675495</v>
      </c>
      <c r="Z496" s="17"/>
      <c r="AY496" s="17"/>
    </row>
    <row r="497" spans="1:51" x14ac:dyDescent="0.25">
      <c r="A497" s="17"/>
      <c r="B497" s="2">
        <f t="shared" si="10"/>
        <v>45319</v>
      </c>
      <c r="C497">
        <f>IFERROR(VLOOKUP($B497,'V14'!$A$9:$J$1048576,2,1),"")</f>
        <v>27</v>
      </c>
      <c r="D497" s="1">
        <f>IFERROR(VLOOKUP($B497,'V14'!$A$8:$J$29,4,1),"")</f>
        <v>-3.9331758027408288</v>
      </c>
      <c r="E497" s="1">
        <f>IFERROR(VLOOKUP($B497,'V14'!$A$8:$J$29,5,1),"")</f>
        <v>2.3954266578219023</v>
      </c>
      <c r="F497" s="1">
        <f>IFERROR(VLOOKUP($B497,'V14'!$A$8:$J$29,6,1),"")</f>
        <v>8.7240291183846352</v>
      </c>
      <c r="G497" s="1">
        <f>IFERROR(VLOOKUP($B497,'V14'!$A$8:$J$29,7,1),"")</f>
        <v>15.052631578947368</v>
      </c>
      <c r="H497" s="1">
        <f>IFERROR(VLOOKUP($B497,'V14'!$A$8:$J$29,8,1),"")</f>
        <v>21.381234039510101</v>
      </c>
      <c r="I497" s="1">
        <f>IFERROR(VLOOKUP($B497,'V14'!$A$8:$J$29,9,1),"")</f>
        <v>27.709836500072832</v>
      </c>
      <c r="J497" s="1">
        <f>IFERROR(VLOOKUP($B497,'V14'!$A$8:$J$29,10,1),"")</f>
        <v>34.038438960635567</v>
      </c>
      <c r="K497">
        <f>IFERROR(VLOOKUP($B497,'V14'!$A$9:$Q$1048576,3,1),"")</f>
        <v>0.75</v>
      </c>
      <c r="L497">
        <f>IFERROR(VLOOKUP($B497,'V14'!$A$8:$Q$29,11,1),"")</f>
        <v>-2.4089574944938654</v>
      </c>
      <c r="M497">
        <f>IFERROR(VLOOKUP($B497,'V14'!$A$8:$Q$29,12,1),"")</f>
        <v>-1.6015856980836296</v>
      </c>
      <c r="N497">
        <f>IFERROR(VLOOKUP($B497,'V14'!$A$8:$Q$29,13,1),"")</f>
        <v>-0.79421390167339367</v>
      </c>
      <c r="O497">
        <f>IFERROR(VLOOKUP($B497,'V14'!$A$8:$Q$29,14,1),"")</f>
        <v>1.3157894736842105E-2</v>
      </c>
      <c r="P497">
        <f>IFERROR(VLOOKUP($B497,'V14'!$A$8:$Q$29,15,1),"")</f>
        <v>0.82052969114707797</v>
      </c>
      <c r="Q497">
        <f>IFERROR(VLOOKUP($B497,'V14'!$A$8:$Q$29,16,1),"")</f>
        <v>1.6279014875573137</v>
      </c>
      <c r="R497">
        <f>IFERROR(VLOOKUP($B497,'V14'!$A$8:$Q$29,17,1),"")</f>
        <v>2.4352732839675495</v>
      </c>
      <c r="Z497" s="17"/>
      <c r="AY497" s="17"/>
    </row>
    <row r="498" spans="1:51" x14ac:dyDescent="0.25">
      <c r="A498" s="17"/>
      <c r="B498" s="2">
        <f t="shared" si="10"/>
        <v>45350</v>
      </c>
      <c r="C498">
        <f>IFERROR(VLOOKUP($B498,'V14'!$A$9:$J$1048576,2,1),"")</f>
        <v>23</v>
      </c>
      <c r="D498" s="1">
        <f>IFERROR(VLOOKUP($B498,'V14'!$A$8:$J$29,4,1),"")</f>
        <v>-3.9331758027408288</v>
      </c>
      <c r="E498" s="1">
        <f>IFERROR(VLOOKUP($B498,'V14'!$A$8:$J$29,5,1),"")</f>
        <v>2.3954266578219023</v>
      </c>
      <c r="F498" s="1">
        <f>IFERROR(VLOOKUP($B498,'V14'!$A$8:$J$29,6,1),"")</f>
        <v>8.7240291183846352</v>
      </c>
      <c r="G498" s="1">
        <f>IFERROR(VLOOKUP($B498,'V14'!$A$8:$J$29,7,1),"")</f>
        <v>15.052631578947368</v>
      </c>
      <c r="H498" s="1">
        <f>IFERROR(VLOOKUP($B498,'V14'!$A$8:$J$29,8,1),"")</f>
        <v>21.381234039510101</v>
      </c>
      <c r="I498" s="1">
        <f>IFERROR(VLOOKUP($B498,'V14'!$A$8:$J$29,9,1),"")</f>
        <v>27.709836500072832</v>
      </c>
      <c r="J498" s="1">
        <f>IFERROR(VLOOKUP($B498,'V14'!$A$8:$J$29,10,1),"")</f>
        <v>34.038438960635567</v>
      </c>
      <c r="K498">
        <f>IFERROR(VLOOKUP($B498,'V14'!$A$9:$Q$1048576,3,1),"")</f>
        <v>-1</v>
      </c>
      <c r="L498">
        <f>IFERROR(VLOOKUP($B498,'V14'!$A$8:$Q$29,11,1),"")</f>
        <v>-2.4089574944938654</v>
      </c>
      <c r="M498">
        <f>IFERROR(VLOOKUP($B498,'V14'!$A$8:$Q$29,12,1),"")</f>
        <v>-1.6015856980836296</v>
      </c>
      <c r="N498">
        <f>IFERROR(VLOOKUP($B498,'V14'!$A$8:$Q$29,13,1),"")</f>
        <v>-0.79421390167339367</v>
      </c>
      <c r="O498">
        <f>IFERROR(VLOOKUP($B498,'V14'!$A$8:$Q$29,14,1),"")</f>
        <v>1.3157894736842105E-2</v>
      </c>
      <c r="P498">
        <f>IFERROR(VLOOKUP($B498,'V14'!$A$8:$Q$29,15,1),"")</f>
        <v>0.82052969114707797</v>
      </c>
      <c r="Q498">
        <f>IFERROR(VLOOKUP($B498,'V14'!$A$8:$Q$29,16,1),"")</f>
        <v>1.6279014875573137</v>
      </c>
      <c r="R498">
        <f>IFERROR(VLOOKUP($B498,'V14'!$A$8:$Q$29,17,1),"")</f>
        <v>2.4352732839675495</v>
      </c>
      <c r="Z498" s="17"/>
      <c r="AY498" s="17"/>
    </row>
    <row r="499" spans="1:51" x14ac:dyDescent="0.25">
      <c r="A499" s="17"/>
      <c r="B499" s="2">
        <f t="shared" si="10"/>
        <v>45379</v>
      </c>
      <c r="C499">
        <f>IFERROR(VLOOKUP($B499,'V14'!$A$9:$J$1048576,2,1),"")</f>
        <v>21</v>
      </c>
      <c r="D499" s="1">
        <f>IFERROR(VLOOKUP($B499,'V14'!$A$8:$J$29,4,1),"")</f>
        <v>-3.9331758027408288</v>
      </c>
      <c r="E499" s="1">
        <f>IFERROR(VLOOKUP($B499,'V14'!$A$8:$J$29,5,1),"")</f>
        <v>2.3954266578219023</v>
      </c>
      <c r="F499" s="1">
        <f>IFERROR(VLOOKUP($B499,'V14'!$A$8:$J$29,6,1),"")</f>
        <v>8.7240291183846352</v>
      </c>
      <c r="G499" s="1">
        <f>IFERROR(VLOOKUP($B499,'V14'!$A$8:$J$29,7,1),"")</f>
        <v>15.052631578947368</v>
      </c>
      <c r="H499" s="1">
        <f>IFERROR(VLOOKUP($B499,'V14'!$A$8:$J$29,8,1),"")</f>
        <v>21.381234039510101</v>
      </c>
      <c r="I499" s="1">
        <f>IFERROR(VLOOKUP($B499,'V14'!$A$8:$J$29,9,1),"")</f>
        <v>27.709836500072832</v>
      </c>
      <c r="J499" s="1">
        <f>IFERROR(VLOOKUP($B499,'V14'!$A$8:$J$29,10,1),"")</f>
        <v>34.038438960635567</v>
      </c>
      <c r="K499">
        <f>IFERROR(VLOOKUP($B499,'V14'!$A$9:$Q$1048576,3,1),"")</f>
        <v>-0.5</v>
      </c>
      <c r="L499">
        <f>IFERROR(VLOOKUP($B499,'V14'!$A$8:$Q$29,11,1),"")</f>
        <v>-2.4089574944938654</v>
      </c>
      <c r="M499">
        <f>IFERROR(VLOOKUP($B499,'V14'!$A$8:$Q$29,12,1),"")</f>
        <v>-1.6015856980836296</v>
      </c>
      <c r="N499">
        <f>IFERROR(VLOOKUP($B499,'V14'!$A$8:$Q$29,13,1),"")</f>
        <v>-0.79421390167339367</v>
      </c>
      <c r="O499">
        <f>IFERROR(VLOOKUP($B499,'V14'!$A$8:$Q$29,14,1),"")</f>
        <v>1.3157894736842105E-2</v>
      </c>
      <c r="P499">
        <f>IFERROR(VLOOKUP($B499,'V14'!$A$8:$Q$29,15,1),"")</f>
        <v>0.82052969114707797</v>
      </c>
      <c r="Q499">
        <f>IFERROR(VLOOKUP($B499,'V14'!$A$8:$Q$29,16,1),"")</f>
        <v>1.6279014875573137</v>
      </c>
      <c r="R499">
        <f>IFERROR(VLOOKUP($B499,'V14'!$A$8:$Q$29,17,1),"")</f>
        <v>2.4352732839675495</v>
      </c>
      <c r="Z499" s="17"/>
      <c r="AY499" s="17"/>
    </row>
    <row r="500" spans="1:51" x14ac:dyDescent="0.25">
      <c r="A500" s="17"/>
      <c r="B500" s="2">
        <f t="shared" si="10"/>
        <v>45410</v>
      </c>
      <c r="C500">
        <f>IFERROR(VLOOKUP($B500,'V14'!$A$9:$J$1048576,2,1),"")</f>
        <v>17</v>
      </c>
      <c r="D500" s="1">
        <f>IFERROR(VLOOKUP($B500,'V14'!$A$8:$J$29,4,1),"")</f>
        <v>-3.9331758027408288</v>
      </c>
      <c r="E500" s="1">
        <f>IFERROR(VLOOKUP($B500,'V14'!$A$8:$J$29,5,1),"")</f>
        <v>2.3954266578219023</v>
      </c>
      <c r="F500" s="1">
        <f>IFERROR(VLOOKUP($B500,'V14'!$A$8:$J$29,6,1),"")</f>
        <v>8.7240291183846352</v>
      </c>
      <c r="G500" s="1">
        <f>IFERROR(VLOOKUP($B500,'V14'!$A$8:$J$29,7,1),"")</f>
        <v>15.052631578947368</v>
      </c>
      <c r="H500" s="1">
        <f>IFERROR(VLOOKUP($B500,'V14'!$A$8:$J$29,8,1),"")</f>
        <v>21.381234039510101</v>
      </c>
      <c r="I500" s="1">
        <f>IFERROR(VLOOKUP($B500,'V14'!$A$8:$J$29,9,1),"")</f>
        <v>27.709836500072832</v>
      </c>
      <c r="J500" s="1">
        <f>IFERROR(VLOOKUP($B500,'V14'!$A$8:$J$29,10,1),"")</f>
        <v>34.038438960635567</v>
      </c>
      <c r="K500">
        <f>IFERROR(VLOOKUP($B500,'V14'!$A$9:$Q$1048576,3,1),"")</f>
        <v>-1</v>
      </c>
      <c r="L500">
        <f>IFERROR(VLOOKUP($B500,'V14'!$A$8:$Q$29,11,1),"")</f>
        <v>-2.4089574944938654</v>
      </c>
      <c r="M500">
        <f>IFERROR(VLOOKUP($B500,'V14'!$A$8:$Q$29,12,1),"")</f>
        <v>-1.6015856980836296</v>
      </c>
      <c r="N500">
        <f>IFERROR(VLOOKUP($B500,'V14'!$A$8:$Q$29,13,1),"")</f>
        <v>-0.79421390167339367</v>
      </c>
      <c r="O500">
        <f>IFERROR(VLOOKUP($B500,'V14'!$A$8:$Q$29,14,1),"")</f>
        <v>1.3157894736842105E-2</v>
      </c>
      <c r="P500">
        <f>IFERROR(VLOOKUP($B500,'V14'!$A$8:$Q$29,15,1),"")</f>
        <v>0.82052969114707797</v>
      </c>
      <c r="Q500">
        <f>IFERROR(VLOOKUP($B500,'V14'!$A$8:$Q$29,16,1),"")</f>
        <v>1.6279014875573137</v>
      </c>
      <c r="R500">
        <f>IFERROR(VLOOKUP($B500,'V14'!$A$8:$Q$29,17,1),"")</f>
        <v>2.4352732839675495</v>
      </c>
      <c r="Z500" s="17"/>
      <c r="AY500" s="17"/>
    </row>
    <row r="501" spans="1:51" x14ac:dyDescent="0.25">
      <c r="A501" s="17"/>
      <c r="B501" s="2">
        <f t="shared" si="10"/>
        <v>45440</v>
      </c>
      <c r="C501">
        <f>IFERROR(VLOOKUP($B501,'V14'!$A$9:$J$1048576,2,1),"")</f>
        <v>15</v>
      </c>
      <c r="D501" s="1">
        <f>IFERROR(VLOOKUP($B501,'V14'!$A$8:$J$29,4,1),"")</f>
        <v>-3.9331758027408288</v>
      </c>
      <c r="E501" s="1">
        <f>IFERROR(VLOOKUP($B501,'V14'!$A$8:$J$29,5,1),"")</f>
        <v>2.3954266578219023</v>
      </c>
      <c r="F501" s="1">
        <f>IFERROR(VLOOKUP($B501,'V14'!$A$8:$J$29,6,1),"")</f>
        <v>8.7240291183846352</v>
      </c>
      <c r="G501" s="1">
        <f>IFERROR(VLOOKUP($B501,'V14'!$A$8:$J$29,7,1),"")</f>
        <v>15.052631578947368</v>
      </c>
      <c r="H501" s="1">
        <f>IFERROR(VLOOKUP($B501,'V14'!$A$8:$J$29,8,1),"")</f>
        <v>21.381234039510101</v>
      </c>
      <c r="I501" s="1">
        <f>IFERROR(VLOOKUP($B501,'V14'!$A$8:$J$29,9,1),"")</f>
        <v>27.709836500072832</v>
      </c>
      <c r="J501" s="1">
        <f>IFERROR(VLOOKUP($B501,'V14'!$A$8:$J$29,10,1),"")</f>
        <v>34.038438960635567</v>
      </c>
      <c r="K501">
        <f>IFERROR(VLOOKUP($B501,'V14'!$A$9:$Q$1048576,3,1),"")</f>
        <v>-0.5</v>
      </c>
      <c r="L501">
        <f>IFERROR(VLOOKUP($B501,'V14'!$A$8:$Q$29,11,1),"")</f>
        <v>-2.4089574944938654</v>
      </c>
      <c r="M501">
        <f>IFERROR(VLOOKUP($B501,'V14'!$A$8:$Q$29,12,1),"")</f>
        <v>-1.6015856980836296</v>
      </c>
      <c r="N501">
        <f>IFERROR(VLOOKUP($B501,'V14'!$A$8:$Q$29,13,1),"")</f>
        <v>-0.79421390167339367</v>
      </c>
      <c r="O501">
        <f>IFERROR(VLOOKUP($B501,'V14'!$A$8:$Q$29,14,1),"")</f>
        <v>1.3157894736842105E-2</v>
      </c>
      <c r="P501">
        <f>IFERROR(VLOOKUP($B501,'V14'!$A$8:$Q$29,15,1),"")</f>
        <v>0.82052969114707797</v>
      </c>
      <c r="Q501">
        <f>IFERROR(VLOOKUP($B501,'V14'!$A$8:$Q$29,16,1),"")</f>
        <v>1.6279014875573137</v>
      </c>
      <c r="R501">
        <f>IFERROR(VLOOKUP($B501,'V14'!$A$8:$Q$29,17,1),"")</f>
        <v>2.4352732839675495</v>
      </c>
      <c r="Z501" s="17"/>
      <c r="AY501" s="17"/>
    </row>
    <row r="502" spans="1:51" x14ac:dyDescent="0.25">
      <c r="A502" s="17"/>
      <c r="B502" s="2">
        <f t="shared" si="10"/>
        <v>45471</v>
      </c>
      <c r="C502">
        <f>IFERROR(VLOOKUP($B502,'V14'!$A$9:$J$1048576,2,1),"")</f>
        <v>16</v>
      </c>
      <c r="D502" s="1">
        <f>IFERROR(VLOOKUP($B502,'V14'!$A$8:$J$29,4,1),"")</f>
        <v>-3.9331758027408288</v>
      </c>
      <c r="E502" s="1">
        <f>IFERROR(VLOOKUP($B502,'V14'!$A$8:$J$29,5,1),"")</f>
        <v>2.3954266578219023</v>
      </c>
      <c r="F502" s="1">
        <f>IFERROR(VLOOKUP($B502,'V14'!$A$8:$J$29,6,1),"")</f>
        <v>8.7240291183846352</v>
      </c>
      <c r="G502" s="1">
        <f>IFERROR(VLOOKUP($B502,'V14'!$A$8:$J$29,7,1),"")</f>
        <v>15.052631578947368</v>
      </c>
      <c r="H502" s="1">
        <f>IFERROR(VLOOKUP($B502,'V14'!$A$8:$J$29,8,1),"")</f>
        <v>21.381234039510101</v>
      </c>
      <c r="I502" s="1">
        <f>IFERROR(VLOOKUP($B502,'V14'!$A$8:$J$29,9,1),"")</f>
        <v>27.709836500072832</v>
      </c>
      <c r="J502" s="1">
        <f>IFERROR(VLOOKUP($B502,'V14'!$A$8:$J$29,10,1),"")</f>
        <v>34.038438960635567</v>
      </c>
      <c r="K502">
        <f>IFERROR(VLOOKUP($B502,'V14'!$A$9:$Q$1048576,3,1),"")</f>
        <v>0.25</v>
      </c>
      <c r="L502">
        <f>IFERROR(VLOOKUP($B502,'V14'!$A$8:$Q$29,11,1),"")</f>
        <v>-2.4089574944938654</v>
      </c>
      <c r="M502">
        <f>IFERROR(VLOOKUP($B502,'V14'!$A$8:$Q$29,12,1),"")</f>
        <v>-1.6015856980836296</v>
      </c>
      <c r="N502">
        <f>IFERROR(VLOOKUP($B502,'V14'!$A$8:$Q$29,13,1),"")</f>
        <v>-0.79421390167339367</v>
      </c>
      <c r="O502">
        <f>IFERROR(VLOOKUP($B502,'V14'!$A$8:$Q$29,14,1),"")</f>
        <v>1.3157894736842105E-2</v>
      </c>
      <c r="P502">
        <f>IFERROR(VLOOKUP($B502,'V14'!$A$8:$Q$29,15,1),"")</f>
        <v>0.82052969114707797</v>
      </c>
      <c r="Q502">
        <f>IFERROR(VLOOKUP($B502,'V14'!$A$8:$Q$29,16,1),"")</f>
        <v>1.6279014875573137</v>
      </c>
      <c r="R502">
        <f>IFERROR(VLOOKUP($B502,'V14'!$A$8:$Q$29,17,1),"")</f>
        <v>2.4352732839675495</v>
      </c>
      <c r="Z502" s="17"/>
      <c r="AY502" s="17"/>
    </row>
    <row r="503" spans="1:51" x14ac:dyDescent="0.25">
      <c r="A503" s="17"/>
      <c r="B503" s="2">
        <f t="shared" si="10"/>
        <v>45501</v>
      </c>
      <c r="C503">
        <f>IFERROR(VLOOKUP($B503,'V14'!$A$9:$J$1048576,2,1),"")</f>
        <v>15</v>
      </c>
      <c r="D503" s="1">
        <f>IFERROR(VLOOKUP($B503,'V14'!$A$8:$J$29,4,1),"")</f>
        <v>-3.9331758027408288</v>
      </c>
      <c r="E503" s="1">
        <f>IFERROR(VLOOKUP($B503,'V14'!$A$8:$J$29,5,1),"")</f>
        <v>2.3954266578219023</v>
      </c>
      <c r="F503" s="1">
        <f>IFERROR(VLOOKUP($B503,'V14'!$A$8:$J$29,6,1),"")</f>
        <v>8.7240291183846352</v>
      </c>
      <c r="G503" s="1">
        <f>IFERROR(VLOOKUP($B503,'V14'!$A$8:$J$29,7,1),"")</f>
        <v>15.052631578947368</v>
      </c>
      <c r="H503" s="1">
        <f>IFERROR(VLOOKUP($B503,'V14'!$A$8:$J$29,8,1),"")</f>
        <v>21.381234039510101</v>
      </c>
      <c r="I503" s="1">
        <f>IFERROR(VLOOKUP($B503,'V14'!$A$8:$J$29,9,1),"")</f>
        <v>27.709836500072832</v>
      </c>
      <c r="J503" s="1">
        <f>IFERROR(VLOOKUP($B503,'V14'!$A$8:$J$29,10,1),"")</f>
        <v>34.038438960635567</v>
      </c>
      <c r="K503">
        <f>IFERROR(VLOOKUP($B503,'V14'!$A$9:$Q$1048576,3,1),"")</f>
        <v>-0.25</v>
      </c>
      <c r="L503">
        <f>IFERROR(VLOOKUP($B503,'V14'!$A$8:$Q$29,11,1),"")</f>
        <v>-2.4089574944938654</v>
      </c>
      <c r="M503">
        <f>IFERROR(VLOOKUP($B503,'V14'!$A$8:$Q$29,12,1),"")</f>
        <v>-1.6015856980836296</v>
      </c>
      <c r="N503">
        <f>IFERROR(VLOOKUP($B503,'V14'!$A$8:$Q$29,13,1),"")</f>
        <v>-0.79421390167339367</v>
      </c>
      <c r="O503">
        <f>IFERROR(VLOOKUP($B503,'V14'!$A$8:$Q$29,14,1),"")</f>
        <v>1.3157894736842105E-2</v>
      </c>
      <c r="P503">
        <f>IFERROR(VLOOKUP($B503,'V14'!$A$8:$Q$29,15,1),"")</f>
        <v>0.82052969114707797</v>
      </c>
      <c r="Q503">
        <f>IFERROR(VLOOKUP($B503,'V14'!$A$8:$Q$29,16,1),"")</f>
        <v>1.6279014875573137</v>
      </c>
      <c r="R503">
        <f>IFERROR(VLOOKUP($B503,'V14'!$A$8:$Q$29,17,1),"")</f>
        <v>2.4352732839675495</v>
      </c>
      <c r="Z503" s="17"/>
      <c r="AY503" s="17"/>
    </row>
    <row r="504" spans="1:51" x14ac:dyDescent="0.25">
      <c r="A504" s="17"/>
      <c r="B504" s="2">
        <f t="shared" si="10"/>
        <v>45532</v>
      </c>
      <c r="C504">
        <f>IFERROR(VLOOKUP($B504,'V14'!$A$9:$J$1048576,2,1),"")</f>
        <v>15</v>
      </c>
      <c r="D504" s="1">
        <f>IFERROR(VLOOKUP($B504,'V14'!$A$8:$J$29,4,1),"")</f>
        <v>-3.9331758027408288</v>
      </c>
      <c r="E504" s="1">
        <f>IFERROR(VLOOKUP($B504,'V14'!$A$8:$J$29,5,1),"")</f>
        <v>2.3954266578219023</v>
      </c>
      <c r="F504" s="1">
        <f>IFERROR(VLOOKUP($B504,'V14'!$A$8:$J$29,6,1),"")</f>
        <v>8.7240291183846352</v>
      </c>
      <c r="G504" s="1">
        <f>IFERROR(VLOOKUP($B504,'V14'!$A$8:$J$29,7,1),"")</f>
        <v>15.052631578947368</v>
      </c>
      <c r="H504" s="1">
        <f>IFERROR(VLOOKUP($B504,'V14'!$A$8:$J$29,8,1),"")</f>
        <v>21.381234039510101</v>
      </c>
      <c r="I504" s="1">
        <f>IFERROR(VLOOKUP($B504,'V14'!$A$8:$J$29,9,1),"")</f>
        <v>27.709836500072832</v>
      </c>
      <c r="J504" s="1">
        <f>IFERROR(VLOOKUP($B504,'V14'!$A$8:$J$29,10,1),"")</f>
        <v>34.038438960635567</v>
      </c>
      <c r="K504">
        <f>IFERROR(VLOOKUP($B504,'V14'!$A$9:$Q$1048576,3,1),"")</f>
        <v>0</v>
      </c>
      <c r="L504">
        <f>IFERROR(VLOOKUP($B504,'V14'!$A$8:$Q$29,11,1),"")</f>
        <v>-2.4089574944938654</v>
      </c>
      <c r="M504">
        <f>IFERROR(VLOOKUP($B504,'V14'!$A$8:$Q$29,12,1),"")</f>
        <v>-1.6015856980836296</v>
      </c>
      <c r="N504">
        <f>IFERROR(VLOOKUP($B504,'V14'!$A$8:$Q$29,13,1),"")</f>
        <v>-0.79421390167339367</v>
      </c>
      <c r="O504">
        <f>IFERROR(VLOOKUP($B504,'V14'!$A$8:$Q$29,14,1),"")</f>
        <v>1.3157894736842105E-2</v>
      </c>
      <c r="P504">
        <f>IFERROR(VLOOKUP($B504,'V14'!$A$8:$Q$29,15,1),"")</f>
        <v>0.82052969114707797</v>
      </c>
      <c r="Q504">
        <f>IFERROR(VLOOKUP($B504,'V14'!$A$8:$Q$29,16,1),"")</f>
        <v>1.6279014875573137</v>
      </c>
      <c r="R504">
        <f>IFERROR(VLOOKUP($B504,'V14'!$A$8:$Q$29,17,1),"")</f>
        <v>2.4352732839675495</v>
      </c>
      <c r="Z504" s="17"/>
      <c r="AY504" s="17"/>
    </row>
    <row r="505" spans="1:51" x14ac:dyDescent="0.25">
      <c r="A505" s="17"/>
      <c r="B505" s="2">
        <f t="shared" si="10"/>
        <v>45563</v>
      </c>
      <c r="C505">
        <f>IFERROR(VLOOKUP($B505,'V14'!$A$9:$J$1048576,2,1),"")</f>
        <v>12</v>
      </c>
      <c r="D505" s="1">
        <f>IFERROR(VLOOKUP($B505,'V14'!$A$8:$J$29,4,1),"")</f>
        <v>-3.9331758027408288</v>
      </c>
      <c r="E505" s="1">
        <f>IFERROR(VLOOKUP($B505,'V14'!$A$8:$J$29,5,1),"")</f>
        <v>2.3954266578219023</v>
      </c>
      <c r="F505" s="1">
        <f>IFERROR(VLOOKUP($B505,'V14'!$A$8:$J$29,6,1),"")</f>
        <v>8.7240291183846352</v>
      </c>
      <c r="G505" s="1">
        <f>IFERROR(VLOOKUP($B505,'V14'!$A$8:$J$29,7,1),"")</f>
        <v>15.052631578947368</v>
      </c>
      <c r="H505" s="1">
        <f>IFERROR(VLOOKUP($B505,'V14'!$A$8:$J$29,8,1),"")</f>
        <v>21.381234039510101</v>
      </c>
      <c r="I505" s="1">
        <f>IFERROR(VLOOKUP($B505,'V14'!$A$8:$J$29,9,1),"")</f>
        <v>27.709836500072832</v>
      </c>
      <c r="J505" s="1">
        <f>IFERROR(VLOOKUP($B505,'V14'!$A$8:$J$29,10,1),"")</f>
        <v>34.038438960635567</v>
      </c>
      <c r="K505">
        <f>IFERROR(VLOOKUP($B505,'V14'!$A$9:$Q$1048576,3,1),"")</f>
        <v>-0.75</v>
      </c>
      <c r="L505">
        <f>IFERROR(VLOOKUP($B505,'V14'!$A$8:$Q$29,11,1),"")</f>
        <v>-2.4089574944938654</v>
      </c>
      <c r="M505">
        <f>IFERROR(VLOOKUP($B505,'V14'!$A$8:$Q$29,12,1),"")</f>
        <v>-1.6015856980836296</v>
      </c>
      <c r="N505">
        <f>IFERROR(VLOOKUP($B505,'V14'!$A$8:$Q$29,13,1),"")</f>
        <v>-0.79421390167339367</v>
      </c>
      <c r="O505">
        <f>IFERROR(VLOOKUP($B505,'V14'!$A$8:$Q$29,14,1),"")</f>
        <v>1.3157894736842105E-2</v>
      </c>
      <c r="P505">
        <f>IFERROR(VLOOKUP($B505,'V14'!$A$8:$Q$29,15,1),"")</f>
        <v>0.82052969114707797</v>
      </c>
      <c r="Q505">
        <f>IFERROR(VLOOKUP($B505,'V14'!$A$8:$Q$29,16,1),"")</f>
        <v>1.6279014875573137</v>
      </c>
      <c r="R505">
        <f>IFERROR(VLOOKUP($B505,'V14'!$A$8:$Q$29,17,1),"")</f>
        <v>2.4352732839675495</v>
      </c>
      <c r="Z505" s="17"/>
      <c r="AY505" s="17"/>
    </row>
    <row r="506" spans="1:51" x14ac:dyDescent="0.25">
      <c r="A506" s="17"/>
      <c r="B506" s="2">
        <f t="shared" si="10"/>
        <v>45593</v>
      </c>
      <c r="C506">
        <f>IFERROR(VLOOKUP($B506,'V14'!$A$9:$J$1048576,2,1),"")</f>
        <v>10</v>
      </c>
      <c r="D506" s="1">
        <f>IFERROR(VLOOKUP($B506,'V14'!$A$8:$J$29,4,1),"")</f>
        <v>-3.9331758027408288</v>
      </c>
      <c r="E506" s="1">
        <f>IFERROR(VLOOKUP($B506,'V14'!$A$8:$J$29,5,1),"")</f>
        <v>2.3954266578219023</v>
      </c>
      <c r="F506" s="1">
        <f>IFERROR(VLOOKUP($B506,'V14'!$A$8:$J$29,6,1),"")</f>
        <v>8.7240291183846352</v>
      </c>
      <c r="G506" s="1">
        <f>IFERROR(VLOOKUP($B506,'V14'!$A$8:$J$29,7,1),"")</f>
        <v>15.052631578947368</v>
      </c>
      <c r="H506" s="1">
        <f>IFERROR(VLOOKUP($B506,'V14'!$A$8:$J$29,8,1),"")</f>
        <v>21.381234039510101</v>
      </c>
      <c r="I506" s="1">
        <f>IFERROR(VLOOKUP($B506,'V14'!$A$8:$J$29,9,1),"")</f>
        <v>27.709836500072832</v>
      </c>
      <c r="J506" s="1">
        <f>IFERROR(VLOOKUP($B506,'V14'!$A$8:$J$29,10,1),"")</f>
        <v>34.038438960635567</v>
      </c>
      <c r="K506">
        <f>IFERROR(VLOOKUP($B506,'V14'!$A$9:$Q$1048576,3,1),"")</f>
        <v>-0.5</v>
      </c>
      <c r="L506">
        <f>IFERROR(VLOOKUP($B506,'V14'!$A$8:$Q$29,11,1),"")</f>
        <v>-2.4089574944938654</v>
      </c>
      <c r="M506">
        <f>IFERROR(VLOOKUP($B506,'V14'!$A$8:$Q$29,12,1),"")</f>
        <v>-1.6015856980836296</v>
      </c>
      <c r="N506">
        <f>IFERROR(VLOOKUP($B506,'V14'!$A$8:$Q$29,13,1),"")</f>
        <v>-0.79421390167339367</v>
      </c>
      <c r="O506">
        <f>IFERROR(VLOOKUP($B506,'V14'!$A$8:$Q$29,14,1),"")</f>
        <v>1.3157894736842105E-2</v>
      </c>
      <c r="P506">
        <f>IFERROR(VLOOKUP($B506,'V14'!$A$8:$Q$29,15,1),"")</f>
        <v>0.82052969114707797</v>
      </c>
      <c r="Q506">
        <f>IFERROR(VLOOKUP($B506,'V14'!$A$8:$Q$29,16,1),"")</f>
        <v>1.6279014875573137</v>
      </c>
      <c r="R506">
        <f>IFERROR(VLOOKUP($B506,'V14'!$A$8:$Q$29,17,1),"")</f>
        <v>2.4352732839675495</v>
      </c>
      <c r="Z506" s="17"/>
      <c r="AY506" s="17"/>
    </row>
    <row r="507" spans="1:51" x14ac:dyDescent="0.25">
      <c r="A507" s="17"/>
      <c r="B507" s="2">
        <f t="shared" si="10"/>
        <v>45624</v>
      </c>
      <c r="C507">
        <f>IFERROR(VLOOKUP($B507,'V14'!$A$9:$J$1048576,2,1),"")</f>
        <v>8</v>
      </c>
      <c r="D507" s="1">
        <f>IFERROR(VLOOKUP($B507,'V14'!$A$8:$J$29,4,1),"")</f>
        <v>-3.9331758027408288</v>
      </c>
      <c r="E507" s="1">
        <f>IFERROR(VLOOKUP($B507,'V14'!$A$8:$J$29,5,1),"")</f>
        <v>2.3954266578219023</v>
      </c>
      <c r="F507" s="1">
        <f>IFERROR(VLOOKUP($B507,'V14'!$A$8:$J$29,6,1),"")</f>
        <v>8.7240291183846352</v>
      </c>
      <c r="G507" s="1">
        <f>IFERROR(VLOOKUP($B507,'V14'!$A$8:$J$29,7,1),"")</f>
        <v>15.052631578947368</v>
      </c>
      <c r="H507" s="1">
        <f>IFERROR(VLOOKUP($B507,'V14'!$A$8:$J$29,8,1),"")</f>
        <v>21.381234039510101</v>
      </c>
      <c r="I507" s="1">
        <f>IFERROR(VLOOKUP($B507,'V14'!$A$8:$J$29,9,1),"")</f>
        <v>27.709836500072832</v>
      </c>
      <c r="J507" s="1">
        <f>IFERROR(VLOOKUP($B507,'V14'!$A$8:$J$29,10,1),"")</f>
        <v>34.038438960635567</v>
      </c>
      <c r="K507">
        <f>IFERROR(VLOOKUP($B507,'V14'!$A$9:$Q$1048576,3,1),"")</f>
        <v>-0.5</v>
      </c>
      <c r="L507">
        <f>IFERROR(VLOOKUP($B507,'V14'!$A$8:$Q$29,11,1),"")</f>
        <v>-2.4089574944938654</v>
      </c>
      <c r="M507">
        <f>IFERROR(VLOOKUP($B507,'V14'!$A$8:$Q$29,12,1),"")</f>
        <v>-1.6015856980836296</v>
      </c>
      <c r="N507">
        <f>IFERROR(VLOOKUP($B507,'V14'!$A$8:$Q$29,13,1),"")</f>
        <v>-0.79421390167339367</v>
      </c>
      <c r="O507">
        <f>IFERROR(VLOOKUP($B507,'V14'!$A$8:$Q$29,14,1),"")</f>
        <v>1.3157894736842105E-2</v>
      </c>
      <c r="P507">
        <f>IFERROR(VLOOKUP($B507,'V14'!$A$8:$Q$29,15,1),"")</f>
        <v>0.82052969114707797</v>
      </c>
      <c r="Q507">
        <f>IFERROR(VLOOKUP($B507,'V14'!$A$8:$Q$29,16,1),"")</f>
        <v>1.6279014875573137</v>
      </c>
      <c r="R507">
        <f>IFERROR(VLOOKUP($B507,'V14'!$A$8:$Q$29,17,1),"")</f>
        <v>2.4352732839675495</v>
      </c>
      <c r="Z507" s="17"/>
      <c r="AY507" s="17"/>
    </row>
    <row r="508" spans="1:51" x14ac:dyDescent="0.25">
      <c r="A508" s="17"/>
      <c r="B508" s="2">
        <f t="shared" si="10"/>
        <v>45654</v>
      </c>
      <c r="C508">
        <f>IFERROR(VLOOKUP($B508,'V14'!$A$9:$J$1048576,2,1),"")</f>
        <v>5</v>
      </c>
      <c r="D508" s="1">
        <f>IFERROR(VLOOKUP($B508,'V14'!$A$8:$J$29,4,1),"")</f>
        <v>-3.9331758027408288</v>
      </c>
      <c r="E508" s="1">
        <f>IFERROR(VLOOKUP($B508,'V14'!$A$8:$J$29,5,1),"")</f>
        <v>2.3954266578219023</v>
      </c>
      <c r="F508" s="1">
        <f>IFERROR(VLOOKUP($B508,'V14'!$A$8:$J$29,6,1),"")</f>
        <v>8.7240291183846352</v>
      </c>
      <c r="G508" s="1">
        <f>IFERROR(VLOOKUP($B508,'V14'!$A$8:$J$29,7,1),"")</f>
        <v>15.052631578947368</v>
      </c>
      <c r="H508" s="1">
        <f>IFERROR(VLOOKUP($B508,'V14'!$A$8:$J$29,8,1),"")</f>
        <v>21.381234039510101</v>
      </c>
      <c r="I508" s="1">
        <f>IFERROR(VLOOKUP($B508,'V14'!$A$8:$J$29,9,1),"")</f>
        <v>27.709836500072832</v>
      </c>
      <c r="J508" s="1">
        <f>IFERROR(VLOOKUP($B508,'V14'!$A$8:$J$29,10,1),"")</f>
        <v>34.038438960635567</v>
      </c>
      <c r="K508">
        <f>IFERROR(VLOOKUP($B508,'V14'!$A$9:$Q$1048576,3,1),"")</f>
        <v>-0.75</v>
      </c>
      <c r="L508">
        <f>IFERROR(VLOOKUP($B508,'V14'!$A$8:$Q$29,11,1),"")</f>
        <v>-2.4089574944938654</v>
      </c>
      <c r="M508">
        <f>IFERROR(VLOOKUP($B508,'V14'!$A$8:$Q$29,12,1),"")</f>
        <v>-1.6015856980836296</v>
      </c>
      <c r="N508">
        <f>IFERROR(VLOOKUP($B508,'V14'!$A$8:$Q$29,13,1),"")</f>
        <v>-0.79421390167339367</v>
      </c>
      <c r="O508">
        <f>IFERROR(VLOOKUP($B508,'V14'!$A$8:$Q$29,14,1),"")</f>
        <v>1.3157894736842105E-2</v>
      </c>
      <c r="P508">
        <f>IFERROR(VLOOKUP($B508,'V14'!$A$8:$Q$29,15,1),"")</f>
        <v>0.82052969114707797</v>
      </c>
      <c r="Q508">
        <f>IFERROR(VLOOKUP($B508,'V14'!$A$8:$Q$29,16,1),"")</f>
        <v>1.6279014875573137</v>
      </c>
      <c r="R508">
        <f>IFERROR(VLOOKUP($B508,'V14'!$A$8:$Q$29,17,1),"")</f>
        <v>2.4352732839675495</v>
      </c>
      <c r="Z508" s="17"/>
      <c r="AY508" s="17"/>
    </row>
    <row r="509" spans="1:51" x14ac:dyDescent="0.25">
      <c r="A509" s="17"/>
      <c r="B509" s="2">
        <f t="shared" si="10"/>
        <v>45685</v>
      </c>
      <c r="C509">
        <f>IFERROR(VLOOKUP($B509,'V14'!$A$9:$J$1048576,2,1),"")</f>
        <v>11</v>
      </c>
      <c r="D509" s="1">
        <f>IFERROR(VLOOKUP($B509,'V14'!$A$8:$J$29,4,1),"")</f>
        <v>-3.9331758027408288</v>
      </c>
      <c r="E509" s="1">
        <f>IFERROR(VLOOKUP($B509,'V14'!$A$8:$J$29,5,1),"")</f>
        <v>2.3954266578219023</v>
      </c>
      <c r="F509" s="1">
        <f>IFERROR(VLOOKUP($B509,'V14'!$A$8:$J$29,6,1),"")</f>
        <v>8.7240291183846352</v>
      </c>
      <c r="G509" s="1">
        <f>IFERROR(VLOOKUP($B509,'V14'!$A$8:$J$29,7,1),"")</f>
        <v>15.052631578947368</v>
      </c>
      <c r="H509" s="1">
        <f>IFERROR(VLOOKUP($B509,'V14'!$A$8:$J$29,8,1),"")</f>
        <v>21.381234039510101</v>
      </c>
      <c r="I509" s="1">
        <f>IFERROR(VLOOKUP($B509,'V14'!$A$8:$J$29,9,1),"")</f>
        <v>27.709836500072832</v>
      </c>
      <c r="J509" s="1">
        <f>IFERROR(VLOOKUP($B509,'V14'!$A$8:$J$29,10,1),"")</f>
        <v>34.038438960635567</v>
      </c>
      <c r="K509">
        <f>IFERROR(VLOOKUP($B509,'V14'!$A$9:$Q$1048576,3,1),"")</f>
        <v>1.5</v>
      </c>
      <c r="L509">
        <f>IFERROR(VLOOKUP($B509,'V14'!$A$8:$Q$29,11,1),"")</f>
        <v>-2.4089574944938654</v>
      </c>
      <c r="M509">
        <f>IFERROR(VLOOKUP($B509,'V14'!$A$8:$Q$29,12,1),"")</f>
        <v>-1.6015856980836296</v>
      </c>
      <c r="N509">
        <f>IFERROR(VLOOKUP($B509,'V14'!$A$8:$Q$29,13,1),"")</f>
        <v>-0.79421390167339367</v>
      </c>
      <c r="O509">
        <f>IFERROR(VLOOKUP($B509,'V14'!$A$8:$Q$29,14,1),"")</f>
        <v>1.3157894736842105E-2</v>
      </c>
      <c r="P509">
        <f>IFERROR(VLOOKUP($B509,'V14'!$A$8:$Q$29,15,1),"")</f>
        <v>0.82052969114707797</v>
      </c>
      <c r="Q509">
        <f>IFERROR(VLOOKUP($B509,'V14'!$A$8:$Q$29,16,1),"")</f>
        <v>1.6279014875573137</v>
      </c>
      <c r="R509">
        <f>IFERROR(VLOOKUP($B509,'V14'!$A$8:$Q$29,17,1),"")</f>
        <v>2.4352732839675495</v>
      </c>
      <c r="Z509" s="17"/>
      <c r="AY509" s="17"/>
    </row>
    <row r="510" spans="1:51" x14ac:dyDescent="0.25">
      <c r="A510" s="17"/>
      <c r="B510" s="2">
        <f t="shared" si="10"/>
        <v>45716</v>
      </c>
      <c r="C510">
        <f>IFERROR(VLOOKUP($B510,'V14'!$A$9:$J$1048576,2,1),"")</f>
        <v>14</v>
      </c>
      <c r="D510" s="1">
        <f>IFERROR(VLOOKUP($B510,'V14'!$A$8:$J$29,4,1),"")</f>
        <v>-3.9331758027408288</v>
      </c>
      <c r="E510" s="1">
        <f>IFERROR(VLOOKUP($B510,'V14'!$A$8:$J$29,5,1),"")</f>
        <v>2.3954266578219023</v>
      </c>
      <c r="F510" s="1">
        <f>IFERROR(VLOOKUP($B510,'V14'!$A$8:$J$29,6,1),"")</f>
        <v>8.7240291183846352</v>
      </c>
      <c r="G510" s="1">
        <f>IFERROR(VLOOKUP($B510,'V14'!$A$8:$J$29,7,1),"")</f>
        <v>15.052631578947368</v>
      </c>
      <c r="H510" s="1">
        <f>IFERROR(VLOOKUP($B510,'V14'!$A$8:$J$29,8,1),"")</f>
        <v>21.381234039510101</v>
      </c>
      <c r="I510" s="1">
        <f>IFERROR(VLOOKUP($B510,'V14'!$A$8:$J$29,9,1),"")</f>
        <v>27.709836500072832</v>
      </c>
      <c r="J510" s="1">
        <f>IFERROR(VLOOKUP($B510,'V14'!$A$8:$J$29,10,1),"")</f>
        <v>34.038438960635567</v>
      </c>
      <c r="K510">
        <f>IFERROR(VLOOKUP($B510,'V14'!$A$9:$Q$1048576,3,1),"")</f>
        <v>0.75</v>
      </c>
      <c r="L510">
        <f>IFERROR(VLOOKUP($B510,'V14'!$A$8:$Q$29,11,1),"")</f>
        <v>-2.4089574944938654</v>
      </c>
      <c r="M510">
        <f>IFERROR(VLOOKUP($B510,'V14'!$A$8:$Q$29,12,1),"")</f>
        <v>-1.6015856980836296</v>
      </c>
      <c r="N510">
        <f>IFERROR(VLOOKUP($B510,'V14'!$A$8:$Q$29,13,1),"")</f>
        <v>-0.79421390167339367</v>
      </c>
      <c r="O510">
        <f>IFERROR(VLOOKUP($B510,'V14'!$A$8:$Q$29,14,1),"")</f>
        <v>1.3157894736842105E-2</v>
      </c>
      <c r="P510">
        <f>IFERROR(VLOOKUP($B510,'V14'!$A$8:$Q$29,15,1),"")</f>
        <v>0.82052969114707797</v>
      </c>
      <c r="Q510">
        <f>IFERROR(VLOOKUP($B510,'V14'!$A$8:$Q$29,16,1),"")</f>
        <v>1.6279014875573137</v>
      </c>
      <c r="R510">
        <f>IFERROR(VLOOKUP($B510,'V14'!$A$8:$Q$29,17,1),"")</f>
        <v>2.4352732839675495</v>
      </c>
      <c r="Z510" s="17"/>
      <c r="AY510" s="17"/>
    </row>
    <row r="511" spans="1:51" x14ac:dyDescent="0.25">
      <c r="A511" s="17"/>
      <c r="B511" s="2">
        <f t="shared" si="10"/>
        <v>45746</v>
      </c>
      <c r="C511">
        <f>IFERROR(VLOOKUP($B511,'V14'!$A$9:$J$1048576,2,1),"")</f>
        <v>15</v>
      </c>
      <c r="D511" s="1">
        <f>IFERROR(VLOOKUP($B511,'V14'!$A$8:$J$29,4,1),"")</f>
        <v>-3.9331758027408288</v>
      </c>
      <c r="E511" s="1">
        <f>IFERROR(VLOOKUP($B511,'V14'!$A$8:$J$29,5,1),"")</f>
        <v>2.3954266578219023</v>
      </c>
      <c r="F511" s="1">
        <f>IFERROR(VLOOKUP($B511,'V14'!$A$8:$J$29,6,1),"")</f>
        <v>8.7240291183846352</v>
      </c>
      <c r="G511" s="1">
        <f>IFERROR(VLOOKUP($B511,'V14'!$A$8:$J$29,7,1),"")</f>
        <v>15.052631578947368</v>
      </c>
      <c r="H511" s="1">
        <f>IFERROR(VLOOKUP($B511,'V14'!$A$8:$J$29,8,1),"")</f>
        <v>21.381234039510101</v>
      </c>
      <c r="I511" s="1">
        <f>IFERROR(VLOOKUP($B511,'V14'!$A$8:$J$29,9,1),"")</f>
        <v>27.709836500072832</v>
      </c>
      <c r="J511" s="1">
        <f>IFERROR(VLOOKUP($B511,'V14'!$A$8:$J$29,10,1),"")</f>
        <v>34.038438960635567</v>
      </c>
      <c r="K511">
        <f>IFERROR(VLOOKUP($B511,'V14'!$A$9:$Q$1048576,3,1),"")</f>
        <v>0.25</v>
      </c>
      <c r="L511">
        <f>IFERROR(VLOOKUP($B511,'V14'!$A$8:$Q$29,11,1),"")</f>
        <v>-2.4089574944938654</v>
      </c>
      <c r="M511">
        <f>IFERROR(VLOOKUP($B511,'V14'!$A$8:$Q$29,12,1),"")</f>
        <v>-1.6015856980836296</v>
      </c>
      <c r="N511">
        <f>IFERROR(VLOOKUP($B511,'V14'!$A$8:$Q$29,13,1),"")</f>
        <v>-0.79421390167339367</v>
      </c>
      <c r="O511">
        <f>IFERROR(VLOOKUP($B511,'V14'!$A$8:$Q$29,14,1),"")</f>
        <v>1.3157894736842105E-2</v>
      </c>
      <c r="P511">
        <f>IFERROR(VLOOKUP($B511,'V14'!$A$8:$Q$29,15,1),"")</f>
        <v>0.82052969114707797</v>
      </c>
      <c r="Q511">
        <f>IFERROR(VLOOKUP($B511,'V14'!$A$8:$Q$29,16,1),"")</f>
        <v>1.6279014875573137</v>
      </c>
      <c r="R511">
        <f>IFERROR(VLOOKUP($B511,'V14'!$A$8:$Q$29,17,1),"")</f>
        <v>2.4352732839675495</v>
      </c>
      <c r="Z511" s="17"/>
      <c r="AY511" s="17"/>
    </row>
    <row r="512" spans="1:51" x14ac:dyDescent="0.25">
      <c r="A512" s="17"/>
      <c r="B512" s="2">
        <f t="shared" si="10"/>
        <v>45777</v>
      </c>
      <c r="C512">
        <f>IFERROR(VLOOKUP($B512,'V14'!$A$9:$J$1048576,2,1),"")</f>
        <v>18</v>
      </c>
      <c r="D512" s="1">
        <f>IFERROR(VLOOKUP($B512,'V14'!$A$8:$J$29,4,1),"")</f>
        <v>-3.9331758027408288</v>
      </c>
      <c r="E512" s="1">
        <f>IFERROR(VLOOKUP($B512,'V14'!$A$8:$J$29,5,1),"")</f>
        <v>2.3954266578219023</v>
      </c>
      <c r="F512" s="1">
        <f>IFERROR(VLOOKUP($B512,'V14'!$A$8:$J$29,6,1),"")</f>
        <v>8.7240291183846352</v>
      </c>
      <c r="G512" s="1">
        <f>IFERROR(VLOOKUP($B512,'V14'!$A$8:$J$29,7,1),"")</f>
        <v>15.052631578947368</v>
      </c>
      <c r="H512" s="1">
        <f>IFERROR(VLOOKUP($B512,'V14'!$A$8:$J$29,8,1),"")</f>
        <v>21.381234039510101</v>
      </c>
      <c r="I512" s="1">
        <f>IFERROR(VLOOKUP($B512,'V14'!$A$8:$J$29,9,1),"")</f>
        <v>27.709836500072832</v>
      </c>
      <c r="J512" s="1">
        <f>IFERROR(VLOOKUP($B512,'V14'!$A$8:$J$29,10,1),"")</f>
        <v>34.038438960635567</v>
      </c>
      <c r="K512">
        <f>IFERROR(VLOOKUP($B512,'V14'!$A$9:$Q$1048576,3,1),"")</f>
        <v>0.75</v>
      </c>
      <c r="L512">
        <f>IFERROR(VLOOKUP($B512,'V14'!$A$8:$Q$29,11,1),"")</f>
        <v>-2.4089574944938654</v>
      </c>
      <c r="M512">
        <f>IFERROR(VLOOKUP($B512,'V14'!$A$8:$Q$29,12,1),"")</f>
        <v>-1.6015856980836296</v>
      </c>
      <c r="N512">
        <f>IFERROR(VLOOKUP($B512,'V14'!$A$8:$Q$29,13,1),"")</f>
        <v>-0.79421390167339367</v>
      </c>
      <c r="O512">
        <f>IFERROR(VLOOKUP($B512,'V14'!$A$8:$Q$29,14,1),"")</f>
        <v>1.3157894736842105E-2</v>
      </c>
      <c r="P512">
        <f>IFERROR(VLOOKUP($B512,'V14'!$A$8:$Q$29,15,1),"")</f>
        <v>0.82052969114707797</v>
      </c>
      <c r="Q512">
        <f>IFERROR(VLOOKUP($B512,'V14'!$A$8:$Q$29,16,1),"")</f>
        <v>1.6279014875573137</v>
      </c>
      <c r="R512">
        <f>IFERROR(VLOOKUP($B512,'V14'!$A$8:$Q$29,17,1),"")</f>
        <v>2.4352732839675495</v>
      </c>
      <c r="Z512" s="17"/>
      <c r="AY512" s="17"/>
    </row>
    <row r="513" spans="1:51" x14ac:dyDescent="0.25">
      <c r="A513" s="17"/>
      <c r="B513" s="2">
        <f t="shared" si="10"/>
        <v>45807</v>
      </c>
      <c r="C513">
        <f>IFERROR(VLOOKUP($B513,'V14'!$A$9:$J$1048576,2,1),"")</f>
        <v>12</v>
      </c>
      <c r="D513" s="1">
        <f>IFERROR(VLOOKUP($B513,'V14'!$A$8:$J$29,4,1),"")</f>
        <v>-3.9331758027408288</v>
      </c>
      <c r="E513" s="1">
        <f>IFERROR(VLOOKUP($B513,'V14'!$A$8:$J$29,5,1),"")</f>
        <v>2.3954266578219023</v>
      </c>
      <c r="F513" s="1">
        <f>IFERROR(VLOOKUP($B513,'V14'!$A$8:$J$29,6,1),"")</f>
        <v>8.7240291183846352</v>
      </c>
      <c r="G513" s="1">
        <f>IFERROR(VLOOKUP($B513,'V14'!$A$8:$J$29,7,1),"")</f>
        <v>15.052631578947368</v>
      </c>
      <c r="H513" s="1">
        <f>IFERROR(VLOOKUP($B513,'V14'!$A$8:$J$29,8,1),"")</f>
        <v>21.381234039510101</v>
      </c>
      <c r="I513" s="1">
        <f>IFERROR(VLOOKUP($B513,'V14'!$A$8:$J$29,9,1),"")</f>
        <v>27.709836500072832</v>
      </c>
      <c r="J513" s="1">
        <f>IFERROR(VLOOKUP($B513,'V14'!$A$8:$J$29,10,1),"")</f>
        <v>34.038438960635567</v>
      </c>
      <c r="K513">
        <f>IFERROR(VLOOKUP($B513,'V14'!$A$9:$Q$1048576,3,1),"")</f>
        <v>-1.5</v>
      </c>
      <c r="L513">
        <f>IFERROR(VLOOKUP($B513,'V14'!$A$8:$Q$29,11,1),"")</f>
        <v>-2.4089574944938654</v>
      </c>
      <c r="M513">
        <f>IFERROR(VLOOKUP($B513,'V14'!$A$8:$Q$29,12,1),"")</f>
        <v>-1.6015856980836296</v>
      </c>
      <c r="N513">
        <f>IFERROR(VLOOKUP($B513,'V14'!$A$8:$Q$29,13,1),"")</f>
        <v>-0.79421390167339367</v>
      </c>
      <c r="O513">
        <f>IFERROR(VLOOKUP($B513,'V14'!$A$8:$Q$29,14,1),"")</f>
        <v>1.3157894736842105E-2</v>
      </c>
      <c r="P513">
        <f>IFERROR(VLOOKUP($B513,'V14'!$A$8:$Q$29,15,1),"")</f>
        <v>0.82052969114707797</v>
      </c>
      <c r="Q513">
        <f>IFERROR(VLOOKUP($B513,'V14'!$A$8:$Q$29,16,1),"")</f>
        <v>1.6279014875573137</v>
      </c>
      <c r="R513">
        <f>IFERROR(VLOOKUP($B513,'V14'!$A$8:$Q$29,17,1),"")</f>
        <v>2.4352732839675495</v>
      </c>
      <c r="Z513" s="17"/>
      <c r="AY513" s="17"/>
    </row>
    <row r="514" spans="1:51" x14ac:dyDescent="0.25">
      <c r="A514" s="17"/>
      <c r="B514" s="2">
        <f t="shared" si="10"/>
        <v>45838</v>
      </c>
      <c r="C514">
        <f>IFERROR(VLOOKUP($B514,'V14'!$A$9:$J$1048576,2,1),"")</f>
        <v>9</v>
      </c>
      <c r="D514" s="1">
        <f>IFERROR(VLOOKUP($B514,'V14'!$A$8:$J$29,4,1),"")</f>
        <v>-3.9331758027408288</v>
      </c>
      <c r="E514" s="1">
        <f>IFERROR(VLOOKUP($B514,'V14'!$A$8:$J$29,5,1),"")</f>
        <v>2.3954266578219023</v>
      </c>
      <c r="F514" s="1">
        <f>IFERROR(VLOOKUP($B514,'V14'!$A$8:$J$29,6,1),"")</f>
        <v>8.7240291183846352</v>
      </c>
      <c r="G514" s="1">
        <f>IFERROR(VLOOKUP($B514,'V14'!$A$8:$J$29,7,1),"")</f>
        <v>15.052631578947368</v>
      </c>
      <c r="H514" s="1">
        <f>IFERROR(VLOOKUP($B514,'V14'!$A$8:$J$29,8,1),"")</f>
        <v>21.381234039510101</v>
      </c>
      <c r="I514" s="1">
        <f>IFERROR(VLOOKUP($B514,'V14'!$A$8:$J$29,9,1),"")</f>
        <v>27.709836500072832</v>
      </c>
      <c r="J514" s="1">
        <f>IFERROR(VLOOKUP($B514,'V14'!$A$8:$J$29,10,1),"")</f>
        <v>34.038438960635567</v>
      </c>
      <c r="K514">
        <f>IFERROR(VLOOKUP($B514,'V14'!$A$9:$Q$1048576,3,1),"")</f>
        <v>-0.75</v>
      </c>
      <c r="L514">
        <f>IFERROR(VLOOKUP($B514,'V14'!$A$8:$Q$29,11,1),"")</f>
        <v>-2.4089574944938654</v>
      </c>
      <c r="M514">
        <f>IFERROR(VLOOKUP($B514,'V14'!$A$8:$Q$29,12,1),"")</f>
        <v>-1.6015856980836296</v>
      </c>
      <c r="N514">
        <f>IFERROR(VLOOKUP($B514,'V14'!$A$8:$Q$29,13,1),"")</f>
        <v>-0.79421390167339367</v>
      </c>
      <c r="O514">
        <f>IFERROR(VLOOKUP($B514,'V14'!$A$8:$Q$29,14,1),"")</f>
        <v>1.3157894736842105E-2</v>
      </c>
      <c r="P514">
        <f>IFERROR(VLOOKUP($B514,'V14'!$A$8:$Q$29,15,1),"")</f>
        <v>0.82052969114707797</v>
      </c>
      <c r="Q514">
        <f>IFERROR(VLOOKUP($B514,'V14'!$A$8:$Q$29,16,1),"")</f>
        <v>1.6279014875573137</v>
      </c>
      <c r="R514">
        <f>IFERROR(VLOOKUP($B514,'V14'!$A$8:$Q$29,17,1),"")</f>
        <v>2.4352732839675495</v>
      </c>
      <c r="Z514" s="17"/>
      <c r="AY514" s="17"/>
    </row>
    <row r="515" spans="1:51" x14ac:dyDescent="0.25">
      <c r="A515" s="17"/>
      <c r="B515" s="2">
        <f t="shared" si="10"/>
        <v>45868</v>
      </c>
      <c r="C515">
        <f>IFERROR(VLOOKUP($B515,'V14'!$A$9:$J$1048576,2,1),"")</f>
        <v>9</v>
      </c>
      <c r="D515" s="1">
        <f>IFERROR(VLOOKUP($B515,'V14'!$A$8:$J$29,4,1),"")</f>
        <v>-3.9331758027408288</v>
      </c>
      <c r="E515" s="1">
        <f>IFERROR(VLOOKUP($B515,'V14'!$A$8:$J$29,5,1),"")</f>
        <v>2.3954266578219023</v>
      </c>
      <c r="F515" s="1">
        <f>IFERROR(VLOOKUP($B515,'V14'!$A$8:$J$29,6,1),"")</f>
        <v>8.7240291183846352</v>
      </c>
      <c r="G515" s="1">
        <f>IFERROR(VLOOKUP($B515,'V14'!$A$8:$J$29,7,1),"")</f>
        <v>15.052631578947368</v>
      </c>
      <c r="H515" s="1">
        <f>IFERROR(VLOOKUP($B515,'V14'!$A$8:$J$29,8,1),"")</f>
        <v>21.381234039510101</v>
      </c>
      <c r="I515" s="1">
        <f>IFERROR(VLOOKUP($B515,'V14'!$A$8:$J$29,9,1),"")</f>
        <v>27.709836500072832</v>
      </c>
      <c r="J515" s="1">
        <f>IFERROR(VLOOKUP($B515,'V14'!$A$8:$J$29,10,1),"")</f>
        <v>34.038438960635567</v>
      </c>
      <c r="K515">
        <f>IFERROR(VLOOKUP($B515,'V14'!$A$9:$Q$1048576,3,1),"")</f>
        <v>0</v>
      </c>
      <c r="L515">
        <f>IFERROR(VLOOKUP($B515,'V14'!$A$8:$Q$29,11,1),"")</f>
        <v>-2.4089574944938654</v>
      </c>
      <c r="M515">
        <f>IFERROR(VLOOKUP($B515,'V14'!$A$8:$Q$29,12,1),"")</f>
        <v>-1.6015856980836296</v>
      </c>
      <c r="N515">
        <f>IFERROR(VLOOKUP($B515,'V14'!$A$8:$Q$29,13,1),"")</f>
        <v>-0.79421390167339367</v>
      </c>
      <c r="O515">
        <f>IFERROR(VLOOKUP($B515,'V14'!$A$8:$Q$29,14,1),"")</f>
        <v>1.3157894736842105E-2</v>
      </c>
      <c r="P515">
        <f>IFERROR(VLOOKUP($B515,'V14'!$A$8:$Q$29,15,1),"")</f>
        <v>0.82052969114707797</v>
      </c>
      <c r="Q515">
        <f>IFERROR(VLOOKUP($B515,'V14'!$A$8:$Q$29,16,1),"")</f>
        <v>1.6279014875573137</v>
      </c>
      <c r="R515">
        <f>IFERROR(VLOOKUP($B515,'V14'!$A$8:$Q$29,17,1),"")</f>
        <v>2.4352732839675495</v>
      </c>
      <c r="Z515" s="17"/>
      <c r="AY515" s="17"/>
    </row>
    <row r="516" spans="1:51" x14ac:dyDescent="0.25">
      <c r="A516" s="17"/>
      <c r="B516" s="2">
        <f t="shared" si="10"/>
        <v>45899</v>
      </c>
      <c r="C516">
        <f>IFERROR(VLOOKUP($B516,'V14'!$A$9:$J$1048576,2,1),"")</f>
        <v>6</v>
      </c>
      <c r="D516" s="1">
        <f>IFERROR(VLOOKUP($B516,'V14'!$A$8:$J$29,4,1),"")</f>
        <v>-3.9331758027408288</v>
      </c>
      <c r="E516" s="1">
        <f>IFERROR(VLOOKUP($B516,'V14'!$A$8:$J$29,5,1),"")</f>
        <v>2.3954266578219023</v>
      </c>
      <c r="F516" s="1">
        <f>IFERROR(VLOOKUP($B516,'V14'!$A$8:$J$29,6,1),"")</f>
        <v>8.7240291183846352</v>
      </c>
      <c r="G516" s="1">
        <f>IFERROR(VLOOKUP($B516,'V14'!$A$8:$J$29,7,1),"")</f>
        <v>15.052631578947368</v>
      </c>
      <c r="H516" s="1">
        <f>IFERROR(VLOOKUP($B516,'V14'!$A$8:$J$29,8,1),"")</f>
        <v>21.381234039510101</v>
      </c>
      <c r="I516" s="1">
        <f>IFERROR(VLOOKUP($B516,'V14'!$A$8:$J$29,9,1),"")</f>
        <v>27.709836500072832</v>
      </c>
      <c r="J516" s="1">
        <f>IFERROR(VLOOKUP($B516,'V14'!$A$8:$J$29,10,1),"")</f>
        <v>34.038438960635567</v>
      </c>
      <c r="K516">
        <f>IFERROR(VLOOKUP($B516,'V14'!$A$9:$Q$1048576,3,1),"")</f>
        <v>-0.75</v>
      </c>
      <c r="L516">
        <f>IFERROR(VLOOKUP($B516,'V14'!$A$8:$Q$29,11,1),"")</f>
        <v>-2.4089574944938654</v>
      </c>
      <c r="M516">
        <f>IFERROR(VLOOKUP($B516,'V14'!$A$8:$Q$29,12,1),"")</f>
        <v>-1.6015856980836296</v>
      </c>
      <c r="N516">
        <f>IFERROR(VLOOKUP($B516,'V14'!$A$8:$Q$29,13,1),"")</f>
        <v>-0.79421390167339367</v>
      </c>
      <c r="O516">
        <f>IFERROR(VLOOKUP($B516,'V14'!$A$8:$Q$29,14,1),"")</f>
        <v>1.3157894736842105E-2</v>
      </c>
      <c r="P516">
        <f>IFERROR(VLOOKUP($B516,'V14'!$A$8:$Q$29,15,1),"")</f>
        <v>0.82052969114707797</v>
      </c>
      <c r="Q516">
        <f>IFERROR(VLOOKUP($B516,'V14'!$A$8:$Q$29,16,1),"")</f>
        <v>1.6279014875573137</v>
      </c>
      <c r="R516">
        <f>IFERROR(VLOOKUP($B516,'V14'!$A$8:$Q$29,17,1),"")</f>
        <v>2.4352732839675495</v>
      </c>
      <c r="Z516" s="17"/>
      <c r="AY516" s="17"/>
    </row>
    <row r="517" spans="1:51" x14ac:dyDescent="0.25">
      <c r="A517" s="17"/>
      <c r="B517" s="2">
        <f>EDATE(B518,-1)</f>
        <v>45930</v>
      </c>
      <c r="C517">
        <f>IFERROR(VLOOKUP($B517,'V14'!$A$9:$J$1048576,2,1),"")</f>
        <v>3</v>
      </c>
      <c r="D517" s="1">
        <f>IFERROR(VLOOKUP($B517,'V14'!$A$8:$J$29,4,1),"")</f>
        <v>-3.9331758027408288</v>
      </c>
      <c r="E517" s="1">
        <f>IFERROR(VLOOKUP($B517,'V14'!$A$8:$J$29,5,1),"")</f>
        <v>2.3954266578219023</v>
      </c>
      <c r="F517" s="1">
        <f>IFERROR(VLOOKUP($B517,'V14'!$A$8:$J$29,6,1),"")</f>
        <v>8.7240291183846352</v>
      </c>
      <c r="G517" s="1">
        <f>IFERROR(VLOOKUP($B517,'V14'!$A$8:$J$29,7,1),"")</f>
        <v>15.052631578947368</v>
      </c>
      <c r="H517" s="1">
        <f>IFERROR(VLOOKUP($B517,'V14'!$A$8:$J$29,8,1),"")</f>
        <v>21.381234039510101</v>
      </c>
      <c r="I517" s="1">
        <f>IFERROR(VLOOKUP($B517,'V14'!$A$8:$J$29,9,1),"")</f>
        <v>27.709836500072832</v>
      </c>
      <c r="J517" s="1">
        <f>IFERROR(VLOOKUP($B517,'V14'!$A$8:$J$29,10,1),"")</f>
        <v>34.038438960635567</v>
      </c>
      <c r="K517">
        <f>IFERROR(VLOOKUP($B517,'V14'!$A$9:$Q$1048576,3,1),"")</f>
        <v>-0.75</v>
      </c>
      <c r="L517">
        <f>IFERROR(VLOOKUP($B517,'V14'!$A$8:$Q$29,11,1),"")</f>
        <v>-2.4089574944938654</v>
      </c>
      <c r="M517">
        <f>IFERROR(VLOOKUP($B517,'V14'!$A$8:$Q$29,12,1),"")</f>
        <v>-1.6015856980836296</v>
      </c>
      <c r="N517">
        <f>IFERROR(VLOOKUP($B517,'V14'!$A$8:$Q$29,13,1),"")</f>
        <v>-0.79421390167339367</v>
      </c>
      <c r="O517">
        <f>IFERROR(VLOOKUP($B517,'V14'!$A$8:$Q$29,14,1),"")</f>
        <v>1.3157894736842105E-2</v>
      </c>
      <c r="P517">
        <f>IFERROR(VLOOKUP($B517,'V14'!$A$8:$Q$29,15,1),"")</f>
        <v>0.82052969114707797</v>
      </c>
      <c r="Q517">
        <f>IFERROR(VLOOKUP($B517,'V14'!$A$8:$Q$29,16,1),"")</f>
        <v>1.6279014875573137</v>
      </c>
      <c r="R517">
        <f>IFERROR(VLOOKUP($B517,'V14'!$A$8:$Q$29,17,1),"")</f>
        <v>2.4352732839675495</v>
      </c>
      <c r="Z517" s="17"/>
      <c r="AY517" s="17"/>
    </row>
    <row r="518" spans="1:51" x14ac:dyDescent="0.25">
      <c r="A518" s="17"/>
      <c r="B518" s="2">
        <f>$E$483</f>
        <v>45961</v>
      </c>
      <c r="C518">
        <f>IFERROR(VLOOKUP($B518,'V14'!$A$9:$J$1048576,2,1),"")</f>
        <v>2</v>
      </c>
      <c r="D518" s="1">
        <f>IFERROR(VLOOKUP($B518,'V14'!$A$8:$J$29,4,1),"")</f>
        <v>-3.9331758027408288</v>
      </c>
      <c r="E518" s="1">
        <f>IFERROR(VLOOKUP($B518,'V14'!$A$8:$J$29,5,1),"")</f>
        <v>2.3954266578219023</v>
      </c>
      <c r="F518" s="1">
        <f>IFERROR(VLOOKUP($B518,'V14'!$A$8:$J$29,6,1),"")</f>
        <v>8.7240291183846352</v>
      </c>
      <c r="G518" s="1">
        <f>IFERROR(VLOOKUP($B518,'V14'!$A$8:$J$29,7,1),"")</f>
        <v>15.052631578947368</v>
      </c>
      <c r="H518" s="1">
        <f>IFERROR(VLOOKUP($B518,'V14'!$A$8:$J$29,8,1),"")</f>
        <v>21.381234039510101</v>
      </c>
      <c r="I518" s="1">
        <f>IFERROR(VLOOKUP($B518,'V14'!$A$8:$J$29,9,1),"")</f>
        <v>27.709836500072832</v>
      </c>
      <c r="J518" s="1">
        <f>IFERROR(VLOOKUP($B518,'V14'!$A$8:$J$29,10,1),"")</f>
        <v>34.038438960635567</v>
      </c>
      <c r="K518">
        <f>IFERROR(VLOOKUP($B518,'V14'!$A$9:$Q$1048576,3,1),"")</f>
        <v>-0.25</v>
      </c>
      <c r="L518">
        <f>IFERROR(VLOOKUP($B518,'V14'!$A$8:$Q$29,11,1),"")</f>
        <v>-2.4089574944938654</v>
      </c>
      <c r="M518">
        <f>IFERROR(VLOOKUP($B518,'V14'!$A$8:$Q$29,12,1),"")</f>
        <v>-1.6015856980836296</v>
      </c>
      <c r="N518">
        <f>IFERROR(VLOOKUP($B518,'V14'!$A$8:$Q$29,13,1),"")</f>
        <v>-0.79421390167339367</v>
      </c>
      <c r="O518">
        <f>IFERROR(VLOOKUP($B518,'V14'!$A$8:$Q$29,14,1),"")</f>
        <v>1.3157894736842105E-2</v>
      </c>
      <c r="P518">
        <f>IFERROR(VLOOKUP($B518,'V14'!$A$8:$Q$29,15,1),"")</f>
        <v>0.82052969114707797</v>
      </c>
      <c r="Q518">
        <f>IFERROR(VLOOKUP($B518,'V14'!$A$8:$Q$29,16,1),"")</f>
        <v>1.6279014875573137</v>
      </c>
      <c r="R518">
        <f>IFERROR(VLOOKUP($B518,'V14'!$A$8:$Q$29,17,1),"")</f>
        <v>2.4352732839675495</v>
      </c>
      <c r="Z518" s="17"/>
      <c r="AY518" s="17"/>
    </row>
    <row r="519" spans="1:5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</row>
    <row r="520" spans="1:51" ht="50.1" customHeight="1" x14ac:dyDescent="0.25">
      <c r="A520" s="17"/>
      <c r="B520" s="39" t="s">
        <v>64</v>
      </c>
      <c r="C520" s="39"/>
      <c r="D520" s="39"/>
      <c r="E520" s="40">
        <v>45961</v>
      </c>
      <c r="F520" s="40"/>
      <c r="G520" s="40"/>
      <c r="H520" s="40"/>
      <c r="I520" s="40"/>
      <c r="J520" s="40"/>
      <c r="K520" s="40"/>
      <c r="L520" s="40"/>
      <c r="M520" s="40"/>
      <c r="N520" s="44" t="s">
        <v>84</v>
      </c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6"/>
      <c r="AY520" s="17"/>
    </row>
    <row r="521" spans="1:51" ht="50.1" customHeight="1" x14ac:dyDescent="0.25">
      <c r="A521" s="17"/>
      <c r="B521" s="39" t="s">
        <v>37</v>
      </c>
      <c r="C521" s="39"/>
      <c r="D521" s="39"/>
      <c r="E521" s="43"/>
      <c r="F521" s="43"/>
      <c r="G521" s="43"/>
      <c r="H521" s="39" t="s">
        <v>25</v>
      </c>
      <c r="I521" s="39"/>
      <c r="J521" s="39"/>
      <c r="K521" s="42"/>
      <c r="L521" s="42"/>
      <c r="M521" s="42"/>
      <c r="N521" s="47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9"/>
      <c r="AY521" s="17"/>
    </row>
    <row r="522" spans="1:51" ht="50.1" customHeight="1" x14ac:dyDescent="0.25">
      <c r="A522" s="17"/>
      <c r="B522" s="39" t="s">
        <v>66</v>
      </c>
      <c r="C522" s="39"/>
      <c r="D522" s="39"/>
      <c r="E522" s="43"/>
      <c r="F522" s="43"/>
      <c r="G522" s="43"/>
      <c r="H522" s="39" t="s">
        <v>26</v>
      </c>
      <c r="I522" s="39"/>
      <c r="J522" s="39"/>
      <c r="K522" s="42"/>
      <c r="L522" s="42"/>
      <c r="M522" s="42"/>
      <c r="N522" s="50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2"/>
      <c r="AY522" s="17"/>
    </row>
    <row r="523" spans="1:5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</row>
    <row r="524" spans="1:51" x14ac:dyDescent="0.25">
      <c r="A524" s="17"/>
      <c r="B524" t="s">
        <v>67</v>
      </c>
      <c r="K524" t="s">
        <v>68</v>
      </c>
      <c r="Z524" s="17"/>
      <c r="AY524" s="17"/>
    </row>
    <row r="525" spans="1:51" x14ac:dyDescent="0.25">
      <c r="A525" s="17"/>
      <c r="B525" s="6" t="s">
        <v>69</v>
      </c>
      <c r="C525" s="6" t="s">
        <v>70</v>
      </c>
      <c r="D525" s="6" t="s">
        <v>34</v>
      </c>
      <c r="E525" s="6" t="s">
        <v>35</v>
      </c>
      <c r="F525" s="6" t="s">
        <v>36</v>
      </c>
      <c r="G525" s="6" t="s">
        <v>37</v>
      </c>
      <c r="H525" s="6" t="s">
        <v>38</v>
      </c>
      <c r="I525" s="6" t="s">
        <v>39</v>
      </c>
      <c r="J525" s="6" t="s">
        <v>40</v>
      </c>
      <c r="K525" s="6" t="s">
        <v>70</v>
      </c>
      <c r="L525" t="s">
        <v>34</v>
      </c>
      <c r="M525" t="s">
        <v>35</v>
      </c>
      <c r="N525" t="s">
        <v>36</v>
      </c>
      <c r="O525" t="s">
        <v>37</v>
      </c>
      <c r="P525" t="s">
        <v>38</v>
      </c>
      <c r="Q525" t="s">
        <v>39</v>
      </c>
      <c r="R525" t="s">
        <v>40</v>
      </c>
      <c r="Z525" s="17"/>
      <c r="AY525" s="17"/>
    </row>
    <row r="526" spans="1:51" x14ac:dyDescent="0.25">
      <c r="A526" s="17"/>
      <c r="B526" s="2">
        <f t="shared" ref="B526:B553" si="11">EDATE(B527,-1)</f>
        <v>45074</v>
      </c>
      <c r="C526">
        <f>IFERROR(VLOOKUP($B526,'V15'!$A$9:$J$1048576,2,1),"")</f>
        <v>18</v>
      </c>
      <c r="D526" s="1">
        <f>IFERROR(VLOOKUP($B526,'V15'!$A$8:$J$29,4,1),"")</f>
        <v>-3.9331758027408288</v>
      </c>
      <c r="E526" s="1">
        <f>IFERROR(VLOOKUP($B526,'V15'!$A$8:$J$29,5,1),"")</f>
        <v>2.3954266578219023</v>
      </c>
      <c r="F526" s="1">
        <f>IFERROR(VLOOKUP($B526,'V15'!$A$8:$J$29,6,1),"")</f>
        <v>8.7240291183846352</v>
      </c>
      <c r="G526" s="1">
        <f>IFERROR(VLOOKUP($B526,'V15'!$A$8:$J$29,7,1),"")</f>
        <v>15.052631578947368</v>
      </c>
      <c r="H526" s="1">
        <f>IFERROR(VLOOKUP($B526,'V15'!$A$8:$J$29,8,1),"")</f>
        <v>21.381234039510101</v>
      </c>
      <c r="I526" s="1">
        <f>IFERROR(VLOOKUP($B526,'V15'!$A$8:$J$29,9,1),"")</f>
        <v>27.709836500072832</v>
      </c>
      <c r="J526" s="1">
        <f>IFERROR(VLOOKUP($B526,'V15'!$A$8:$J$29,10,1),"")</f>
        <v>34.038438960635567</v>
      </c>
      <c r="K526">
        <f>IFERROR(VLOOKUP($B526,'V15'!$A$9:$Q$1048576,3,1),"")</f>
        <v>0.5</v>
      </c>
      <c r="L526">
        <f>IFERROR(VLOOKUP($B526,'V15'!$A$8:$Q$29,11,1),"")</f>
        <v>-2.4089574944938654</v>
      </c>
      <c r="M526">
        <f>IFERROR(VLOOKUP($B526,'V15'!$A$8:$Q$29,12,1),"")</f>
        <v>-1.6015856980836296</v>
      </c>
      <c r="N526">
        <f>IFERROR(VLOOKUP($B526,'V15'!$A$8:$Q$29,13,1),"")</f>
        <v>-0.79421390167339367</v>
      </c>
      <c r="O526">
        <f>IFERROR(VLOOKUP($B526,'V15'!$A$8:$Q$29,14,1),"")</f>
        <v>1.3157894736842105E-2</v>
      </c>
      <c r="P526">
        <f>IFERROR(VLOOKUP($B526,'V15'!$A$8:$Q$29,15,1),"")</f>
        <v>0.82052969114707797</v>
      </c>
      <c r="Q526">
        <f>IFERROR(VLOOKUP($B526,'V15'!$A$8:$Q$29,16,1),"")</f>
        <v>1.6279014875573137</v>
      </c>
      <c r="R526">
        <f>IFERROR(VLOOKUP($B526,'V15'!$A$8:$Q$29,17,1),"")</f>
        <v>2.4352732839675495</v>
      </c>
      <c r="Z526" s="17"/>
      <c r="AY526" s="17"/>
    </row>
    <row r="527" spans="1:51" x14ac:dyDescent="0.25">
      <c r="A527" s="17"/>
      <c r="B527" s="2">
        <f t="shared" si="11"/>
        <v>45105</v>
      </c>
      <c r="C527">
        <f>IFERROR(VLOOKUP($B527,'V15'!$A$9:$J$1048576,2,1),"")</f>
        <v>23</v>
      </c>
      <c r="D527" s="1">
        <f>IFERROR(VLOOKUP($B527,'V15'!$A$8:$J$29,4,1),"")</f>
        <v>-3.9331758027408288</v>
      </c>
      <c r="E527" s="1">
        <f>IFERROR(VLOOKUP($B527,'V15'!$A$8:$J$29,5,1),"")</f>
        <v>2.3954266578219023</v>
      </c>
      <c r="F527" s="1">
        <f>IFERROR(VLOOKUP($B527,'V15'!$A$8:$J$29,6,1),"")</f>
        <v>8.7240291183846352</v>
      </c>
      <c r="G527" s="1">
        <f>IFERROR(VLOOKUP($B527,'V15'!$A$8:$J$29,7,1),"")</f>
        <v>15.052631578947368</v>
      </c>
      <c r="H527" s="1">
        <f>IFERROR(VLOOKUP($B527,'V15'!$A$8:$J$29,8,1),"")</f>
        <v>21.381234039510101</v>
      </c>
      <c r="I527" s="1">
        <f>IFERROR(VLOOKUP($B527,'V15'!$A$8:$J$29,9,1),"")</f>
        <v>27.709836500072832</v>
      </c>
      <c r="J527" s="1">
        <f>IFERROR(VLOOKUP($B527,'V15'!$A$8:$J$29,10,1),"")</f>
        <v>34.038438960635567</v>
      </c>
      <c r="K527">
        <f>IFERROR(VLOOKUP($B527,'V15'!$A$9:$Q$1048576,3,1),"")</f>
        <v>1.25</v>
      </c>
      <c r="L527">
        <f>IFERROR(VLOOKUP($B527,'V15'!$A$8:$Q$29,11,1),"")</f>
        <v>-2.4089574944938654</v>
      </c>
      <c r="M527">
        <f>IFERROR(VLOOKUP($B527,'V15'!$A$8:$Q$29,12,1),"")</f>
        <v>-1.6015856980836296</v>
      </c>
      <c r="N527">
        <f>IFERROR(VLOOKUP($B527,'V15'!$A$8:$Q$29,13,1),"")</f>
        <v>-0.79421390167339367</v>
      </c>
      <c r="O527">
        <f>IFERROR(VLOOKUP($B527,'V15'!$A$8:$Q$29,14,1),"")</f>
        <v>1.3157894736842105E-2</v>
      </c>
      <c r="P527">
        <f>IFERROR(VLOOKUP($B527,'V15'!$A$8:$Q$29,15,1),"")</f>
        <v>0.82052969114707797</v>
      </c>
      <c r="Q527">
        <f>IFERROR(VLOOKUP($B527,'V15'!$A$8:$Q$29,16,1),"")</f>
        <v>1.6279014875573137</v>
      </c>
      <c r="R527">
        <f>IFERROR(VLOOKUP($B527,'V15'!$A$8:$Q$29,17,1),"")</f>
        <v>2.4352732839675495</v>
      </c>
      <c r="Z527" s="17"/>
      <c r="AY527" s="17"/>
    </row>
    <row r="528" spans="1:51" x14ac:dyDescent="0.25">
      <c r="A528" s="17"/>
      <c r="B528" s="2">
        <f t="shared" si="11"/>
        <v>45135</v>
      </c>
      <c r="C528">
        <f>IFERROR(VLOOKUP($B528,'V15'!$A$9:$J$1048576,2,1),"")</f>
        <v>20</v>
      </c>
      <c r="D528" s="1">
        <f>IFERROR(VLOOKUP($B528,'V15'!$A$8:$J$29,4,1),"")</f>
        <v>-3.9331758027408288</v>
      </c>
      <c r="E528" s="1">
        <f>IFERROR(VLOOKUP($B528,'V15'!$A$8:$J$29,5,1),"")</f>
        <v>2.3954266578219023</v>
      </c>
      <c r="F528" s="1">
        <f>IFERROR(VLOOKUP($B528,'V15'!$A$8:$J$29,6,1),"")</f>
        <v>8.7240291183846352</v>
      </c>
      <c r="G528" s="1">
        <f>IFERROR(VLOOKUP($B528,'V15'!$A$8:$J$29,7,1),"")</f>
        <v>15.052631578947368</v>
      </c>
      <c r="H528" s="1">
        <f>IFERROR(VLOOKUP($B528,'V15'!$A$8:$J$29,8,1),"")</f>
        <v>21.381234039510101</v>
      </c>
      <c r="I528" s="1">
        <f>IFERROR(VLOOKUP($B528,'V15'!$A$8:$J$29,9,1),"")</f>
        <v>27.709836500072832</v>
      </c>
      <c r="J528" s="1">
        <f>IFERROR(VLOOKUP($B528,'V15'!$A$8:$J$29,10,1),"")</f>
        <v>34.038438960635567</v>
      </c>
      <c r="K528">
        <f>IFERROR(VLOOKUP($B528,'V15'!$A$9:$Q$1048576,3,1),"")</f>
        <v>-0.75</v>
      </c>
      <c r="L528">
        <f>IFERROR(VLOOKUP($B528,'V15'!$A$8:$Q$29,11,1),"")</f>
        <v>-2.4089574944938654</v>
      </c>
      <c r="M528">
        <f>IFERROR(VLOOKUP($B528,'V15'!$A$8:$Q$29,12,1),"")</f>
        <v>-1.6015856980836296</v>
      </c>
      <c r="N528">
        <f>IFERROR(VLOOKUP($B528,'V15'!$A$8:$Q$29,13,1),"")</f>
        <v>-0.79421390167339367</v>
      </c>
      <c r="O528">
        <f>IFERROR(VLOOKUP($B528,'V15'!$A$8:$Q$29,14,1),"")</f>
        <v>1.3157894736842105E-2</v>
      </c>
      <c r="P528">
        <f>IFERROR(VLOOKUP($B528,'V15'!$A$8:$Q$29,15,1),"")</f>
        <v>0.82052969114707797</v>
      </c>
      <c r="Q528">
        <f>IFERROR(VLOOKUP($B528,'V15'!$A$8:$Q$29,16,1),"")</f>
        <v>1.6279014875573137</v>
      </c>
      <c r="R528">
        <f>IFERROR(VLOOKUP($B528,'V15'!$A$8:$Q$29,17,1),"")</f>
        <v>2.4352732839675495</v>
      </c>
      <c r="Z528" s="17"/>
      <c r="AY528" s="17"/>
    </row>
    <row r="529" spans="1:51" x14ac:dyDescent="0.25">
      <c r="A529" s="17"/>
      <c r="B529" s="2">
        <f t="shared" si="11"/>
        <v>45166</v>
      </c>
      <c r="C529">
        <f>IFERROR(VLOOKUP($B529,'V15'!$A$9:$J$1048576,2,1),"")</f>
        <v>22</v>
      </c>
      <c r="D529" s="1">
        <f>IFERROR(VLOOKUP($B529,'V15'!$A$8:$J$29,4,1),"")</f>
        <v>-3.9331758027408288</v>
      </c>
      <c r="E529" s="1">
        <f>IFERROR(VLOOKUP($B529,'V15'!$A$8:$J$29,5,1),"")</f>
        <v>2.3954266578219023</v>
      </c>
      <c r="F529" s="1">
        <f>IFERROR(VLOOKUP($B529,'V15'!$A$8:$J$29,6,1),"")</f>
        <v>8.7240291183846352</v>
      </c>
      <c r="G529" s="1">
        <f>IFERROR(VLOOKUP($B529,'V15'!$A$8:$J$29,7,1),"")</f>
        <v>15.052631578947368</v>
      </c>
      <c r="H529" s="1">
        <f>IFERROR(VLOOKUP($B529,'V15'!$A$8:$J$29,8,1),"")</f>
        <v>21.381234039510101</v>
      </c>
      <c r="I529" s="1">
        <f>IFERROR(VLOOKUP($B529,'V15'!$A$8:$J$29,9,1),"")</f>
        <v>27.709836500072832</v>
      </c>
      <c r="J529" s="1">
        <f>IFERROR(VLOOKUP($B529,'V15'!$A$8:$J$29,10,1),"")</f>
        <v>34.038438960635567</v>
      </c>
      <c r="K529">
        <f>IFERROR(VLOOKUP($B529,'V15'!$A$9:$Q$1048576,3,1),"")</f>
        <v>0.5</v>
      </c>
      <c r="L529">
        <f>IFERROR(VLOOKUP($B529,'V15'!$A$8:$Q$29,11,1),"")</f>
        <v>-2.4089574944938654</v>
      </c>
      <c r="M529">
        <f>IFERROR(VLOOKUP($B529,'V15'!$A$8:$Q$29,12,1),"")</f>
        <v>-1.6015856980836296</v>
      </c>
      <c r="N529">
        <f>IFERROR(VLOOKUP($B529,'V15'!$A$8:$Q$29,13,1),"")</f>
        <v>-0.79421390167339367</v>
      </c>
      <c r="O529">
        <f>IFERROR(VLOOKUP($B529,'V15'!$A$8:$Q$29,14,1),"")</f>
        <v>1.3157894736842105E-2</v>
      </c>
      <c r="P529">
        <f>IFERROR(VLOOKUP($B529,'V15'!$A$8:$Q$29,15,1),"")</f>
        <v>0.82052969114707797</v>
      </c>
      <c r="Q529">
        <f>IFERROR(VLOOKUP($B529,'V15'!$A$8:$Q$29,16,1),"")</f>
        <v>1.6279014875573137</v>
      </c>
      <c r="R529">
        <f>IFERROR(VLOOKUP($B529,'V15'!$A$8:$Q$29,17,1),"")</f>
        <v>2.4352732839675495</v>
      </c>
      <c r="Z529" s="17"/>
      <c r="AY529" s="17"/>
    </row>
    <row r="530" spans="1:51" x14ac:dyDescent="0.25">
      <c r="A530" s="17"/>
      <c r="B530" s="2">
        <f t="shared" si="11"/>
        <v>45197</v>
      </c>
      <c r="C530">
        <f>IFERROR(VLOOKUP($B530,'V15'!$A$9:$J$1048576,2,1),"")</f>
        <v>23</v>
      </c>
      <c r="D530" s="1">
        <f>IFERROR(VLOOKUP($B530,'V15'!$A$8:$J$29,4,1),"")</f>
        <v>-3.9331758027408288</v>
      </c>
      <c r="E530" s="1">
        <f>IFERROR(VLOOKUP($B530,'V15'!$A$8:$J$29,5,1),"")</f>
        <v>2.3954266578219023</v>
      </c>
      <c r="F530" s="1">
        <f>IFERROR(VLOOKUP($B530,'V15'!$A$8:$J$29,6,1),"")</f>
        <v>8.7240291183846352</v>
      </c>
      <c r="G530" s="1">
        <f>IFERROR(VLOOKUP($B530,'V15'!$A$8:$J$29,7,1),"")</f>
        <v>15.052631578947368</v>
      </c>
      <c r="H530" s="1">
        <f>IFERROR(VLOOKUP($B530,'V15'!$A$8:$J$29,8,1),"")</f>
        <v>21.381234039510101</v>
      </c>
      <c r="I530" s="1">
        <f>IFERROR(VLOOKUP($B530,'V15'!$A$8:$J$29,9,1),"")</f>
        <v>27.709836500072832</v>
      </c>
      <c r="J530" s="1">
        <f>IFERROR(VLOOKUP($B530,'V15'!$A$8:$J$29,10,1),"")</f>
        <v>34.038438960635567</v>
      </c>
      <c r="K530">
        <f>IFERROR(VLOOKUP($B530,'V15'!$A$9:$Q$1048576,3,1),"")</f>
        <v>0.25</v>
      </c>
      <c r="L530">
        <f>IFERROR(VLOOKUP($B530,'V15'!$A$8:$Q$29,11,1),"")</f>
        <v>-2.4089574944938654</v>
      </c>
      <c r="M530">
        <f>IFERROR(VLOOKUP($B530,'V15'!$A$8:$Q$29,12,1),"")</f>
        <v>-1.6015856980836296</v>
      </c>
      <c r="N530">
        <f>IFERROR(VLOOKUP($B530,'V15'!$A$8:$Q$29,13,1),"")</f>
        <v>-0.79421390167339367</v>
      </c>
      <c r="O530">
        <f>IFERROR(VLOOKUP($B530,'V15'!$A$8:$Q$29,14,1),"")</f>
        <v>1.3157894736842105E-2</v>
      </c>
      <c r="P530">
        <f>IFERROR(VLOOKUP($B530,'V15'!$A$8:$Q$29,15,1),"")</f>
        <v>0.82052969114707797</v>
      </c>
      <c r="Q530">
        <f>IFERROR(VLOOKUP($B530,'V15'!$A$8:$Q$29,16,1),"")</f>
        <v>1.6279014875573137</v>
      </c>
      <c r="R530">
        <f>IFERROR(VLOOKUP($B530,'V15'!$A$8:$Q$29,17,1),"")</f>
        <v>2.4352732839675495</v>
      </c>
      <c r="Z530" s="17"/>
      <c r="AY530" s="17"/>
    </row>
    <row r="531" spans="1:51" x14ac:dyDescent="0.25">
      <c r="A531" s="17"/>
      <c r="B531" s="2">
        <f t="shared" si="11"/>
        <v>45227</v>
      </c>
      <c r="C531">
        <f>IFERROR(VLOOKUP($B531,'V15'!$A$9:$J$1048576,2,1),"")</f>
        <v>22</v>
      </c>
      <c r="D531" s="1">
        <f>IFERROR(VLOOKUP($B531,'V15'!$A$8:$J$29,4,1),"")</f>
        <v>-3.9331758027408288</v>
      </c>
      <c r="E531" s="1">
        <f>IFERROR(VLOOKUP($B531,'V15'!$A$8:$J$29,5,1),"")</f>
        <v>2.3954266578219023</v>
      </c>
      <c r="F531" s="1">
        <f>IFERROR(VLOOKUP($B531,'V15'!$A$8:$J$29,6,1),"")</f>
        <v>8.7240291183846352</v>
      </c>
      <c r="G531" s="1">
        <f>IFERROR(VLOOKUP($B531,'V15'!$A$8:$J$29,7,1),"")</f>
        <v>15.052631578947368</v>
      </c>
      <c r="H531" s="1">
        <f>IFERROR(VLOOKUP($B531,'V15'!$A$8:$J$29,8,1),"")</f>
        <v>21.381234039510101</v>
      </c>
      <c r="I531" s="1">
        <f>IFERROR(VLOOKUP($B531,'V15'!$A$8:$J$29,9,1),"")</f>
        <v>27.709836500072832</v>
      </c>
      <c r="J531" s="1">
        <f>IFERROR(VLOOKUP($B531,'V15'!$A$8:$J$29,10,1),"")</f>
        <v>34.038438960635567</v>
      </c>
      <c r="K531">
        <f>IFERROR(VLOOKUP($B531,'V15'!$A$9:$Q$1048576,3,1),"")</f>
        <v>-0.25</v>
      </c>
      <c r="L531">
        <f>IFERROR(VLOOKUP($B531,'V15'!$A$8:$Q$29,11,1),"")</f>
        <v>-2.4089574944938654</v>
      </c>
      <c r="M531">
        <f>IFERROR(VLOOKUP($B531,'V15'!$A$8:$Q$29,12,1),"")</f>
        <v>-1.6015856980836296</v>
      </c>
      <c r="N531">
        <f>IFERROR(VLOOKUP($B531,'V15'!$A$8:$Q$29,13,1),"")</f>
        <v>-0.79421390167339367</v>
      </c>
      <c r="O531">
        <f>IFERROR(VLOOKUP($B531,'V15'!$A$8:$Q$29,14,1),"")</f>
        <v>1.3157894736842105E-2</v>
      </c>
      <c r="P531">
        <f>IFERROR(VLOOKUP($B531,'V15'!$A$8:$Q$29,15,1),"")</f>
        <v>0.82052969114707797</v>
      </c>
      <c r="Q531">
        <f>IFERROR(VLOOKUP($B531,'V15'!$A$8:$Q$29,16,1),"")</f>
        <v>1.6279014875573137</v>
      </c>
      <c r="R531">
        <f>IFERROR(VLOOKUP($B531,'V15'!$A$8:$Q$29,17,1),"")</f>
        <v>2.4352732839675495</v>
      </c>
      <c r="Z531" s="17"/>
      <c r="AY531" s="17"/>
    </row>
    <row r="532" spans="1:51" x14ac:dyDescent="0.25">
      <c r="A532" s="17"/>
      <c r="B532" s="2">
        <f t="shared" si="11"/>
        <v>45258</v>
      </c>
      <c r="C532">
        <f>IFERROR(VLOOKUP($B532,'V15'!$A$9:$J$1048576,2,1),"")</f>
        <v>23</v>
      </c>
      <c r="D532" s="1">
        <f>IFERROR(VLOOKUP($B532,'V15'!$A$8:$J$29,4,1),"")</f>
        <v>-3.9331758027408288</v>
      </c>
      <c r="E532" s="1">
        <f>IFERROR(VLOOKUP($B532,'V15'!$A$8:$J$29,5,1),"")</f>
        <v>2.3954266578219023</v>
      </c>
      <c r="F532" s="1">
        <f>IFERROR(VLOOKUP($B532,'V15'!$A$8:$J$29,6,1),"")</f>
        <v>8.7240291183846352</v>
      </c>
      <c r="G532" s="1">
        <f>IFERROR(VLOOKUP($B532,'V15'!$A$8:$J$29,7,1),"")</f>
        <v>15.052631578947368</v>
      </c>
      <c r="H532" s="1">
        <f>IFERROR(VLOOKUP($B532,'V15'!$A$8:$J$29,8,1),"")</f>
        <v>21.381234039510101</v>
      </c>
      <c r="I532" s="1">
        <f>IFERROR(VLOOKUP($B532,'V15'!$A$8:$J$29,9,1),"")</f>
        <v>27.709836500072832</v>
      </c>
      <c r="J532" s="1">
        <f>IFERROR(VLOOKUP($B532,'V15'!$A$8:$J$29,10,1),"")</f>
        <v>34.038438960635567</v>
      </c>
      <c r="K532">
        <f>IFERROR(VLOOKUP($B532,'V15'!$A$9:$Q$1048576,3,1),"")</f>
        <v>0.25</v>
      </c>
      <c r="L532">
        <f>IFERROR(VLOOKUP($B532,'V15'!$A$8:$Q$29,11,1),"")</f>
        <v>-2.4089574944938654</v>
      </c>
      <c r="M532">
        <f>IFERROR(VLOOKUP($B532,'V15'!$A$8:$Q$29,12,1),"")</f>
        <v>-1.6015856980836296</v>
      </c>
      <c r="N532">
        <f>IFERROR(VLOOKUP($B532,'V15'!$A$8:$Q$29,13,1),"")</f>
        <v>-0.79421390167339367</v>
      </c>
      <c r="O532">
        <f>IFERROR(VLOOKUP($B532,'V15'!$A$8:$Q$29,14,1),"")</f>
        <v>1.3157894736842105E-2</v>
      </c>
      <c r="P532">
        <f>IFERROR(VLOOKUP($B532,'V15'!$A$8:$Q$29,15,1),"")</f>
        <v>0.82052969114707797</v>
      </c>
      <c r="Q532">
        <f>IFERROR(VLOOKUP($B532,'V15'!$A$8:$Q$29,16,1),"")</f>
        <v>1.6279014875573137</v>
      </c>
      <c r="R532">
        <f>IFERROR(VLOOKUP($B532,'V15'!$A$8:$Q$29,17,1),"")</f>
        <v>2.4352732839675495</v>
      </c>
      <c r="Z532" s="17"/>
      <c r="AY532" s="17"/>
    </row>
    <row r="533" spans="1:51" x14ac:dyDescent="0.25">
      <c r="A533" s="17"/>
      <c r="B533" s="2">
        <f t="shared" si="11"/>
        <v>45288</v>
      </c>
      <c r="C533">
        <f>IFERROR(VLOOKUP($B533,'V15'!$A$9:$J$1048576,2,1),"")</f>
        <v>24</v>
      </c>
      <c r="D533" s="1">
        <f>IFERROR(VLOOKUP($B533,'V15'!$A$8:$J$29,4,1),"")</f>
        <v>-3.9331758027408288</v>
      </c>
      <c r="E533" s="1">
        <f>IFERROR(VLOOKUP($B533,'V15'!$A$8:$J$29,5,1),"")</f>
        <v>2.3954266578219023</v>
      </c>
      <c r="F533" s="1">
        <f>IFERROR(VLOOKUP($B533,'V15'!$A$8:$J$29,6,1),"")</f>
        <v>8.7240291183846352</v>
      </c>
      <c r="G533" s="1">
        <f>IFERROR(VLOOKUP($B533,'V15'!$A$8:$J$29,7,1),"")</f>
        <v>15.052631578947368</v>
      </c>
      <c r="H533" s="1">
        <f>IFERROR(VLOOKUP($B533,'V15'!$A$8:$J$29,8,1),"")</f>
        <v>21.381234039510101</v>
      </c>
      <c r="I533" s="1">
        <f>IFERROR(VLOOKUP($B533,'V15'!$A$8:$J$29,9,1),"")</f>
        <v>27.709836500072832</v>
      </c>
      <c r="J533" s="1">
        <f>IFERROR(VLOOKUP($B533,'V15'!$A$8:$J$29,10,1),"")</f>
        <v>34.038438960635567</v>
      </c>
      <c r="K533">
        <f>IFERROR(VLOOKUP($B533,'V15'!$A$9:$Q$1048576,3,1),"")</f>
        <v>0.25</v>
      </c>
      <c r="L533">
        <f>IFERROR(VLOOKUP($B533,'V15'!$A$8:$Q$29,11,1),"")</f>
        <v>-2.4089574944938654</v>
      </c>
      <c r="M533">
        <f>IFERROR(VLOOKUP($B533,'V15'!$A$8:$Q$29,12,1),"")</f>
        <v>-1.6015856980836296</v>
      </c>
      <c r="N533">
        <f>IFERROR(VLOOKUP($B533,'V15'!$A$8:$Q$29,13,1),"")</f>
        <v>-0.79421390167339367</v>
      </c>
      <c r="O533">
        <f>IFERROR(VLOOKUP($B533,'V15'!$A$8:$Q$29,14,1),"")</f>
        <v>1.3157894736842105E-2</v>
      </c>
      <c r="P533">
        <f>IFERROR(VLOOKUP($B533,'V15'!$A$8:$Q$29,15,1),"")</f>
        <v>0.82052969114707797</v>
      </c>
      <c r="Q533">
        <f>IFERROR(VLOOKUP($B533,'V15'!$A$8:$Q$29,16,1),"")</f>
        <v>1.6279014875573137</v>
      </c>
      <c r="R533">
        <f>IFERROR(VLOOKUP($B533,'V15'!$A$8:$Q$29,17,1),"")</f>
        <v>2.4352732839675495</v>
      </c>
      <c r="Z533" s="17"/>
      <c r="AY533" s="17"/>
    </row>
    <row r="534" spans="1:51" x14ac:dyDescent="0.25">
      <c r="A534" s="17"/>
      <c r="B534" s="2">
        <f t="shared" si="11"/>
        <v>45319</v>
      </c>
      <c r="C534">
        <f>IFERROR(VLOOKUP($B534,'V15'!$A$9:$J$1048576,2,1),"")</f>
        <v>27</v>
      </c>
      <c r="D534" s="1">
        <f>IFERROR(VLOOKUP($B534,'V15'!$A$8:$J$29,4,1),"")</f>
        <v>-3.9331758027408288</v>
      </c>
      <c r="E534" s="1">
        <f>IFERROR(VLOOKUP($B534,'V15'!$A$8:$J$29,5,1),"")</f>
        <v>2.3954266578219023</v>
      </c>
      <c r="F534" s="1">
        <f>IFERROR(VLOOKUP($B534,'V15'!$A$8:$J$29,6,1),"")</f>
        <v>8.7240291183846352</v>
      </c>
      <c r="G534" s="1">
        <f>IFERROR(VLOOKUP($B534,'V15'!$A$8:$J$29,7,1),"")</f>
        <v>15.052631578947368</v>
      </c>
      <c r="H534" s="1">
        <f>IFERROR(VLOOKUP($B534,'V15'!$A$8:$J$29,8,1),"")</f>
        <v>21.381234039510101</v>
      </c>
      <c r="I534" s="1">
        <f>IFERROR(VLOOKUP($B534,'V15'!$A$8:$J$29,9,1),"")</f>
        <v>27.709836500072832</v>
      </c>
      <c r="J534" s="1">
        <f>IFERROR(VLOOKUP($B534,'V15'!$A$8:$J$29,10,1),"")</f>
        <v>34.038438960635567</v>
      </c>
      <c r="K534">
        <f>IFERROR(VLOOKUP($B534,'V15'!$A$9:$Q$1048576,3,1),"")</f>
        <v>0.75</v>
      </c>
      <c r="L534">
        <f>IFERROR(VLOOKUP($B534,'V15'!$A$8:$Q$29,11,1),"")</f>
        <v>-2.4089574944938654</v>
      </c>
      <c r="M534">
        <f>IFERROR(VLOOKUP($B534,'V15'!$A$8:$Q$29,12,1),"")</f>
        <v>-1.6015856980836296</v>
      </c>
      <c r="N534">
        <f>IFERROR(VLOOKUP($B534,'V15'!$A$8:$Q$29,13,1),"")</f>
        <v>-0.79421390167339367</v>
      </c>
      <c r="O534">
        <f>IFERROR(VLOOKUP($B534,'V15'!$A$8:$Q$29,14,1),"")</f>
        <v>1.3157894736842105E-2</v>
      </c>
      <c r="P534">
        <f>IFERROR(VLOOKUP($B534,'V15'!$A$8:$Q$29,15,1),"")</f>
        <v>0.82052969114707797</v>
      </c>
      <c r="Q534">
        <f>IFERROR(VLOOKUP($B534,'V15'!$A$8:$Q$29,16,1),"")</f>
        <v>1.6279014875573137</v>
      </c>
      <c r="R534">
        <f>IFERROR(VLOOKUP($B534,'V15'!$A$8:$Q$29,17,1),"")</f>
        <v>2.4352732839675495</v>
      </c>
      <c r="Z534" s="17"/>
      <c r="AY534" s="17"/>
    </row>
    <row r="535" spans="1:51" x14ac:dyDescent="0.25">
      <c r="A535" s="17"/>
      <c r="B535" s="2">
        <f t="shared" si="11"/>
        <v>45350</v>
      </c>
      <c r="C535">
        <f>IFERROR(VLOOKUP($B535,'V15'!$A$9:$J$1048576,2,1),"")</f>
        <v>23</v>
      </c>
      <c r="D535" s="1">
        <f>IFERROR(VLOOKUP($B535,'V15'!$A$8:$J$29,4,1),"")</f>
        <v>-3.9331758027408288</v>
      </c>
      <c r="E535" s="1">
        <f>IFERROR(VLOOKUP($B535,'V15'!$A$8:$J$29,5,1),"")</f>
        <v>2.3954266578219023</v>
      </c>
      <c r="F535" s="1">
        <f>IFERROR(VLOOKUP($B535,'V15'!$A$8:$J$29,6,1),"")</f>
        <v>8.7240291183846352</v>
      </c>
      <c r="G535" s="1">
        <f>IFERROR(VLOOKUP($B535,'V15'!$A$8:$J$29,7,1),"")</f>
        <v>15.052631578947368</v>
      </c>
      <c r="H535" s="1">
        <f>IFERROR(VLOOKUP($B535,'V15'!$A$8:$J$29,8,1),"")</f>
        <v>21.381234039510101</v>
      </c>
      <c r="I535" s="1">
        <f>IFERROR(VLOOKUP($B535,'V15'!$A$8:$J$29,9,1),"")</f>
        <v>27.709836500072832</v>
      </c>
      <c r="J535" s="1">
        <f>IFERROR(VLOOKUP($B535,'V15'!$A$8:$J$29,10,1),"")</f>
        <v>34.038438960635567</v>
      </c>
      <c r="K535">
        <f>IFERROR(VLOOKUP($B535,'V15'!$A$9:$Q$1048576,3,1),"")</f>
        <v>-1</v>
      </c>
      <c r="L535">
        <f>IFERROR(VLOOKUP($B535,'V15'!$A$8:$Q$29,11,1),"")</f>
        <v>-2.4089574944938654</v>
      </c>
      <c r="M535">
        <f>IFERROR(VLOOKUP($B535,'V15'!$A$8:$Q$29,12,1),"")</f>
        <v>-1.6015856980836296</v>
      </c>
      <c r="N535">
        <f>IFERROR(VLOOKUP($B535,'V15'!$A$8:$Q$29,13,1),"")</f>
        <v>-0.79421390167339367</v>
      </c>
      <c r="O535">
        <f>IFERROR(VLOOKUP($B535,'V15'!$A$8:$Q$29,14,1),"")</f>
        <v>1.3157894736842105E-2</v>
      </c>
      <c r="P535">
        <f>IFERROR(VLOOKUP($B535,'V15'!$A$8:$Q$29,15,1),"")</f>
        <v>0.82052969114707797</v>
      </c>
      <c r="Q535">
        <f>IFERROR(VLOOKUP($B535,'V15'!$A$8:$Q$29,16,1),"")</f>
        <v>1.6279014875573137</v>
      </c>
      <c r="R535">
        <f>IFERROR(VLOOKUP($B535,'V15'!$A$8:$Q$29,17,1),"")</f>
        <v>2.4352732839675495</v>
      </c>
      <c r="Z535" s="17"/>
      <c r="AY535" s="17"/>
    </row>
    <row r="536" spans="1:51" x14ac:dyDescent="0.25">
      <c r="A536" s="17"/>
      <c r="B536" s="2">
        <f t="shared" si="11"/>
        <v>45379</v>
      </c>
      <c r="C536">
        <f>IFERROR(VLOOKUP($B536,'V15'!$A$9:$J$1048576,2,1),"")</f>
        <v>21</v>
      </c>
      <c r="D536" s="1">
        <f>IFERROR(VLOOKUP($B536,'V15'!$A$8:$J$29,4,1),"")</f>
        <v>-3.9331758027408288</v>
      </c>
      <c r="E536" s="1">
        <f>IFERROR(VLOOKUP($B536,'V15'!$A$8:$J$29,5,1),"")</f>
        <v>2.3954266578219023</v>
      </c>
      <c r="F536" s="1">
        <f>IFERROR(VLOOKUP($B536,'V15'!$A$8:$J$29,6,1),"")</f>
        <v>8.7240291183846352</v>
      </c>
      <c r="G536" s="1">
        <f>IFERROR(VLOOKUP($B536,'V15'!$A$8:$J$29,7,1),"")</f>
        <v>15.052631578947368</v>
      </c>
      <c r="H536" s="1">
        <f>IFERROR(VLOOKUP($B536,'V15'!$A$8:$J$29,8,1),"")</f>
        <v>21.381234039510101</v>
      </c>
      <c r="I536" s="1">
        <f>IFERROR(VLOOKUP($B536,'V15'!$A$8:$J$29,9,1),"")</f>
        <v>27.709836500072832</v>
      </c>
      <c r="J536" s="1">
        <f>IFERROR(VLOOKUP($B536,'V15'!$A$8:$J$29,10,1),"")</f>
        <v>34.038438960635567</v>
      </c>
      <c r="K536">
        <f>IFERROR(VLOOKUP($B536,'V15'!$A$9:$Q$1048576,3,1),"")</f>
        <v>-0.5</v>
      </c>
      <c r="L536">
        <f>IFERROR(VLOOKUP($B536,'V15'!$A$8:$Q$29,11,1),"")</f>
        <v>-2.4089574944938654</v>
      </c>
      <c r="M536">
        <f>IFERROR(VLOOKUP($B536,'V15'!$A$8:$Q$29,12,1),"")</f>
        <v>-1.6015856980836296</v>
      </c>
      <c r="N536">
        <f>IFERROR(VLOOKUP($B536,'V15'!$A$8:$Q$29,13,1),"")</f>
        <v>-0.79421390167339367</v>
      </c>
      <c r="O536">
        <f>IFERROR(VLOOKUP($B536,'V15'!$A$8:$Q$29,14,1),"")</f>
        <v>1.3157894736842105E-2</v>
      </c>
      <c r="P536">
        <f>IFERROR(VLOOKUP($B536,'V15'!$A$8:$Q$29,15,1),"")</f>
        <v>0.82052969114707797</v>
      </c>
      <c r="Q536">
        <f>IFERROR(VLOOKUP($B536,'V15'!$A$8:$Q$29,16,1),"")</f>
        <v>1.6279014875573137</v>
      </c>
      <c r="R536">
        <f>IFERROR(VLOOKUP($B536,'V15'!$A$8:$Q$29,17,1),"")</f>
        <v>2.4352732839675495</v>
      </c>
      <c r="Z536" s="17"/>
      <c r="AY536" s="17"/>
    </row>
    <row r="537" spans="1:51" x14ac:dyDescent="0.25">
      <c r="A537" s="17"/>
      <c r="B537" s="2">
        <f t="shared" si="11"/>
        <v>45410</v>
      </c>
      <c r="C537">
        <f>IFERROR(VLOOKUP($B537,'V15'!$A$9:$J$1048576,2,1),"")</f>
        <v>17</v>
      </c>
      <c r="D537" s="1">
        <f>IFERROR(VLOOKUP($B537,'V15'!$A$8:$J$29,4,1),"")</f>
        <v>-3.9331758027408288</v>
      </c>
      <c r="E537" s="1">
        <f>IFERROR(VLOOKUP($B537,'V15'!$A$8:$J$29,5,1),"")</f>
        <v>2.3954266578219023</v>
      </c>
      <c r="F537" s="1">
        <f>IFERROR(VLOOKUP($B537,'V15'!$A$8:$J$29,6,1),"")</f>
        <v>8.7240291183846352</v>
      </c>
      <c r="G537" s="1">
        <f>IFERROR(VLOOKUP($B537,'V15'!$A$8:$J$29,7,1),"")</f>
        <v>15.052631578947368</v>
      </c>
      <c r="H537" s="1">
        <f>IFERROR(VLOOKUP($B537,'V15'!$A$8:$J$29,8,1),"")</f>
        <v>21.381234039510101</v>
      </c>
      <c r="I537" s="1">
        <f>IFERROR(VLOOKUP($B537,'V15'!$A$8:$J$29,9,1),"")</f>
        <v>27.709836500072832</v>
      </c>
      <c r="J537" s="1">
        <f>IFERROR(VLOOKUP($B537,'V15'!$A$8:$J$29,10,1),"")</f>
        <v>34.038438960635567</v>
      </c>
      <c r="K537">
        <f>IFERROR(VLOOKUP($B537,'V15'!$A$9:$Q$1048576,3,1),"")</f>
        <v>-1</v>
      </c>
      <c r="L537">
        <f>IFERROR(VLOOKUP($B537,'V15'!$A$8:$Q$29,11,1),"")</f>
        <v>-2.4089574944938654</v>
      </c>
      <c r="M537">
        <f>IFERROR(VLOOKUP($B537,'V15'!$A$8:$Q$29,12,1),"")</f>
        <v>-1.6015856980836296</v>
      </c>
      <c r="N537">
        <f>IFERROR(VLOOKUP($B537,'V15'!$A$8:$Q$29,13,1),"")</f>
        <v>-0.79421390167339367</v>
      </c>
      <c r="O537">
        <f>IFERROR(VLOOKUP($B537,'V15'!$A$8:$Q$29,14,1),"")</f>
        <v>1.3157894736842105E-2</v>
      </c>
      <c r="P537">
        <f>IFERROR(VLOOKUP($B537,'V15'!$A$8:$Q$29,15,1),"")</f>
        <v>0.82052969114707797</v>
      </c>
      <c r="Q537">
        <f>IFERROR(VLOOKUP($B537,'V15'!$A$8:$Q$29,16,1),"")</f>
        <v>1.6279014875573137</v>
      </c>
      <c r="R537">
        <f>IFERROR(VLOOKUP($B537,'V15'!$A$8:$Q$29,17,1),"")</f>
        <v>2.4352732839675495</v>
      </c>
      <c r="Z537" s="17"/>
      <c r="AY537" s="17"/>
    </row>
    <row r="538" spans="1:51" x14ac:dyDescent="0.25">
      <c r="A538" s="17"/>
      <c r="B538" s="2">
        <f t="shared" si="11"/>
        <v>45440</v>
      </c>
      <c r="C538">
        <f>IFERROR(VLOOKUP($B538,'V15'!$A$9:$J$1048576,2,1),"")</f>
        <v>15</v>
      </c>
      <c r="D538" s="1">
        <f>IFERROR(VLOOKUP($B538,'V15'!$A$8:$J$29,4,1),"")</f>
        <v>-3.9331758027408288</v>
      </c>
      <c r="E538" s="1">
        <f>IFERROR(VLOOKUP($B538,'V15'!$A$8:$J$29,5,1),"")</f>
        <v>2.3954266578219023</v>
      </c>
      <c r="F538" s="1">
        <f>IFERROR(VLOOKUP($B538,'V15'!$A$8:$J$29,6,1),"")</f>
        <v>8.7240291183846352</v>
      </c>
      <c r="G538" s="1">
        <f>IFERROR(VLOOKUP($B538,'V15'!$A$8:$J$29,7,1),"")</f>
        <v>15.052631578947368</v>
      </c>
      <c r="H538" s="1">
        <f>IFERROR(VLOOKUP($B538,'V15'!$A$8:$J$29,8,1),"")</f>
        <v>21.381234039510101</v>
      </c>
      <c r="I538" s="1">
        <f>IFERROR(VLOOKUP($B538,'V15'!$A$8:$J$29,9,1),"")</f>
        <v>27.709836500072832</v>
      </c>
      <c r="J538" s="1">
        <f>IFERROR(VLOOKUP($B538,'V15'!$A$8:$J$29,10,1),"")</f>
        <v>34.038438960635567</v>
      </c>
      <c r="K538">
        <f>IFERROR(VLOOKUP($B538,'V15'!$A$9:$Q$1048576,3,1),"")</f>
        <v>-0.5</v>
      </c>
      <c r="L538">
        <f>IFERROR(VLOOKUP($B538,'V15'!$A$8:$Q$29,11,1),"")</f>
        <v>-2.4089574944938654</v>
      </c>
      <c r="M538">
        <f>IFERROR(VLOOKUP($B538,'V15'!$A$8:$Q$29,12,1),"")</f>
        <v>-1.6015856980836296</v>
      </c>
      <c r="N538">
        <f>IFERROR(VLOOKUP($B538,'V15'!$A$8:$Q$29,13,1),"")</f>
        <v>-0.79421390167339367</v>
      </c>
      <c r="O538">
        <f>IFERROR(VLOOKUP($B538,'V15'!$A$8:$Q$29,14,1),"")</f>
        <v>1.3157894736842105E-2</v>
      </c>
      <c r="P538">
        <f>IFERROR(VLOOKUP($B538,'V15'!$A$8:$Q$29,15,1),"")</f>
        <v>0.82052969114707797</v>
      </c>
      <c r="Q538">
        <f>IFERROR(VLOOKUP($B538,'V15'!$A$8:$Q$29,16,1),"")</f>
        <v>1.6279014875573137</v>
      </c>
      <c r="R538">
        <f>IFERROR(VLOOKUP($B538,'V15'!$A$8:$Q$29,17,1),"")</f>
        <v>2.4352732839675495</v>
      </c>
      <c r="Z538" s="17"/>
      <c r="AY538" s="17"/>
    </row>
    <row r="539" spans="1:51" x14ac:dyDescent="0.25">
      <c r="A539" s="17"/>
      <c r="B539" s="2">
        <f t="shared" si="11"/>
        <v>45471</v>
      </c>
      <c r="C539">
        <f>IFERROR(VLOOKUP($B539,'V15'!$A$9:$J$1048576,2,1),"")</f>
        <v>16</v>
      </c>
      <c r="D539" s="1">
        <f>IFERROR(VLOOKUP($B539,'V15'!$A$8:$J$29,4,1),"")</f>
        <v>-3.9331758027408288</v>
      </c>
      <c r="E539" s="1">
        <f>IFERROR(VLOOKUP($B539,'V15'!$A$8:$J$29,5,1),"")</f>
        <v>2.3954266578219023</v>
      </c>
      <c r="F539" s="1">
        <f>IFERROR(VLOOKUP($B539,'V15'!$A$8:$J$29,6,1),"")</f>
        <v>8.7240291183846352</v>
      </c>
      <c r="G539" s="1">
        <f>IFERROR(VLOOKUP($B539,'V15'!$A$8:$J$29,7,1),"")</f>
        <v>15.052631578947368</v>
      </c>
      <c r="H539" s="1">
        <f>IFERROR(VLOOKUP($B539,'V15'!$A$8:$J$29,8,1),"")</f>
        <v>21.381234039510101</v>
      </c>
      <c r="I539" s="1">
        <f>IFERROR(VLOOKUP($B539,'V15'!$A$8:$J$29,9,1),"")</f>
        <v>27.709836500072832</v>
      </c>
      <c r="J539" s="1">
        <f>IFERROR(VLOOKUP($B539,'V15'!$A$8:$J$29,10,1),"")</f>
        <v>34.038438960635567</v>
      </c>
      <c r="K539">
        <f>IFERROR(VLOOKUP($B539,'V15'!$A$9:$Q$1048576,3,1),"")</f>
        <v>0.25</v>
      </c>
      <c r="L539">
        <f>IFERROR(VLOOKUP($B539,'V15'!$A$8:$Q$29,11,1),"")</f>
        <v>-2.4089574944938654</v>
      </c>
      <c r="M539">
        <f>IFERROR(VLOOKUP($B539,'V15'!$A$8:$Q$29,12,1),"")</f>
        <v>-1.6015856980836296</v>
      </c>
      <c r="N539">
        <f>IFERROR(VLOOKUP($B539,'V15'!$A$8:$Q$29,13,1),"")</f>
        <v>-0.79421390167339367</v>
      </c>
      <c r="O539">
        <f>IFERROR(VLOOKUP($B539,'V15'!$A$8:$Q$29,14,1),"")</f>
        <v>1.3157894736842105E-2</v>
      </c>
      <c r="P539">
        <f>IFERROR(VLOOKUP($B539,'V15'!$A$8:$Q$29,15,1),"")</f>
        <v>0.82052969114707797</v>
      </c>
      <c r="Q539">
        <f>IFERROR(VLOOKUP($B539,'V15'!$A$8:$Q$29,16,1),"")</f>
        <v>1.6279014875573137</v>
      </c>
      <c r="R539">
        <f>IFERROR(VLOOKUP($B539,'V15'!$A$8:$Q$29,17,1),"")</f>
        <v>2.4352732839675495</v>
      </c>
      <c r="Z539" s="17"/>
      <c r="AY539" s="17"/>
    </row>
    <row r="540" spans="1:51" x14ac:dyDescent="0.25">
      <c r="A540" s="17"/>
      <c r="B540" s="2">
        <f t="shared" si="11"/>
        <v>45501</v>
      </c>
      <c r="C540">
        <f>IFERROR(VLOOKUP($B540,'V15'!$A$9:$J$1048576,2,1),"")</f>
        <v>15</v>
      </c>
      <c r="D540" s="1">
        <f>IFERROR(VLOOKUP($B540,'V15'!$A$8:$J$29,4,1),"")</f>
        <v>-3.9331758027408288</v>
      </c>
      <c r="E540" s="1">
        <f>IFERROR(VLOOKUP($B540,'V15'!$A$8:$J$29,5,1),"")</f>
        <v>2.3954266578219023</v>
      </c>
      <c r="F540" s="1">
        <f>IFERROR(VLOOKUP($B540,'V15'!$A$8:$J$29,6,1),"")</f>
        <v>8.7240291183846352</v>
      </c>
      <c r="G540" s="1">
        <f>IFERROR(VLOOKUP($B540,'V15'!$A$8:$J$29,7,1),"")</f>
        <v>15.052631578947368</v>
      </c>
      <c r="H540" s="1">
        <f>IFERROR(VLOOKUP($B540,'V15'!$A$8:$J$29,8,1),"")</f>
        <v>21.381234039510101</v>
      </c>
      <c r="I540" s="1">
        <f>IFERROR(VLOOKUP($B540,'V15'!$A$8:$J$29,9,1),"")</f>
        <v>27.709836500072832</v>
      </c>
      <c r="J540" s="1">
        <f>IFERROR(VLOOKUP($B540,'V15'!$A$8:$J$29,10,1),"")</f>
        <v>34.038438960635567</v>
      </c>
      <c r="K540">
        <f>IFERROR(VLOOKUP($B540,'V15'!$A$9:$Q$1048576,3,1),"")</f>
        <v>-0.25</v>
      </c>
      <c r="L540">
        <f>IFERROR(VLOOKUP($B540,'V15'!$A$8:$Q$29,11,1),"")</f>
        <v>-2.4089574944938654</v>
      </c>
      <c r="M540">
        <f>IFERROR(VLOOKUP($B540,'V15'!$A$8:$Q$29,12,1),"")</f>
        <v>-1.6015856980836296</v>
      </c>
      <c r="N540">
        <f>IFERROR(VLOOKUP($B540,'V15'!$A$8:$Q$29,13,1),"")</f>
        <v>-0.79421390167339367</v>
      </c>
      <c r="O540">
        <f>IFERROR(VLOOKUP($B540,'V15'!$A$8:$Q$29,14,1),"")</f>
        <v>1.3157894736842105E-2</v>
      </c>
      <c r="P540">
        <f>IFERROR(VLOOKUP($B540,'V15'!$A$8:$Q$29,15,1),"")</f>
        <v>0.82052969114707797</v>
      </c>
      <c r="Q540">
        <f>IFERROR(VLOOKUP($B540,'V15'!$A$8:$Q$29,16,1),"")</f>
        <v>1.6279014875573137</v>
      </c>
      <c r="R540">
        <f>IFERROR(VLOOKUP($B540,'V15'!$A$8:$Q$29,17,1),"")</f>
        <v>2.4352732839675495</v>
      </c>
      <c r="Z540" s="17"/>
      <c r="AY540" s="17"/>
    </row>
    <row r="541" spans="1:51" x14ac:dyDescent="0.25">
      <c r="A541" s="17"/>
      <c r="B541" s="2">
        <f t="shared" si="11"/>
        <v>45532</v>
      </c>
      <c r="C541">
        <f>IFERROR(VLOOKUP($B541,'V15'!$A$9:$J$1048576,2,1),"")</f>
        <v>15</v>
      </c>
      <c r="D541" s="1">
        <f>IFERROR(VLOOKUP($B541,'V15'!$A$8:$J$29,4,1),"")</f>
        <v>-3.9331758027408288</v>
      </c>
      <c r="E541" s="1">
        <f>IFERROR(VLOOKUP($B541,'V15'!$A$8:$J$29,5,1),"")</f>
        <v>2.3954266578219023</v>
      </c>
      <c r="F541" s="1">
        <f>IFERROR(VLOOKUP($B541,'V15'!$A$8:$J$29,6,1),"")</f>
        <v>8.7240291183846352</v>
      </c>
      <c r="G541" s="1">
        <f>IFERROR(VLOOKUP($B541,'V15'!$A$8:$J$29,7,1),"")</f>
        <v>15.052631578947368</v>
      </c>
      <c r="H541" s="1">
        <f>IFERROR(VLOOKUP($B541,'V15'!$A$8:$J$29,8,1),"")</f>
        <v>21.381234039510101</v>
      </c>
      <c r="I541" s="1">
        <f>IFERROR(VLOOKUP($B541,'V15'!$A$8:$J$29,9,1),"")</f>
        <v>27.709836500072832</v>
      </c>
      <c r="J541" s="1">
        <f>IFERROR(VLOOKUP($B541,'V15'!$A$8:$J$29,10,1),"")</f>
        <v>34.038438960635567</v>
      </c>
      <c r="K541">
        <f>IFERROR(VLOOKUP($B541,'V15'!$A$9:$Q$1048576,3,1),"")</f>
        <v>0</v>
      </c>
      <c r="L541">
        <f>IFERROR(VLOOKUP($B541,'V15'!$A$8:$Q$29,11,1),"")</f>
        <v>-2.4089574944938654</v>
      </c>
      <c r="M541">
        <f>IFERROR(VLOOKUP($B541,'V15'!$A$8:$Q$29,12,1),"")</f>
        <v>-1.6015856980836296</v>
      </c>
      <c r="N541">
        <f>IFERROR(VLOOKUP($B541,'V15'!$A$8:$Q$29,13,1),"")</f>
        <v>-0.79421390167339367</v>
      </c>
      <c r="O541">
        <f>IFERROR(VLOOKUP($B541,'V15'!$A$8:$Q$29,14,1),"")</f>
        <v>1.3157894736842105E-2</v>
      </c>
      <c r="P541">
        <f>IFERROR(VLOOKUP($B541,'V15'!$A$8:$Q$29,15,1),"")</f>
        <v>0.82052969114707797</v>
      </c>
      <c r="Q541">
        <f>IFERROR(VLOOKUP($B541,'V15'!$A$8:$Q$29,16,1),"")</f>
        <v>1.6279014875573137</v>
      </c>
      <c r="R541">
        <f>IFERROR(VLOOKUP($B541,'V15'!$A$8:$Q$29,17,1),"")</f>
        <v>2.4352732839675495</v>
      </c>
      <c r="Z541" s="17"/>
      <c r="AY541" s="17"/>
    </row>
    <row r="542" spans="1:51" x14ac:dyDescent="0.25">
      <c r="A542" s="17"/>
      <c r="B542" s="2">
        <f t="shared" si="11"/>
        <v>45563</v>
      </c>
      <c r="C542">
        <f>IFERROR(VLOOKUP($B542,'V15'!$A$9:$J$1048576,2,1),"")</f>
        <v>12</v>
      </c>
      <c r="D542" s="1">
        <f>IFERROR(VLOOKUP($B542,'V15'!$A$8:$J$29,4,1),"")</f>
        <v>-3.9331758027408288</v>
      </c>
      <c r="E542" s="1">
        <f>IFERROR(VLOOKUP($B542,'V15'!$A$8:$J$29,5,1),"")</f>
        <v>2.3954266578219023</v>
      </c>
      <c r="F542" s="1">
        <f>IFERROR(VLOOKUP($B542,'V15'!$A$8:$J$29,6,1),"")</f>
        <v>8.7240291183846352</v>
      </c>
      <c r="G542" s="1">
        <f>IFERROR(VLOOKUP($B542,'V15'!$A$8:$J$29,7,1),"")</f>
        <v>15.052631578947368</v>
      </c>
      <c r="H542" s="1">
        <f>IFERROR(VLOOKUP($B542,'V15'!$A$8:$J$29,8,1),"")</f>
        <v>21.381234039510101</v>
      </c>
      <c r="I542" s="1">
        <f>IFERROR(VLOOKUP($B542,'V15'!$A$8:$J$29,9,1),"")</f>
        <v>27.709836500072832</v>
      </c>
      <c r="J542" s="1">
        <f>IFERROR(VLOOKUP($B542,'V15'!$A$8:$J$29,10,1),"")</f>
        <v>34.038438960635567</v>
      </c>
      <c r="K542">
        <f>IFERROR(VLOOKUP($B542,'V15'!$A$9:$Q$1048576,3,1),"")</f>
        <v>-0.75</v>
      </c>
      <c r="L542">
        <f>IFERROR(VLOOKUP($B542,'V15'!$A$8:$Q$29,11,1),"")</f>
        <v>-2.4089574944938654</v>
      </c>
      <c r="M542">
        <f>IFERROR(VLOOKUP($B542,'V15'!$A$8:$Q$29,12,1),"")</f>
        <v>-1.6015856980836296</v>
      </c>
      <c r="N542">
        <f>IFERROR(VLOOKUP($B542,'V15'!$A$8:$Q$29,13,1),"")</f>
        <v>-0.79421390167339367</v>
      </c>
      <c r="O542">
        <f>IFERROR(VLOOKUP($B542,'V15'!$A$8:$Q$29,14,1),"")</f>
        <v>1.3157894736842105E-2</v>
      </c>
      <c r="P542">
        <f>IFERROR(VLOOKUP($B542,'V15'!$A$8:$Q$29,15,1),"")</f>
        <v>0.82052969114707797</v>
      </c>
      <c r="Q542">
        <f>IFERROR(VLOOKUP($B542,'V15'!$A$8:$Q$29,16,1),"")</f>
        <v>1.6279014875573137</v>
      </c>
      <c r="R542">
        <f>IFERROR(VLOOKUP($B542,'V15'!$A$8:$Q$29,17,1),"")</f>
        <v>2.4352732839675495</v>
      </c>
      <c r="Z542" s="17"/>
      <c r="AY542" s="17"/>
    </row>
    <row r="543" spans="1:51" x14ac:dyDescent="0.25">
      <c r="A543" s="17"/>
      <c r="B543" s="2">
        <f t="shared" si="11"/>
        <v>45593</v>
      </c>
      <c r="C543">
        <f>IFERROR(VLOOKUP($B543,'V15'!$A$9:$J$1048576,2,1),"")</f>
        <v>10</v>
      </c>
      <c r="D543" s="1">
        <f>IFERROR(VLOOKUP($B543,'V15'!$A$8:$J$29,4,1),"")</f>
        <v>-3.9331758027408288</v>
      </c>
      <c r="E543" s="1">
        <f>IFERROR(VLOOKUP($B543,'V15'!$A$8:$J$29,5,1),"")</f>
        <v>2.3954266578219023</v>
      </c>
      <c r="F543" s="1">
        <f>IFERROR(VLOOKUP($B543,'V15'!$A$8:$J$29,6,1),"")</f>
        <v>8.7240291183846352</v>
      </c>
      <c r="G543" s="1">
        <f>IFERROR(VLOOKUP($B543,'V15'!$A$8:$J$29,7,1),"")</f>
        <v>15.052631578947368</v>
      </c>
      <c r="H543" s="1">
        <f>IFERROR(VLOOKUP($B543,'V15'!$A$8:$J$29,8,1),"")</f>
        <v>21.381234039510101</v>
      </c>
      <c r="I543" s="1">
        <f>IFERROR(VLOOKUP($B543,'V15'!$A$8:$J$29,9,1),"")</f>
        <v>27.709836500072832</v>
      </c>
      <c r="J543" s="1">
        <f>IFERROR(VLOOKUP($B543,'V15'!$A$8:$J$29,10,1),"")</f>
        <v>34.038438960635567</v>
      </c>
      <c r="K543">
        <f>IFERROR(VLOOKUP($B543,'V15'!$A$9:$Q$1048576,3,1),"")</f>
        <v>-0.5</v>
      </c>
      <c r="L543">
        <f>IFERROR(VLOOKUP($B543,'V15'!$A$8:$Q$29,11,1),"")</f>
        <v>-2.4089574944938654</v>
      </c>
      <c r="M543">
        <f>IFERROR(VLOOKUP($B543,'V15'!$A$8:$Q$29,12,1),"")</f>
        <v>-1.6015856980836296</v>
      </c>
      <c r="N543">
        <f>IFERROR(VLOOKUP($B543,'V15'!$A$8:$Q$29,13,1),"")</f>
        <v>-0.79421390167339367</v>
      </c>
      <c r="O543">
        <f>IFERROR(VLOOKUP($B543,'V15'!$A$8:$Q$29,14,1),"")</f>
        <v>1.3157894736842105E-2</v>
      </c>
      <c r="P543">
        <f>IFERROR(VLOOKUP($B543,'V15'!$A$8:$Q$29,15,1),"")</f>
        <v>0.82052969114707797</v>
      </c>
      <c r="Q543">
        <f>IFERROR(VLOOKUP($B543,'V15'!$A$8:$Q$29,16,1),"")</f>
        <v>1.6279014875573137</v>
      </c>
      <c r="R543">
        <f>IFERROR(VLOOKUP($B543,'V15'!$A$8:$Q$29,17,1),"")</f>
        <v>2.4352732839675495</v>
      </c>
      <c r="Z543" s="17"/>
      <c r="AY543" s="17"/>
    </row>
    <row r="544" spans="1:51" x14ac:dyDescent="0.25">
      <c r="A544" s="17"/>
      <c r="B544" s="2">
        <f t="shared" si="11"/>
        <v>45624</v>
      </c>
      <c r="C544">
        <f>IFERROR(VLOOKUP($B544,'V15'!$A$9:$J$1048576,2,1),"")</f>
        <v>8</v>
      </c>
      <c r="D544" s="1">
        <f>IFERROR(VLOOKUP($B544,'V15'!$A$8:$J$29,4,1),"")</f>
        <v>-3.9331758027408288</v>
      </c>
      <c r="E544" s="1">
        <f>IFERROR(VLOOKUP($B544,'V15'!$A$8:$J$29,5,1),"")</f>
        <v>2.3954266578219023</v>
      </c>
      <c r="F544" s="1">
        <f>IFERROR(VLOOKUP($B544,'V15'!$A$8:$J$29,6,1),"")</f>
        <v>8.7240291183846352</v>
      </c>
      <c r="G544" s="1">
        <f>IFERROR(VLOOKUP($B544,'V15'!$A$8:$J$29,7,1),"")</f>
        <v>15.052631578947368</v>
      </c>
      <c r="H544" s="1">
        <f>IFERROR(VLOOKUP($B544,'V15'!$A$8:$J$29,8,1),"")</f>
        <v>21.381234039510101</v>
      </c>
      <c r="I544" s="1">
        <f>IFERROR(VLOOKUP($B544,'V15'!$A$8:$J$29,9,1),"")</f>
        <v>27.709836500072832</v>
      </c>
      <c r="J544" s="1">
        <f>IFERROR(VLOOKUP($B544,'V15'!$A$8:$J$29,10,1),"")</f>
        <v>34.038438960635567</v>
      </c>
      <c r="K544">
        <f>IFERROR(VLOOKUP($B544,'V15'!$A$9:$Q$1048576,3,1),"")</f>
        <v>-0.5</v>
      </c>
      <c r="L544">
        <f>IFERROR(VLOOKUP($B544,'V15'!$A$8:$Q$29,11,1),"")</f>
        <v>-2.4089574944938654</v>
      </c>
      <c r="M544">
        <f>IFERROR(VLOOKUP($B544,'V15'!$A$8:$Q$29,12,1),"")</f>
        <v>-1.6015856980836296</v>
      </c>
      <c r="N544">
        <f>IFERROR(VLOOKUP($B544,'V15'!$A$8:$Q$29,13,1),"")</f>
        <v>-0.79421390167339367</v>
      </c>
      <c r="O544">
        <f>IFERROR(VLOOKUP($B544,'V15'!$A$8:$Q$29,14,1),"")</f>
        <v>1.3157894736842105E-2</v>
      </c>
      <c r="P544">
        <f>IFERROR(VLOOKUP($B544,'V15'!$A$8:$Q$29,15,1),"")</f>
        <v>0.82052969114707797</v>
      </c>
      <c r="Q544">
        <f>IFERROR(VLOOKUP($B544,'V15'!$A$8:$Q$29,16,1),"")</f>
        <v>1.6279014875573137</v>
      </c>
      <c r="R544">
        <f>IFERROR(VLOOKUP($B544,'V15'!$A$8:$Q$29,17,1),"")</f>
        <v>2.4352732839675495</v>
      </c>
      <c r="Z544" s="17"/>
      <c r="AY544" s="17"/>
    </row>
    <row r="545" spans="1:51" x14ac:dyDescent="0.25">
      <c r="A545" s="17"/>
      <c r="B545" s="2">
        <f t="shared" si="11"/>
        <v>45654</v>
      </c>
      <c r="C545">
        <f>IFERROR(VLOOKUP($B545,'V15'!$A$9:$J$1048576,2,1),"")</f>
        <v>5</v>
      </c>
      <c r="D545" s="1">
        <f>IFERROR(VLOOKUP($B545,'V15'!$A$8:$J$29,4,1),"")</f>
        <v>-3.9331758027408288</v>
      </c>
      <c r="E545" s="1">
        <f>IFERROR(VLOOKUP($B545,'V15'!$A$8:$J$29,5,1),"")</f>
        <v>2.3954266578219023</v>
      </c>
      <c r="F545" s="1">
        <f>IFERROR(VLOOKUP($B545,'V15'!$A$8:$J$29,6,1),"")</f>
        <v>8.7240291183846352</v>
      </c>
      <c r="G545" s="1">
        <f>IFERROR(VLOOKUP($B545,'V15'!$A$8:$J$29,7,1),"")</f>
        <v>15.052631578947368</v>
      </c>
      <c r="H545" s="1">
        <f>IFERROR(VLOOKUP($B545,'V15'!$A$8:$J$29,8,1),"")</f>
        <v>21.381234039510101</v>
      </c>
      <c r="I545" s="1">
        <f>IFERROR(VLOOKUP($B545,'V15'!$A$8:$J$29,9,1),"")</f>
        <v>27.709836500072832</v>
      </c>
      <c r="J545" s="1">
        <f>IFERROR(VLOOKUP($B545,'V15'!$A$8:$J$29,10,1),"")</f>
        <v>34.038438960635567</v>
      </c>
      <c r="K545">
        <f>IFERROR(VLOOKUP($B545,'V15'!$A$9:$Q$1048576,3,1),"")</f>
        <v>-0.75</v>
      </c>
      <c r="L545">
        <f>IFERROR(VLOOKUP($B545,'V15'!$A$8:$Q$29,11,1),"")</f>
        <v>-2.4089574944938654</v>
      </c>
      <c r="M545">
        <f>IFERROR(VLOOKUP($B545,'V15'!$A$8:$Q$29,12,1),"")</f>
        <v>-1.6015856980836296</v>
      </c>
      <c r="N545">
        <f>IFERROR(VLOOKUP($B545,'V15'!$A$8:$Q$29,13,1),"")</f>
        <v>-0.79421390167339367</v>
      </c>
      <c r="O545">
        <f>IFERROR(VLOOKUP($B545,'V15'!$A$8:$Q$29,14,1),"")</f>
        <v>1.3157894736842105E-2</v>
      </c>
      <c r="P545">
        <f>IFERROR(VLOOKUP($B545,'V15'!$A$8:$Q$29,15,1),"")</f>
        <v>0.82052969114707797</v>
      </c>
      <c r="Q545">
        <f>IFERROR(VLOOKUP($B545,'V15'!$A$8:$Q$29,16,1),"")</f>
        <v>1.6279014875573137</v>
      </c>
      <c r="R545">
        <f>IFERROR(VLOOKUP($B545,'V15'!$A$8:$Q$29,17,1),"")</f>
        <v>2.4352732839675495</v>
      </c>
      <c r="Z545" s="17"/>
      <c r="AY545" s="17"/>
    </row>
    <row r="546" spans="1:51" x14ac:dyDescent="0.25">
      <c r="A546" s="17"/>
      <c r="B546" s="2">
        <f t="shared" si="11"/>
        <v>45685</v>
      </c>
      <c r="C546">
        <f>IFERROR(VLOOKUP($B546,'V15'!$A$9:$J$1048576,2,1),"")</f>
        <v>11</v>
      </c>
      <c r="D546" s="1">
        <f>IFERROR(VLOOKUP($B546,'V15'!$A$8:$J$29,4,1),"")</f>
        <v>-3.9331758027408288</v>
      </c>
      <c r="E546" s="1">
        <f>IFERROR(VLOOKUP($B546,'V15'!$A$8:$J$29,5,1),"")</f>
        <v>2.3954266578219023</v>
      </c>
      <c r="F546" s="1">
        <f>IFERROR(VLOOKUP($B546,'V15'!$A$8:$J$29,6,1),"")</f>
        <v>8.7240291183846352</v>
      </c>
      <c r="G546" s="1">
        <f>IFERROR(VLOOKUP($B546,'V15'!$A$8:$J$29,7,1),"")</f>
        <v>15.052631578947368</v>
      </c>
      <c r="H546" s="1">
        <f>IFERROR(VLOOKUP($B546,'V15'!$A$8:$J$29,8,1),"")</f>
        <v>21.381234039510101</v>
      </c>
      <c r="I546" s="1">
        <f>IFERROR(VLOOKUP($B546,'V15'!$A$8:$J$29,9,1),"")</f>
        <v>27.709836500072832</v>
      </c>
      <c r="J546" s="1">
        <f>IFERROR(VLOOKUP($B546,'V15'!$A$8:$J$29,10,1),"")</f>
        <v>34.038438960635567</v>
      </c>
      <c r="K546">
        <f>IFERROR(VLOOKUP($B546,'V15'!$A$9:$Q$1048576,3,1),"")</f>
        <v>1.5</v>
      </c>
      <c r="L546">
        <f>IFERROR(VLOOKUP($B546,'V15'!$A$8:$Q$29,11,1),"")</f>
        <v>-2.4089574944938654</v>
      </c>
      <c r="M546">
        <f>IFERROR(VLOOKUP($B546,'V15'!$A$8:$Q$29,12,1),"")</f>
        <v>-1.6015856980836296</v>
      </c>
      <c r="N546">
        <f>IFERROR(VLOOKUP($B546,'V15'!$A$8:$Q$29,13,1),"")</f>
        <v>-0.79421390167339367</v>
      </c>
      <c r="O546">
        <f>IFERROR(VLOOKUP($B546,'V15'!$A$8:$Q$29,14,1),"")</f>
        <v>1.3157894736842105E-2</v>
      </c>
      <c r="P546">
        <f>IFERROR(VLOOKUP($B546,'V15'!$A$8:$Q$29,15,1),"")</f>
        <v>0.82052969114707797</v>
      </c>
      <c r="Q546">
        <f>IFERROR(VLOOKUP($B546,'V15'!$A$8:$Q$29,16,1),"")</f>
        <v>1.6279014875573137</v>
      </c>
      <c r="R546">
        <f>IFERROR(VLOOKUP($B546,'V15'!$A$8:$Q$29,17,1),"")</f>
        <v>2.4352732839675495</v>
      </c>
      <c r="Z546" s="17"/>
      <c r="AY546" s="17"/>
    </row>
    <row r="547" spans="1:51" x14ac:dyDescent="0.25">
      <c r="A547" s="17"/>
      <c r="B547" s="2">
        <f t="shared" si="11"/>
        <v>45716</v>
      </c>
      <c r="C547">
        <f>IFERROR(VLOOKUP($B547,'V15'!$A$9:$J$1048576,2,1),"")</f>
        <v>14</v>
      </c>
      <c r="D547" s="1">
        <f>IFERROR(VLOOKUP($B547,'V15'!$A$8:$J$29,4,1),"")</f>
        <v>-3.9331758027408288</v>
      </c>
      <c r="E547" s="1">
        <f>IFERROR(VLOOKUP($B547,'V15'!$A$8:$J$29,5,1),"")</f>
        <v>2.3954266578219023</v>
      </c>
      <c r="F547" s="1">
        <f>IFERROR(VLOOKUP($B547,'V15'!$A$8:$J$29,6,1),"")</f>
        <v>8.7240291183846352</v>
      </c>
      <c r="G547" s="1">
        <f>IFERROR(VLOOKUP($B547,'V15'!$A$8:$J$29,7,1),"")</f>
        <v>15.052631578947368</v>
      </c>
      <c r="H547" s="1">
        <f>IFERROR(VLOOKUP($B547,'V15'!$A$8:$J$29,8,1),"")</f>
        <v>21.381234039510101</v>
      </c>
      <c r="I547" s="1">
        <f>IFERROR(VLOOKUP($B547,'V15'!$A$8:$J$29,9,1),"")</f>
        <v>27.709836500072832</v>
      </c>
      <c r="J547" s="1">
        <f>IFERROR(VLOOKUP($B547,'V15'!$A$8:$J$29,10,1),"")</f>
        <v>34.038438960635567</v>
      </c>
      <c r="K547">
        <f>IFERROR(VLOOKUP($B547,'V15'!$A$9:$Q$1048576,3,1),"")</f>
        <v>0.75</v>
      </c>
      <c r="L547">
        <f>IFERROR(VLOOKUP($B547,'V15'!$A$8:$Q$29,11,1),"")</f>
        <v>-2.4089574944938654</v>
      </c>
      <c r="M547">
        <f>IFERROR(VLOOKUP($B547,'V15'!$A$8:$Q$29,12,1),"")</f>
        <v>-1.6015856980836296</v>
      </c>
      <c r="N547">
        <f>IFERROR(VLOOKUP($B547,'V15'!$A$8:$Q$29,13,1),"")</f>
        <v>-0.79421390167339367</v>
      </c>
      <c r="O547">
        <f>IFERROR(VLOOKUP($B547,'V15'!$A$8:$Q$29,14,1),"")</f>
        <v>1.3157894736842105E-2</v>
      </c>
      <c r="P547">
        <f>IFERROR(VLOOKUP($B547,'V15'!$A$8:$Q$29,15,1),"")</f>
        <v>0.82052969114707797</v>
      </c>
      <c r="Q547">
        <f>IFERROR(VLOOKUP($B547,'V15'!$A$8:$Q$29,16,1),"")</f>
        <v>1.6279014875573137</v>
      </c>
      <c r="R547">
        <f>IFERROR(VLOOKUP($B547,'V15'!$A$8:$Q$29,17,1),"")</f>
        <v>2.4352732839675495</v>
      </c>
      <c r="Z547" s="17"/>
      <c r="AY547" s="17"/>
    </row>
    <row r="548" spans="1:51" x14ac:dyDescent="0.25">
      <c r="A548" s="17"/>
      <c r="B548" s="2">
        <f t="shared" si="11"/>
        <v>45746</v>
      </c>
      <c r="C548">
        <f>IFERROR(VLOOKUP($B548,'V15'!$A$9:$J$1048576,2,1),"")</f>
        <v>15</v>
      </c>
      <c r="D548" s="1">
        <f>IFERROR(VLOOKUP($B548,'V15'!$A$8:$J$29,4,1),"")</f>
        <v>-3.9331758027408288</v>
      </c>
      <c r="E548" s="1">
        <f>IFERROR(VLOOKUP($B548,'V15'!$A$8:$J$29,5,1),"")</f>
        <v>2.3954266578219023</v>
      </c>
      <c r="F548" s="1">
        <f>IFERROR(VLOOKUP($B548,'V15'!$A$8:$J$29,6,1),"")</f>
        <v>8.7240291183846352</v>
      </c>
      <c r="G548" s="1">
        <f>IFERROR(VLOOKUP($B548,'V15'!$A$8:$J$29,7,1),"")</f>
        <v>15.052631578947368</v>
      </c>
      <c r="H548" s="1">
        <f>IFERROR(VLOOKUP($B548,'V15'!$A$8:$J$29,8,1),"")</f>
        <v>21.381234039510101</v>
      </c>
      <c r="I548" s="1">
        <f>IFERROR(VLOOKUP($B548,'V15'!$A$8:$J$29,9,1),"")</f>
        <v>27.709836500072832</v>
      </c>
      <c r="J548" s="1">
        <f>IFERROR(VLOOKUP($B548,'V15'!$A$8:$J$29,10,1),"")</f>
        <v>34.038438960635567</v>
      </c>
      <c r="K548">
        <f>IFERROR(VLOOKUP($B548,'V15'!$A$9:$Q$1048576,3,1),"")</f>
        <v>0.25</v>
      </c>
      <c r="L548">
        <f>IFERROR(VLOOKUP($B548,'V15'!$A$8:$Q$29,11,1),"")</f>
        <v>-2.4089574944938654</v>
      </c>
      <c r="M548">
        <f>IFERROR(VLOOKUP($B548,'V15'!$A$8:$Q$29,12,1),"")</f>
        <v>-1.6015856980836296</v>
      </c>
      <c r="N548">
        <f>IFERROR(VLOOKUP($B548,'V15'!$A$8:$Q$29,13,1),"")</f>
        <v>-0.79421390167339367</v>
      </c>
      <c r="O548">
        <f>IFERROR(VLOOKUP($B548,'V15'!$A$8:$Q$29,14,1),"")</f>
        <v>1.3157894736842105E-2</v>
      </c>
      <c r="P548">
        <f>IFERROR(VLOOKUP($B548,'V15'!$A$8:$Q$29,15,1),"")</f>
        <v>0.82052969114707797</v>
      </c>
      <c r="Q548">
        <f>IFERROR(VLOOKUP($B548,'V15'!$A$8:$Q$29,16,1),"")</f>
        <v>1.6279014875573137</v>
      </c>
      <c r="R548">
        <f>IFERROR(VLOOKUP($B548,'V15'!$A$8:$Q$29,17,1),"")</f>
        <v>2.4352732839675495</v>
      </c>
      <c r="Z548" s="17"/>
      <c r="AY548" s="17"/>
    </row>
    <row r="549" spans="1:51" x14ac:dyDescent="0.25">
      <c r="A549" s="17"/>
      <c r="B549" s="2">
        <f t="shared" si="11"/>
        <v>45777</v>
      </c>
      <c r="C549">
        <f>IFERROR(VLOOKUP($B549,'V15'!$A$9:$J$1048576,2,1),"")</f>
        <v>18</v>
      </c>
      <c r="D549" s="1">
        <f>IFERROR(VLOOKUP($B549,'V15'!$A$8:$J$29,4,1),"")</f>
        <v>-3.9331758027408288</v>
      </c>
      <c r="E549" s="1">
        <f>IFERROR(VLOOKUP($B549,'V15'!$A$8:$J$29,5,1),"")</f>
        <v>2.3954266578219023</v>
      </c>
      <c r="F549" s="1">
        <f>IFERROR(VLOOKUP($B549,'V15'!$A$8:$J$29,6,1),"")</f>
        <v>8.7240291183846352</v>
      </c>
      <c r="G549" s="1">
        <f>IFERROR(VLOOKUP($B549,'V15'!$A$8:$J$29,7,1),"")</f>
        <v>15.052631578947368</v>
      </c>
      <c r="H549" s="1">
        <f>IFERROR(VLOOKUP($B549,'V15'!$A$8:$J$29,8,1),"")</f>
        <v>21.381234039510101</v>
      </c>
      <c r="I549" s="1">
        <f>IFERROR(VLOOKUP($B549,'V15'!$A$8:$J$29,9,1),"")</f>
        <v>27.709836500072832</v>
      </c>
      <c r="J549" s="1">
        <f>IFERROR(VLOOKUP($B549,'V15'!$A$8:$J$29,10,1),"")</f>
        <v>34.038438960635567</v>
      </c>
      <c r="K549">
        <f>IFERROR(VLOOKUP($B549,'V15'!$A$9:$Q$1048576,3,1),"")</f>
        <v>0.75</v>
      </c>
      <c r="L549">
        <f>IFERROR(VLOOKUP($B549,'V15'!$A$8:$Q$29,11,1),"")</f>
        <v>-2.4089574944938654</v>
      </c>
      <c r="M549">
        <f>IFERROR(VLOOKUP($B549,'V15'!$A$8:$Q$29,12,1),"")</f>
        <v>-1.6015856980836296</v>
      </c>
      <c r="N549">
        <f>IFERROR(VLOOKUP($B549,'V15'!$A$8:$Q$29,13,1),"")</f>
        <v>-0.79421390167339367</v>
      </c>
      <c r="O549">
        <f>IFERROR(VLOOKUP($B549,'V15'!$A$8:$Q$29,14,1),"")</f>
        <v>1.3157894736842105E-2</v>
      </c>
      <c r="P549">
        <f>IFERROR(VLOOKUP($B549,'V15'!$A$8:$Q$29,15,1),"")</f>
        <v>0.82052969114707797</v>
      </c>
      <c r="Q549">
        <f>IFERROR(VLOOKUP($B549,'V15'!$A$8:$Q$29,16,1),"")</f>
        <v>1.6279014875573137</v>
      </c>
      <c r="R549">
        <f>IFERROR(VLOOKUP($B549,'V15'!$A$8:$Q$29,17,1),"")</f>
        <v>2.4352732839675495</v>
      </c>
      <c r="Z549" s="17"/>
      <c r="AY549" s="17"/>
    </row>
    <row r="550" spans="1:51" x14ac:dyDescent="0.25">
      <c r="A550" s="17"/>
      <c r="B550" s="2">
        <f t="shared" si="11"/>
        <v>45807</v>
      </c>
      <c r="C550">
        <f>IFERROR(VLOOKUP($B550,'V15'!$A$9:$J$1048576,2,1),"")</f>
        <v>12</v>
      </c>
      <c r="D550" s="1">
        <f>IFERROR(VLOOKUP($B550,'V15'!$A$8:$J$29,4,1),"")</f>
        <v>-3.9331758027408288</v>
      </c>
      <c r="E550" s="1">
        <f>IFERROR(VLOOKUP($B550,'V15'!$A$8:$J$29,5,1),"")</f>
        <v>2.3954266578219023</v>
      </c>
      <c r="F550" s="1">
        <f>IFERROR(VLOOKUP($B550,'V15'!$A$8:$J$29,6,1),"")</f>
        <v>8.7240291183846352</v>
      </c>
      <c r="G550" s="1">
        <f>IFERROR(VLOOKUP($B550,'V15'!$A$8:$J$29,7,1),"")</f>
        <v>15.052631578947368</v>
      </c>
      <c r="H550" s="1">
        <f>IFERROR(VLOOKUP($B550,'V15'!$A$8:$J$29,8,1),"")</f>
        <v>21.381234039510101</v>
      </c>
      <c r="I550" s="1">
        <f>IFERROR(VLOOKUP($B550,'V15'!$A$8:$J$29,9,1),"")</f>
        <v>27.709836500072832</v>
      </c>
      <c r="J550" s="1">
        <f>IFERROR(VLOOKUP($B550,'V15'!$A$8:$J$29,10,1),"")</f>
        <v>34.038438960635567</v>
      </c>
      <c r="K550">
        <f>IFERROR(VLOOKUP($B550,'V15'!$A$9:$Q$1048576,3,1),"")</f>
        <v>-1.5</v>
      </c>
      <c r="L550">
        <f>IFERROR(VLOOKUP($B550,'V15'!$A$8:$Q$29,11,1),"")</f>
        <v>-2.4089574944938654</v>
      </c>
      <c r="M550">
        <f>IFERROR(VLOOKUP($B550,'V15'!$A$8:$Q$29,12,1),"")</f>
        <v>-1.6015856980836296</v>
      </c>
      <c r="N550">
        <f>IFERROR(VLOOKUP($B550,'V15'!$A$8:$Q$29,13,1),"")</f>
        <v>-0.79421390167339367</v>
      </c>
      <c r="O550">
        <f>IFERROR(VLOOKUP($B550,'V15'!$A$8:$Q$29,14,1),"")</f>
        <v>1.3157894736842105E-2</v>
      </c>
      <c r="P550">
        <f>IFERROR(VLOOKUP($B550,'V15'!$A$8:$Q$29,15,1),"")</f>
        <v>0.82052969114707797</v>
      </c>
      <c r="Q550">
        <f>IFERROR(VLOOKUP($B550,'V15'!$A$8:$Q$29,16,1),"")</f>
        <v>1.6279014875573137</v>
      </c>
      <c r="R550">
        <f>IFERROR(VLOOKUP($B550,'V15'!$A$8:$Q$29,17,1),"")</f>
        <v>2.4352732839675495</v>
      </c>
      <c r="Z550" s="17"/>
      <c r="AY550" s="17"/>
    </row>
    <row r="551" spans="1:51" x14ac:dyDescent="0.25">
      <c r="A551" s="17"/>
      <c r="B551" s="2">
        <f t="shared" si="11"/>
        <v>45838</v>
      </c>
      <c r="C551">
        <f>IFERROR(VLOOKUP($B551,'V15'!$A$9:$J$1048576,2,1),"")</f>
        <v>9</v>
      </c>
      <c r="D551" s="1">
        <f>IFERROR(VLOOKUP($B551,'V15'!$A$8:$J$29,4,1),"")</f>
        <v>-3.9331758027408288</v>
      </c>
      <c r="E551" s="1">
        <f>IFERROR(VLOOKUP($B551,'V15'!$A$8:$J$29,5,1),"")</f>
        <v>2.3954266578219023</v>
      </c>
      <c r="F551" s="1">
        <f>IFERROR(VLOOKUP($B551,'V15'!$A$8:$J$29,6,1),"")</f>
        <v>8.7240291183846352</v>
      </c>
      <c r="G551" s="1">
        <f>IFERROR(VLOOKUP($B551,'V15'!$A$8:$J$29,7,1),"")</f>
        <v>15.052631578947368</v>
      </c>
      <c r="H551" s="1">
        <f>IFERROR(VLOOKUP($B551,'V15'!$A$8:$J$29,8,1),"")</f>
        <v>21.381234039510101</v>
      </c>
      <c r="I551" s="1">
        <f>IFERROR(VLOOKUP($B551,'V15'!$A$8:$J$29,9,1),"")</f>
        <v>27.709836500072832</v>
      </c>
      <c r="J551" s="1">
        <f>IFERROR(VLOOKUP($B551,'V15'!$A$8:$J$29,10,1),"")</f>
        <v>34.038438960635567</v>
      </c>
      <c r="K551">
        <f>IFERROR(VLOOKUP($B551,'V15'!$A$9:$Q$1048576,3,1),"")</f>
        <v>-0.75</v>
      </c>
      <c r="L551">
        <f>IFERROR(VLOOKUP($B551,'V15'!$A$8:$Q$29,11,1),"")</f>
        <v>-2.4089574944938654</v>
      </c>
      <c r="M551">
        <f>IFERROR(VLOOKUP($B551,'V15'!$A$8:$Q$29,12,1),"")</f>
        <v>-1.6015856980836296</v>
      </c>
      <c r="N551">
        <f>IFERROR(VLOOKUP($B551,'V15'!$A$8:$Q$29,13,1),"")</f>
        <v>-0.79421390167339367</v>
      </c>
      <c r="O551">
        <f>IFERROR(VLOOKUP($B551,'V15'!$A$8:$Q$29,14,1),"")</f>
        <v>1.3157894736842105E-2</v>
      </c>
      <c r="P551">
        <f>IFERROR(VLOOKUP($B551,'V15'!$A$8:$Q$29,15,1),"")</f>
        <v>0.82052969114707797</v>
      </c>
      <c r="Q551">
        <f>IFERROR(VLOOKUP($B551,'V15'!$A$8:$Q$29,16,1),"")</f>
        <v>1.6279014875573137</v>
      </c>
      <c r="R551">
        <f>IFERROR(VLOOKUP($B551,'V15'!$A$8:$Q$29,17,1),"")</f>
        <v>2.4352732839675495</v>
      </c>
      <c r="Z551" s="17"/>
      <c r="AY551" s="17"/>
    </row>
    <row r="552" spans="1:51" x14ac:dyDescent="0.25">
      <c r="A552" s="17"/>
      <c r="B552" s="2">
        <f t="shared" si="11"/>
        <v>45868</v>
      </c>
      <c r="C552">
        <f>IFERROR(VLOOKUP($B552,'V15'!$A$9:$J$1048576,2,1),"")</f>
        <v>9</v>
      </c>
      <c r="D552" s="1">
        <f>IFERROR(VLOOKUP($B552,'V15'!$A$8:$J$29,4,1),"")</f>
        <v>-3.9331758027408288</v>
      </c>
      <c r="E552" s="1">
        <f>IFERROR(VLOOKUP($B552,'V15'!$A$8:$J$29,5,1),"")</f>
        <v>2.3954266578219023</v>
      </c>
      <c r="F552" s="1">
        <f>IFERROR(VLOOKUP($B552,'V15'!$A$8:$J$29,6,1),"")</f>
        <v>8.7240291183846352</v>
      </c>
      <c r="G552" s="1">
        <f>IFERROR(VLOOKUP($B552,'V15'!$A$8:$J$29,7,1),"")</f>
        <v>15.052631578947368</v>
      </c>
      <c r="H552" s="1">
        <f>IFERROR(VLOOKUP($B552,'V15'!$A$8:$J$29,8,1),"")</f>
        <v>21.381234039510101</v>
      </c>
      <c r="I552" s="1">
        <f>IFERROR(VLOOKUP($B552,'V15'!$A$8:$J$29,9,1),"")</f>
        <v>27.709836500072832</v>
      </c>
      <c r="J552" s="1">
        <f>IFERROR(VLOOKUP($B552,'V15'!$A$8:$J$29,10,1),"")</f>
        <v>34.038438960635567</v>
      </c>
      <c r="K552">
        <f>IFERROR(VLOOKUP($B552,'V15'!$A$9:$Q$1048576,3,1),"")</f>
        <v>0</v>
      </c>
      <c r="L552">
        <f>IFERROR(VLOOKUP($B552,'V15'!$A$8:$Q$29,11,1),"")</f>
        <v>-2.4089574944938654</v>
      </c>
      <c r="M552">
        <f>IFERROR(VLOOKUP($B552,'V15'!$A$8:$Q$29,12,1),"")</f>
        <v>-1.6015856980836296</v>
      </c>
      <c r="N552">
        <f>IFERROR(VLOOKUP($B552,'V15'!$A$8:$Q$29,13,1),"")</f>
        <v>-0.79421390167339367</v>
      </c>
      <c r="O552">
        <f>IFERROR(VLOOKUP($B552,'V15'!$A$8:$Q$29,14,1),"")</f>
        <v>1.3157894736842105E-2</v>
      </c>
      <c r="P552">
        <f>IFERROR(VLOOKUP($B552,'V15'!$A$8:$Q$29,15,1),"")</f>
        <v>0.82052969114707797</v>
      </c>
      <c r="Q552">
        <f>IFERROR(VLOOKUP($B552,'V15'!$A$8:$Q$29,16,1),"")</f>
        <v>1.6279014875573137</v>
      </c>
      <c r="R552">
        <f>IFERROR(VLOOKUP($B552,'V15'!$A$8:$Q$29,17,1),"")</f>
        <v>2.4352732839675495</v>
      </c>
      <c r="Z552" s="17"/>
      <c r="AY552" s="17"/>
    </row>
    <row r="553" spans="1:51" x14ac:dyDescent="0.25">
      <c r="A553" s="17"/>
      <c r="B553" s="2">
        <f t="shared" si="11"/>
        <v>45899</v>
      </c>
      <c r="C553">
        <f>IFERROR(VLOOKUP($B553,'V15'!$A$9:$J$1048576,2,1),"")</f>
        <v>6</v>
      </c>
      <c r="D553" s="1">
        <f>IFERROR(VLOOKUP($B553,'V15'!$A$8:$J$29,4,1),"")</f>
        <v>-3.9331758027408288</v>
      </c>
      <c r="E553" s="1">
        <f>IFERROR(VLOOKUP($B553,'V15'!$A$8:$J$29,5,1),"")</f>
        <v>2.3954266578219023</v>
      </c>
      <c r="F553" s="1">
        <f>IFERROR(VLOOKUP($B553,'V15'!$A$8:$J$29,6,1),"")</f>
        <v>8.7240291183846352</v>
      </c>
      <c r="G553" s="1">
        <f>IFERROR(VLOOKUP($B553,'V15'!$A$8:$J$29,7,1),"")</f>
        <v>15.052631578947368</v>
      </c>
      <c r="H553" s="1">
        <f>IFERROR(VLOOKUP($B553,'V15'!$A$8:$J$29,8,1),"")</f>
        <v>21.381234039510101</v>
      </c>
      <c r="I553" s="1">
        <f>IFERROR(VLOOKUP($B553,'V15'!$A$8:$J$29,9,1),"")</f>
        <v>27.709836500072832</v>
      </c>
      <c r="J553" s="1">
        <f>IFERROR(VLOOKUP($B553,'V15'!$A$8:$J$29,10,1),"")</f>
        <v>34.038438960635567</v>
      </c>
      <c r="K553">
        <f>IFERROR(VLOOKUP($B553,'V15'!$A$9:$Q$1048576,3,1),"")</f>
        <v>-0.75</v>
      </c>
      <c r="L553">
        <f>IFERROR(VLOOKUP($B553,'V15'!$A$8:$Q$29,11,1),"")</f>
        <v>-2.4089574944938654</v>
      </c>
      <c r="M553">
        <f>IFERROR(VLOOKUP($B553,'V15'!$A$8:$Q$29,12,1),"")</f>
        <v>-1.6015856980836296</v>
      </c>
      <c r="N553">
        <f>IFERROR(VLOOKUP($B553,'V15'!$A$8:$Q$29,13,1),"")</f>
        <v>-0.79421390167339367</v>
      </c>
      <c r="O553">
        <f>IFERROR(VLOOKUP($B553,'V15'!$A$8:$Q$29,14,1),"")</f>
        <v>1.3157894736842105E-2</v>
      </c>
      <c r="P553">
        <f>IFERROR(VLOOKUP($B553,'V15'!$A$8:$Q$29,15,1),"")</f>
        <v>0.82052969114707797</v>
      </c>
      <c r="Q553">
        <f>IFERROR(VLOOKUP($B553,'V15'!$A$8:$Q$29,16,1),"")</f>
        <v>1.6279014875573137</v>
      </c>
      <c r="R553">
        <f>IFERROR(VLOOKUP($B553,'V15'!$A$8:$Q$29,17,1),"")</f>
        <v>2.4352732839675495</v>
      </c>
      <c r="Z553" s="17"/>
      <c r="AY553" s="17"/>
    </row>
    <row r="554" spans="1:51" x14ac:dyDescent="0.25">
      <c r="A554" s="17"/>
      <c r="B554" s="2">
        <f>EDATE(B555,-1)</f>
        <v>45930</v>
      </c>
      <c r="C554">
        <f>IFERROR(VLOOKUP($B554,'V15'!$A$9:$J$1048576,2,1),"")</f>
        <v>3</v>
      </c>
      <c r="D554" s="1">
        <f>IFERROR(VLOOKUP($B554,'V15'!$A$8:$J$29,4,1),"")</f>
        <v>-3.9331758027408288</v>
      </c>
      <c r="E554" s="1">
        <f>IFERROR(VLOOKUP($B554,'V15'!$A$8:$J$29,5,1),"")</f>
        <v>2.3954266578219023</v>
      </c>
      <c r="F554" s="1">
        <f>IFERROR(VLOOKUP($B554,'V15'!$A$8:$J$29,6,1),"")</f>
        <v>8.7240291183846352</v>
      </c>
      <c r="G554" s="1">
        <f>IFERROR(VLOOKUP($B554,'V15'!$A$8:$J$29,7,1),"")</f>
        <v>15.052631578947368</v>
      </c>
      <c r="H554" s="1">
        <f>IFERROR(VLOOKUP($B554,'V15'!$A$8:$J$29,8,1),"")</f>
        <v>21.381234039510101</v>
      </c>
      <c r="I554" s="1">
        <f>IFERROR(VLOOKUP($B554,'V15'!$A$8:$J$29,9,1),"")</f>
        <v>27.709836500072832</v>
      </c>
      <c r="J554" s="1">
        <f>IFERROR(VLOOKUP($B554,'V15'!$A$8:$J$29,10,1),"")</f>
        <v>34.038438960635567</v>
      </c>
      <c r="K554">
        <f>IFERROR(VLOOKUP($B554,'V15'!$A$9:$Q$1048576,3,1),"")</f>
        <v>-0.75</v>
      </c>
      <c r="L554">
        <f>IFERROR(VLOOKUP($B554,'V15'!$A$8:$Q$29,11,1),"")</f>
        <v>-2.4089574944938654</v>
      </c>
      <c r="M554">
        <f>IFERROR(VLOOKUP($B554,'V15'!$A$8:$Q$29,12,1),"")</f>
        <v>-1.6015856980836296</v>
      </c>
      <c r="N554">
        <f>IFERROR(VLOOKUP($B554,'V15'!$A$8:$Q$29,13,1),"")</f>
        <v>-0.79421390167339367</v>
      </c>
      <c r="O554">
        <f>IFERROR(VLOOKUP($B554,'V15'!$A$8:$Q$29,14,1),"")</f>
        <v>1.3157894736842105E-2</v>
      </c>
      <c r="P554">
        <f>IFERROR(VLOOKUP($B554,'V15'!$A$8:$Q$29,15,1),"")</f>
        <v>0.82052969114707797</v>
      </c>
      <c r="Q554">
        <f>IFERROR(VLOOKUP($B554,'V15'!$A$8:$Q$29,16,1),"")</f>
        <v>1.6279014875573137</v>
      </c>
      <c r="R554">
        <f>IFERROR(VLOOKUP($B554,'V15'!$A$8:$Q$29,17,1),"")</f>
        <v>2.4352732839675495</v>
      </c>
      <c r="Z554" s="17"/>
      <c r="AY554" s="17"/>
    </row>
    <row r="555" spans="1:51" x14ac:dyDescent="0.25">
      <c r="A555" s="17"/>
      <c r="B555" s="2">
        <f>$E$520</f>
        <v>45961</v>
      </c>
      <c r="C555">
        <f>IFERROR(VLOOKUP($B555,'V15'!$A$9:$J$1048576,2,1),"")</f>
        <v>2</v>
      </c>
      <c r="D555" s="1">
        <f>IFERROR(VLOOKUP($B555,'V15'!$A$8:$J$29,4,1),"")</f>
        <v>-3.9331758027408288</v>
      </c>
      <c r="E555" s="1">
        <f>IFERROR(VLOOKUP($B555,'V15'!$A$8:$J$29,5,1),"")</f>
        <v>2.3954266578219023</v>
      </c>
      <c r="F555" s="1">
        <f>IFERROR(VLOOKUP($B555,'V15'!$A$8:$J$29,6,1),"")</f>
        <v>8.7240291183846352</v>
      </c>
      <c r="G555" s="1">
        <f>IFERROR(VLOOKUP($B555,'V15'!$A$8:$J$29,7,1),"")</f>
        <v>15.052631578947368</v>
      </c>
      <c r="H555" s="1">
        <f>IFERROR(VLOOKUP($B555,'V15'!$A$8:$J$29,8,1),"")</f>
        <v>21.381234039510101</v>
      </c>
      <c r="I555" s="1">
        <f>IFERROR(VLOOKUP($B555,'V15'!$A$8:$J$29,9,1),"")</f>
        <v>27.709836500072832</v>
      </c>
      <c r="J555" s="1">
        <f>IFERROR(VLOOKUP($B555,'V15'!$A$8:$J$29,10,1),"")</f>
        <v>34.038438960635567</v>
      </c>
      <c r="K555">
        <f>IFERROR(VLOOKUP($B555,'V15'!$A$9:$Q$1048576,3,1),"")</f>
        <v>-0.25</v>
      </c>
      <c r="L555">
        <f>IFERROR(VLOOKUP($B555,'V15'!$A$8:$Q$29,11,1),"")</f>
        <v>-2.4089574944938654</v>
      </c>
      <c r="M555">
        <f>IFERROR(VLOOKUP($B555,'V15'!$A$8:$Q$29,12,1),"")</f>
        <v>-1.6015856980836296</v>
      </c>
      <c r="N555">
        <f>IFERROR(VLOOKUP($B555,'V15'!$A$8:$Q$29,13,1),"")</f>
        <v>-0.79421390167339367</v>
      </c>
      <c r="O555">
        <f>IFERROR(VLOOKUP($B555,'V15'!$A$8:$Q$29,14,1),"")</f>
        <v>1.3157894736842105E-2</v>
      </c>
      <c r="P555">
        <f>IFERROR(VLOOKUP($B555,'V15'!$A$8:$Q$29,15,1),"")</f>
        <v>0.82052969114707797</v>
      </c>
      <c r="Q555">
        <f>IFERROR(VLOOKUP($B555,'V15'!$A$8:$Q$29,16,1),"")</f>
        <v>1.6279014875573137</v>
      </c>
      <c r="R555">
        <f>IFERROR(VLOOKUP($B555,'V15'!$A$8:$Q$29,17,1),"")</f>
        <v>2.4352732839675495</v>
      </c>
      <c r="Z555" s="17"/>
      <c r="AY555" s="17"/>
    </row>
    <row r="556" spans="1:5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</row>
  </sheetData>
  <mergeCells count="165">
    <mergeCell ref="B520:D520"/>
    <mergeCell ref="E520:M520"/>
    <mergeCell ref="N520:AX522"/>
    <mergeCell ref="B521:D521"/>
    <mergeCell ref="E521:G521"/>
    <mergeCell ref="H521:J521"/>
    <mergeCell ref="K521:M521"/>
    <mergeCell ref="B522:D522"/>
    <mergeCell ref="E522:G522"/>
    <mergeCell ref="H522:J522"/>
    <mergeCell ref="K522:M522"/>
    <mergeCell ref="B483:D483"/>
    <mergeCell ref="E483:M483"/>
    <mergeCell ref="N483:AX485"/>
    <mergeCell ref="B484:D484"/>
    <mergeCell ref="E484:G484"/>
    <mergeCell ref="H484:J484"/>
    <mergeCell ref="K484:M484"/>
    <mergeCell ref="B485:D485"/>
    <mergeCell ref="E485:G485"/>
    <mergeCell ref="H485:J485"/>
    <mergeCell ref="K485:M485"/>
    <mergeCell ref="B446:D446"/>
    <mergeCell ref="E446:M446"/>
    <mergeCell ref="N446:AX448"/>
    <mergeCell ref="B447:D447"/>
    <mergeCell ref="E447:G447"/>
    <mergeCell ref="H447:J447"/>
    <mergeCell ref="K447:M447"/>
    <mergeCell ref="B448:D448"/>
    <mergeCell ref="E448:G448"/>
    <mergeCell ref="H448:J448"/>
    <mergeCell ref="K448:M448"/>
    <mergeCell ref="B409:D409"/>
    <mergeCell ref="E409:M409"/>
    <mergeCell ref="N409:AX411"/>
    <mergeCell ref="B410:D410"/>
    <mergeCell ref="E410:G410"/>
    <mergeCell ref="H410:J410"/>
    <mergeCell ref="K410:M410"/>
    <mergeCell ref="B411:D411"/>
    <mergeCell ref="E411:G411"/>
    <mergeCell ref="H411:J411"/>
    <mergeCell ref="K411:M411"/>
    <mergeCell ref="B372:D372"/>
    <mergeCell ref="E372:M372"/>
    <mergeCell ref="N372:AX374"/>
    <mergeCell ref="B373:D373"/>
    <mergeCell ref="E373:G373"/>
    <mergeCell ref="H373:J373"/>
    <mergeCell ref="K373:M373"/>
    <mergeCell ref="B374:D374"/>
    <mergeCell ref="E374:G374"/>
    <mergeCell ref="H374:J374"/>
    <mergeCell ref="K374:M374"/>
    <mergeCell ref="B335:D335"/>
    <mergeCell ref="E335:M335"/>
    <mergeCell ref="N335:AX337"/>
    <mergeCell ref="B336:D336"/>
    <mergeCell ref="E336:G336"/>
    <mergeCell ref="H336:J336"/>
    <mergeCell ref="K336:M336"/>
    <mergeCell ref="B337:D337"/>
    <mergeCell ref="E337:G337"/>
    <mergeCell ref="H337:J337"/>
    <mergeCell ref="K337:M337"/>
    <mergeCell ref="B298:D298"/>
    <mergeCell ref="E298:M298"/>
    <mergeCell ref="N298:AX300"/>
    <mergeCell ref="B299:D299"/>
    <mergeCell ref="E299:G299"/>
    <mergeCell ref="H299:J299"/>
    <mergeCell ref="K299:M299"/>
    <mergeCell ref="B300:D300"/>
    <mergeCell ref="E300:G300"/>
    <mergeCell ref="H300:J300"/>
    <mergeCell ref="K300:M300"/>
    <mergeCell ref="N224:AX226"/>
    <mergeCell ref="E224:M224"/>
    <mergeCell ref="B224:D224"/>
    <mergeCell ref="B261:D261"/>
    <mergeCell ref="E261:M261"/>
    <mergeCell ref="N261:AX263"/>
    <mergeCell ref="B262:D262"/>
    <mergeCell ref="E262:G262"/>
    <mergeCell ref="H262:J262"/>
    <mergeCell ref="K262:M262"/>
    <mergeCell ref="B263:D263"/>
    <mergeCell ref="E263:G263"/>
    <mergeCell ref="H263:J263"/>
    <mergeCell ref="K263:M263"/>
    <mergeCell ref="K226:M226"/>
    <mergeCell ref="H226:J226"/>
    <mergeCell ref="E226:G226"/>
    <mergeCell ref="B226:D226"/>
    <mergeCell ref="K225:M225"/>
    <mergeCell ref="H225:J225"/>
    <mergeCell ref="E225:G225"/>
    <mergeCell ref="B225:D225"/>
    <mergeCell ref="B187:D187"/>
    <mergeCell ref="E187:M187"/>
    <mergeCell ref="N187:AX189"/>
    <mergeCell ref="B188:D188"/>
    <mergeCell ref="E188:G188"/>
    <mergeCell ref="H188:J188"/>
    <mergeCell ref="K188:M188"/>
    <mergeCell ref="B189:D189"/>
    <mergeCell ref="E189:G189"/>
    <mergeCell ref="H189:J189"/>
    <mergeCell ref="K189:M189"/>
    <mergeCell ref="B150:D150"/>
    <mergeCell ref="E150:M150"/>
    <mergeCell ref="N150:AX152"/>
    <mergeCell ref="B151:D151"/>
    <mergeCell ref="E151:G151"/>
    <mergeCell ref="H151:J151"/>
    <mergeCell ref="K151:M151"/>
    <mergeCell ref="B152:D152"/>
    <mergeCell ref="E152:G152"/>
    <mergeCell ref="H152:J152"/>
    <mergeCell ref="K152:M152"/>
    <mergeCell ref="N76:AX78"/>
    <mergeCell ref="E76:M76"/>
    <mergeCell ref="B76:D76"/>
    <mergeCell ref="B113:D113"/>
    <mergeCell ref="E113:M113"/>
    <mergeCell ref="N113:AX115"/>
    <mergeCell ref="B114:D114"/>
    <mergeCell ref="E114:G114"/>
    <mergeCell ref="H114:J114"/>
    <mergeCell ref="K114:M114"/>
    <mergeCell ref="B115:D115"/>
    <mergeCell ref="E115:G115"/>
    <mergeCell ref="H115:J115"/>
    <mergeCell ref="K115:M115"/>
    <mergeCell ref="K78:M78"/>
    <mergeCell ref="H78:J78"/>
    <mergeCell ref="E78:G78"/>
    <mergeCell ref="B78:D78"/>
    <mergeCell ref="K77:M77"/>
    <mergeCell ref="H77:J77"/>
    <mergeCell ref="E77:G77"/>
    <mergeCell ref="B77:D77"/>
    <mergeCell ref="N2:AX4"/>
    <mergeCell ref="B39:D39"/>
    <mergeCell ref="E39:M39"/>
    <mergeCell ref="N39:AX41"/>
    <mergeCell ref="B40:D40"/>
    <mergeCell ref="E40:G40"/>
    <mergeCell ref="H40:J40"/>
    <mergeCell ref="K40:M40"/>
    <mergeCell ref="B41:D41"/>
    <mergeCell ref="E41:G41"/>
    <mergeCell ref="H41:J41"/>
    <mergeCell ref="K41:M41"/>
    <mergeCell ref="B2:D2"/>
    <mergeCell ref="B3:D3"/>
    <mergeCell ref="B4:D4"/>
    <mergeCell ref="K3:M3"/>
    <mergeCell ref="K4:M4"/>
    <mergeCell ref="H3:J3"/>
    <mergeCell ref="H4:J4"/>
    <mergeCell ref="E3:G3"/>
    <mergeCell ref="E4:G4"/>
    <mergeCell ref="E2:M2"/>
  </mergeCell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D7D1-2F12-4B28-BA46-7FEA971B7DF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EF97-9F30-400A-A94F-37C43CA654EA}">
  <dimension ref="M2:N19"/>
  <sheetViews>
    <sheetView topLeftCell="A4" zoomScale="119" zoomScaleNormal="119" workbookViewId="0">
      <selection activeCell="Q14" sqref="Q14"/>
    </sheetView>
  </sheetViews>
  <sheetFormatPr defaultRowHeight="15" x14ac:dyDescent="0.25"/>
  <sheetData>
    <row r="2" spans="13:14" x14ac:dyDescent="0.25">
      <c r="M2" t="s">
        <v>85</v>
      </c>
      <c r="N2" t="s">
        <v>86</v>
      </c>
    </row>
    <row r="3" spans="13:14" x14ac:dyDescent="0.25">
      <c r="M3" t="s">
        <v>87</v>
      </c>
      <c r="N3" t="s">
        <v>88</v>
      </c>
    </row>
    <row r="4" spans="13:14" x14ac:dyDescent="0.25">
      <c r="M4" t="s">
        <v>89</v>
      </c>
      <c r="N4" t="s">
        <v>90</v>
      </c>
    </row>
    <row r="19" spans="14:14" x14ac:dyDescent="0.25">
      <c r="N19" s="21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3F9A2C921EA648B8956D26186227B5" ma:contentTypeVersion="3" ma:contentTypeDescription="Criar um novo documento." ma:contentTypeScope="" ma:versionID="b4c5a9fd90bbfde0bf95d92bfee22ffa">
  <xsd:schema xmlns:xsd="http://www.w3.org/2001/XMLSchema" xmlns:xs="http://www.w3.org/2001/XMLSchema" xmlns:p="http://schemas.microsoft.com/office/2006/metadata/properties" xmlns:ns2="21f308f2-d3ee-4408-a56f-195edca5b470" targetNamespace="http://schemas.microsoft.com/office/2006/metadata/properties" ma:root="true" ma:fieldsID="750964058e306dd1127a9b359630957e" ns2:_="">
    <xsd:import namespace="21f308f2-d3ee-4408-a56f-195edca5b4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308f2-d3ee-4408-a56f-195edca5b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B7FFCF-92EC-493B-BBF8-CCCCB1F3F8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f308f2-d3ee-4408-a56f-195edca5b4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1D6986-7C42-49A9-828F-EA6FC9C92F8D}">
  <ds:schemaRefs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21f308f2-d3ee-4408-a56f-195edca5b47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67F8F9F-D7C3-46DD-BF5A-45790F2EA6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2</vt:i4>
      </vt:variant>
    </vt:vector>
  </HeadingPairs>
  <TitlesOfParts>
    <vt:vector size="21" baseType="lpstr">
      <vt:lpstr>Catalogo de Variaveis</vt:lpstr>
      <vt:lpstr>V01</vt:lpstr>
      <vt:lpstr>V02</vt:lpstr>
      <vt:lpstr>V03</vt:lpstr>
      <vt:lpstr>V04</vt:lpstr>
      <vt:lpstr>V07</vt:lpstr>
      <vt:lpstr>V08</vt:lpstr>
      <vt:lpstr>V09</vt:lpstr>
      <vt:lpstr>V10</vt:lpstr>
      <vt:lpstr>V11</vt:lpstr>
      <vt:lpstr>V12</vt:lpstr>
      <vt:lpstr>V13</vt:lpstr>
      <vt:lpstr>V14</vt:lpstr>
      <vt:lpstr>V15</vt:lpstr>
      <vt:lpstr>I05</vt:lpstr>
      <vt:lpstr>I06</vt:lpstr>
      <vt:lpstr>PainelDeVariaveis</vt:lpstr>
      <vt:lpstr>Planilha1</vt:lpstr>
      <vt:lpstr>PainelDeIndicadores</vt:lpstr>
      <vt:lpstr>LME</vt:lpstr>
      <vt:lpstr>VME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Alberto de Almeida</dc:creator>
  <cp:keywords/>
  <dc:description/>
  <cp:lastModifiedBy>Alexandre Abrantes Gomes</cp:lastModifiedBy>
  <cp:revision/>
  <dcterms:created xsi:type="dcterms:W3CDTF">2024-06-03T12:12:12Z</dcterms:created>
  <dcterms:modified xsi:type="dcterms:W3CDTF">2026-07-07T14:01:55Z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0x010100D63F9A2C921EA648B8956D26186227B5</vt:lpwstr>
  </property>
</Properties>
</file>